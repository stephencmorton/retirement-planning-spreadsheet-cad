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harts/chart5.xml" ContentType="application/vnd.openxmlformats-officedocument.drawingml.chart+xml"/>
  <Override PartName="/xl/drawings/drawing5.xml" ContentType="application/vnd.openxmlformats-officedocument.drawing+xml"/>
  <Override PartName="/xl/charts/chart6.xml" ContentType="application/vnd.openxmlformats-officedocument.drawingml.chart+xml"/>
  <Override PartName="/xl/drawings/drawing6.xml" ContentType="application/vnd.openxmlformats-officedocument.drawing+xml"/>
  <Override PartName="/xl/charts/chart7.xml" ContentType="application/vnd.openxmlformats-officedocument.drawingml.chart+xml"/>
  <Override PartName="/xl/drawings/drawing7.xml" ContentType="application/vnd.openxmlformats-officedocument.drawing+xml"/>
  <Override PartName="/xl/charts/chart8.xml" ContentType="application/vnd.openxmlformats-officedocument.drawingml.chart+xml"/>
  <Override PartName="/xl/drawings/drawing8.xml" ContentType="application/vnd.openxmlformats-officedocument.drawing+xml"/>
  <Override PartName="/xl/charts/chart9.xml" ContentType="application/vnd.openxmlformats-officedocument.drawingml.chart+xml"/>
  <Override PartName="/xl/drawings/drawing9.xml" ContentType="application/vnd.openxmlformats-officedocument.drawing+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C:\Users\smorton\Downloads\"/>
    </mc:Choice>
  </mc:AlternateContent>
  <xr:revisionPtr revIDLastSave="0" documentId="13_ncr:1_{01916133-C6C9-4848-94BA-36C0169EE2FB}" xr6:coauthVersionLast="47" xr6:coauthVersionMax="47" xr10:uidLastSave="{00000000-0000-0000-0000-000000000000}"/>
  <bookViews>
    <workbookView xWindow="-108" yWindow="-108" windowWidth="23256" windowHeight="13176" tabRatio="644" xr2:uid="{A5F55BE1-57FF-44EB-B6AE-59C2F1634A8F}"/>
  </bookViews>
  <sheets>
    <sheet name="Instructions" sheetId="30" r:id="rId1"/>
    <sheet name="Inputs_Summary" sheetId="32" r:id="rId2"/>
    <sheet name="Both" sheetId="27" r:id="rId3"/>
    <sheet name="Person1" sheetId="7" r:id="rId4"/>
    <sheet name="Person2" sheetId="24" r:id="rId5"/>
    <sheet name="Both_Inc" sheetId="28" r:id="rId6"/>
    <sheet name="Both_Accts" sheetId="29" r:id="rId7"/>
    <sheet name="P1_Inc" sheetId="20" r:id="rId8"/>
    <sheet name="P1_Accts" sheetId="21" r:id="rId9"/>
    <sheet name="P2_Inc" sheetId="25" r:id="rId10"/>
    <sheet name="P2_Accts" sheetId="26" r:id="rId11"/>
  </sheets>
  <definedNames>
    <definedName name="Flag1">Inputs_Summary!$AO$16</definedName>
    <definedName name="P1_ActRRSP">Person1!$DU$7:$DU$86</definedName>
    <definedName name="P1_ActTR">Person1!$CL$7:$CL$86</definedName>
    <definedName name="P1_EstRRSP">Person1!$BR$7:$BR$86</definedName>
    <definedName name="P1_EstTR">Person1!$BN$7:$BN$86</definedName>
    <definedName name="P2_ActRRSP">Person2!$DU$7:$DU$86</definedName>
    <definedName name="P2_ActTR">Person2!$CL$7:$CL$86</definedName>
    <definedName name="P2_EstRRSP">Person2!$BR$7:$BR$86</definedName>
    <definedName name="P2_EstTR">Person2!$BN$7:$BN$86</definedName>
    <definedName name="_xlnm.Print_Area" localSheetId="1">Inputs_Summary!$A$1:$Y$48</definedName>
    <definedName name="Relax1">Inputs_Summary!$C$68</definedName>
    <definedName name="RelaxAuto1">Inputs_Summary!$C$69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8" i="32" l="1"/>
  <c r="AK68" i="32"/>
  <c r="IB43" i="24"/>
  <c r="IA43" i="24"/>
  <c r="HZ43" i="24"/>
  <c r="HU43" i="24"/>
  <c r="HT43" i="24"/>
  <c r="HR43" i="24"/>
  <c r="HQ43" i="24"/>
  <c r="ID42" i="24"/>
  <c r="ID43" i="24"/>
  <c r="IC42" i="24"/>
  <c r="IC43" i="24"/>
  <c r="HW42" i="24"/>
  <c r="HW43" i="24"/>
  <c r="HV42" i="24"/>
  <c r="HV43" i="24"/>
  <c r="HS42" i="24"/>
  <c r="HS43" i="24"/>
  <c r="HY41" i="24"/>
  <c r="HY42" i="24"/>
  <c r="HY43" i="24"/>
  <c r="HX41" i="24"/>
  <c r="HX42" i="24"/>
  <c r="HX43" i="24"/>
  <c r="HW41" i="24"/>
  <c r="HW40" i="24"/>
  <c r="IG39" i="24"/>
  <c r="IG40" i="24"/>
  <c r="IG41" i="24"/>
  <c r="IG42" i="24"/>
  <c r="IG43" i="24"/>
  <c r="IF39" i="24"/>
  <c r="IF40" i="24"/>
  <c r="IF41" i="24"/>
  <c r="IF42" i="24"/>
  <c r="IF43" i="24"/>
  <c r="IE39" i="24"/>
  <c r="IE40" i="24"/>
  <c r="IE41" i="24"/>
  <c r="IE42" i="24"/>
  <c r="IE43" i="24"/>
  <c r="HT31" i="24"/>
  <c r="HT32" i="24"/>
  <c r="HT33" i="24"/>
  <c r="HS31" i="24"/>
  <c r="D79" i="32"/>
  <c r="AK79" i="32"/>
  <c r="B83" i="24"/>
  <c r="C79" i="32"/>
  <c r="AJ79" i="32"/>
  <c r="B83" i="7"/>
  <c r="IB104" i="7"/>
  <c r="D77" i="32"/>
  <c r="AK77" i="32"/>
  <c r="B81" i="24"/>
  <c r="C77" i="32"/>
  <c r="AJ77" i="32"/>
  <c r="B81" i="7"/>
  <c r="HO91" i="7"/>
  <c r="HO92" i="7"/>
  <c r="HO93" i="7"/>
  <c r="HO94" i="7"/>
  <c r="HO95" i="7"/>
  <c r="HO96" i="7"/>
  <c r="HO97" i="7"/>
  <c r="HO98" i="7"/>
  <c r="HO99" i="7"/>
  <c r="HO100" i="7"/>
  <c r="HO101" i="7"/>
  <c r="D67" i="32"/>
  <c r="AK67" i="32"/>
  <c r="B70" i="24"/>
  <c r="AJ67" i="32"/>
  <c r="B70" i="7"/>
  <c r="AK47" i="32"/>
  <c r="B50" i="24"/>
  <c r="AJ47" i="32"/>
  <c r="B50" i="7"/>
  <c r="D76" i="32"/>
  <c r="AK76" i="32"/>
  <c r="B80" i="24"/>
  <c r="C76" i="32"/>
  <c r="AJ76" i="32"/>
  <c r="B80" i="7"/>
  <c r="BC7" i="24"/>
  <c r="BC7" i="7"/>
  <c r="HW12" i="7"/>
  <c r="R7" i="7"/>
  <c r="HV12" i="7"/>
  <c r="HW12" i="24"/>
  <c r="HV12" i="24"/>
  <c r="C102" i="24" a="1"/>
  <c r="C102" i="24"/>
  <c r="AX31" i="32"/>
  <c r="C102" i="7" a="1"/>
  <c r="C102" i="7"/>
  <c r="AW31" i="32"/>
  <c r="AK58" i="32"/>
  <c r="B61" i="24"/>
  <c r="AJ58" i="32"/>
  <c r="B61" i="7"/>
  <c r="IB43" i="7"/>
  <c r="IA43" i="7"/>
  <c r="HZ43" i="7"/>
  <c r="HU43" i="7"/>
  <c r="HT43" i="7"/>
  <c r="HR43" i="7"/>
  <c r="HQ43" i="7"/>
  <c r="ID42" i="7"/>
  <c r="ID43" i="7"/>
  <c r="IC42" i="7"/>
  <c r="IC43" i="7"/>
  <c r="HW42" i="7"/>
  <c r="HW43" i="7"/>
  <c r="HV42" i="7"/>
  <c r="HV43" i="7"/>
  <c r="HY41" i="7"/>
  <c r="HY42" i="7"/>
  <c r="HY43" i="7"/>
  <c r="HX41" i="7"/>
  <c r="HX42" i="7"/>
  <c r="HX43" i="7"/>
  <c r="HW41" i="7"/>
  <c r="HS42" i="7"/>
  <c r="HS43" i="7"/>
  <c r="HW40" i="7"/>
  <c r="IG39" i="7"/>
  <c r="IG40" i="7"/>
  <c r="IG41" i="7"/>
  <c r="IG42" i="7"/>
  <c r="IG43" i="7"/>
  <c r="IF39" i="7"/>
  <c r="IF40" i="7"/>
  <c r="IF41" i="7"/>
  <c r="IF42" i="7"/>
  <c r="IF43" i="7"/>
  <c r="IE39" i="7"/>
  <c r="IE40" i="7"/>
  <c r="IE41" i="7"/>
  <c r="IE42" i="7"/>
  <c r="IE43" i="7"/>
  <c r="HT31" i="7"/>
  <c r="HT32" i="7"/>
  <c r="HT33" i="7"/>
  <c r="HS31" i="7"/>
  <c r="BN6" i="7"/>
  <c r="AY7" i="7"/>
  <c r="AY7" i="24"/>
  <c r="HL13" i="7"/>
  <c r="HL13" i="24"/>
  <c r="HW13" i="24"/>
  <c r="AK72" i="32"/>
  <c r="B75" i="24"/>
  <c r="AJ72" i="32"/>
  <c r="B75" i="7"/>
  <c r="AK71" i="32"/>
  <c r="B74" i="24"/>
  <c r="AJ71" i="32"/>
  <c r="B74" i="7"/>
  <c r="DU7" i="7"/>
  <c r="AK60" i="32"/>
  <c r="B63" i="24"/>
  <c r="AJ60" i="32"/>
  <c r="B63" i="7"/>
  <c r="BN6" i="24"/>
  <c r="AJ59" i="32"/>
  <c r="B62" i="7"/>
  <c r="AK59" i="32"/>
  <c r="B62" i="24"/>
  <c r="AK26" i="32"/>
  <c r="B29" i="24"/>
  <c r="AJ26" i="32"/>
  <c r="B29" i="7"/>
  <c r="AK25" i="32"/>
  <c r="B28" i="24"/>
  <c r="AJ25" i="32"/>
  <c r="B28" i="7"/>
  <c r="HJ8" i="24"/>
  <c r="HJ9" i="24"/>
  <c r="HJ10" i="24"/>
  <c r="HJ11" i="24"/>
  <c r="HJ12" i="24"/>
  <c r="HJ13" i="24"/>
  <c r="HJ14" i="24"/>
  <c r="HJ8" i="7"/>
  <c r="HJ9" i="7"/>
  <c r="HJ10" i="7"/>
  <c r="HJ11" i="7"/>
  <c r="HJ12" i="7"/>
  <c r="HJ13" i="7"/>
  <c r="HJ14" i="7"/>
  <c r="HJ15" i="7"/>
  <c r="IE7" i="7"/>
  <c r="AO28" i="32"/>
  <c r="AP28" i="32"/>
  <c r="AW42" i="32"/>
  <c r="V7" i="32" s="1"/>
  <c r="AJ49" i="32"/>
  <c r="AK49" i="32"/>
  <c r="AK9" i="32"/>
  <c r="B12" i="24"/>
  <c r="AJ8" i="32"/>
  <c r="B11" i="7"/>
  <c r="AW7" i="7"/>
  <c r="AJ9" i="32"/>
  <c r="B12" i="7"/>
  <c r="AJ10" i="32"/>
  <c r="B13" i="7"/>
  <c r="C74" i="32"/>
  <c r="AY17" i="32"/>
  <c r="D74" i="32"/>
  <c r="AK74" i="32"/>
  <c r="B78" i="24"/>
  <c r="AK8" i="32"/>
  <c r="B11" i="24"/>
  <c r="AW7" i="24"/>
  <c r="AK10" i="32"/>
  <c r="B13" i="24"/>
  <c r="AK51" i="32"/>
  <c r="B54" i="24"/>
  <c r="DO6" i="24"/>
  <c r="AJ51" i="32"/>
  <c r="B54" i="7"/>
  <c r="DO6" i="7"/>
  <c r="AK50" i="32"/>
  <c r="B53" i="24"/>
  <c r="DF6" i="24"/>
  <c r="AJ50" i="32"/>
  <c r="B53" i="7"/>
  <c r="DF6" i="7"/>
  <c r="HO13" i="24"/>
  <c r="HO12" i="24"/>
  <c r="HO13" i="7"/>
  <c r="HO12" i="7"/>
  <c r="AK11" i="32"/>
  <c r="AK12" i="32"/>
  <c r="B15" i="24"/>
  <c r="AK13" i="32"/>
  <c r="B16" i="24"/>
  <c r="AK14" i="32"/>
  <c r="B17" i="24"/>
  <c r="AK15" i="32"/>
  <c r="B18" i="24"/>
  <c r="AK16" i="32"/>
  <c r="B19" i="24"/>
  <c r="AK17" i="32"/>
  <c r="AK18" i="32"/>
  <c r="B21" i="24"/>
  <c r="AK19" i="32"/>
  <c r="B22" i="24"/>
  <c r="AK20" i="32"/>
  <c r="B23" i="24"/>
  <c r="AK21" i="32"/>
  <c r="B24" i="24"/>
  <c r="AK22" i="32"/>
  <c r="B25" i="24"/>
  <c r="AK23" i="32"/>
  <c r="B26" i="24"/>
  <c r="AK24" i="32"/>
  <c r="AK27" i="32"/>
  <c r="B30" i="24"/>
  <c r="AK28" i="32"/>
  <c r="B31" i="24"/>
  <c r="AK29" i="32"/>
  <c r="B32" i="24"/>
  <c r="AK30" i="32"/>
  <c r="AK31" i="32"/>
  <c r="AK32" i="32"/>
  <c r="B35" i="24"/>
  <c r="AK33" i="32"/>
  <c r="B36" i="24"/>
  <c r="AK34" i="32"/>
  <c r="B37" i="24"/>
  <c r="AK35" i="32"/>
  <c r="B38" i="24"/>
  <c r="AK36" i="32"/>
  <c r="B39" i="24"/>
  <c r="AK37" i="32"/>
  <c r="B40" i="24"/>
  <c r="AK38" i="32"/>
  <c r="B41" i="24"/>
  <c r="AK39" i="32"/>
  <c r="B42" i="24"/>
  <c r="AK40" i="32"/>
  <c r="B43" i="24"/>
  <c r="AK41" i="32"/>
  <c r="B44" i="24"/>
  <c r="AK42" i="32"/>
  <c r="B45" i="24"/>
  <c r="AK43" i="32"/>
  <c r="B46" i="24"/>
  <c r="AK44" i="32"/>
  <c r="AK45" i="32"/>
  <c r="B48" i="24"/>
  <c r="AK46" i="32"/>
  <c r="B49" i="24"/>
  <c r="AK48" i="32"/>
  <c r="AK52" i="32"/>
  <c r="AK53" i="32"/>
  <c r="B56" i="24"/>
  <c r="AK54" i="32"/>
  <c r="B57" i="24"/>
  <c r="AK55" i="32"/>
  <c r="B58" i="24"/>
  <c r="AK56" i="32"/>
  <c r="B59" i="24"/>
  <c r="AK61" i="32"/>
  <c r="AK62" i="32"/>
  <c r="B65" i="24"/>
  <c r="GU6" i="24"/>
  <c r="AK63" i="32"/>
  <c r="B66" i="24"/>
  <c r="GV6" i="24"/>
  <c r="AK64" i="32"/>
  <c r="B67" i="24"/>
  <c r="GX6" i="24"/>
  <c r="AK65" i="32"/>
  <c r="B68" i="24"/>
  <c r="GW6" i="24"/>
  <c r="AK57" i="32"/>
  <c r="B60" i="24"/>
  <c r="AK66" i="32"/>
  <c r="AK69" i="32"/>
  <c r="AK73" i="32"/>
  <c r="AK75" i="32"/>
  <c r="B79" i="24"/>
  <c r="AJ11" i="32"/>
  <c r="AJ12" i="32"/>
  <c r="B15" i="7"/>
  <c r="AJ13" i="32"/>
  <c r="B16" i="7"/>
  <c r="AJ14" i="32"/>
  <c r="B17" i="7"/>
  <c r="AJ15" i="32"/>
  <c r="B18" i="7"/>
  <c r="AJ16" i="32"/>
  <c r="B19" i="7"/>
  <c r="P39" i="7"/>
  <c r="AJ17" i="32"/>
  <c r="AJ18" i="32"/>
  <c r="B21" i="7"/>
  <c r="AJ19" i="32"/>
  <c r="B22" i="7"/>
  <c r="AJ20" i="32"/>
  <c r="B23" i="7"/>
  <c r="AJ21" i="32"/>
  <c r="B24" i="7"/>
  <c r="AJ22" i="32"/>
  <c r="B25" i="7"/>
  <c r="AJ23" i="32"/>
  <c r="B26" i="7"/>
  <c r="AJ24" i="32"/>
  <c r="AJ27" i="32"/>
  <c r="B30" i="7"/>
  <c r="AJ28" i="32"/>
  <c r="B31" i="7"/>
  <c r="AJ29" i="32"/>
  <c r="AJ30" i="32"/>
  <c r="B94" i="24"/>
  <c r="AJ31" i="32"/>
  <c r="AJ32" i="32"/>
  <c r="B35" i="7"/>
  <c r="AJ33" i="32"/>
  <c r="B36" i="7"/>
  <c r="AJ34" i="32"/>
  <c r="B37" i="7"/>
  <c r="AJ35" i="32"/>
  <c r="B38" i="7"/>
  <c r="AJ36" i="32"/>
  <c r="B39" i="7"/>
  <c r="AJ37" i="32"/>
  <c r="B40" i="7"/>
  <c r="AJ38" i="32"/>
  <c r="AJ39" i="32"/>
  <c r="B42" i="7"/>
  <c r="AJ40" i="32"/>
  <c r="B43" i="7"/>
  <c r="AJ41" i="32"/>
  <c r="AJ42" i="32"/>
  <c r="B45" i="7"/>
  <c r="AJ43" i="32"/>
  <c r="B46" i="7"/>
  <c r="AJ44" i="32"/>
  <c r="AJ45" i="32"/>
  <c r="B48" i="7"/>
  <c r="AJ46" i="32"/>
  <c r="B49" i="7"/>
  <c r="AJ48" i="32"/>
  <c r="AJ52" i="32"/>
  <c r="AJ53" i="32"/>
  <c r="B56" i="7"/>
  <c r="AJ54" i="32"/>
  <c r="B57" i="7"/>
  <c r="AJ55" i="32"/>
  <c r="B58" i="7"/>
  <c r="AJ56" i="32"/>
  <c r="B59" i="7"/>
  <c r="AJ61" i="32"/>
  <c r="AJ62" i="32"/>
  <c r="B65" i="7"/>
  <c r="GU6" i="7"/>
  <c r="AJ63" i="32"/>
  <c r="B66" i="7"/>
  <c r="GV6" i="7"/>
  <c r="AJ64" i="32"/>
  <c r="B67" i="7"/>
  <c r="GX6" i="7"/>
  <c r="AJ65" i="32"/>
  <c r="B68" i="7"/>
  <c r="GW6" i="7"/>
  <c r="AJ57" i="32"/>
  <c r="B60" i="7"/>
  <c r="AJ66" i="32"/>
  <c r="AJ68" i="32"/>
  <c r="B71" i="7"/>
  <c r="AJ69" i="32"/>
  <c r="AJ73" i="32"/>
  <c r="AK7" i="32"/>
  <c r="B10" i="24"/>
  <c r="AJ7" i="32"/>
  <c r="B10" i="7"/>
  <c r="AJ5" i="32"/>
  <c r="B8" i="7"/>
  <c r="AJ6" i="32"/>
  <c r="AJ4" i="32"/>
  <c r="B7" i="7"/>
  <c r="C84" i="32"/>
  <c r="AJ84" i="32"/>
  <c r="B87" i="7"/>
  <c r="EE7" i="7"/>
  <c r="D84" i="32"/>
  <c r="AK84" i="32"/>
  <c r="B87" i="24"/>
  <c r="EE7" i="24"/>
  <c r="CP7" i="24"/>
  <c r="C85" i="32"/>
  <c r="AJ85" i="32"/>
  <c r="B88" i="7"/>
  <c r="EN7" i="7"/>
  <c r="D85" i="32"/>
  <c r="AK85" i="32"/>
  <c r="B88" i="24"/>
  <c r="EN7" i="24"/>
  <c r="C86" i="32"/>
  <c r="AJ86" i="32"/>
  <c r="B89" i="7"/>
  <c r="EU7" i="7"/>
  <c r="D86" i="32"/>
  <c r="AK86" i="32"/>
  <c r="B89" i="24"/>
  <c r="EU7" i="24"/>
  <c r="FB7" i="24"/>
  <c r="C87" i="32"/>
  <c r="AJ87" i="32"/>
  <c r="B90" i="7"/>
  <c r="FA7" i="7"/>
  <c r="D87" i="32"/>
  <c r="AK87" i="32"/>
  <c r="B90" i="24"/>
  <c r="FA7" i="24"/>
  <c r="D83" i="32"/>
  <c r="AK83" i="32"/>
  <c r="B86" i="24"/>
  <c r="DW7" i="24"/>
  <c r="C83" i="32"/>
  <c r="AJ83" i="32"/>
  <c r="B86" i="7"/>
  <c r="DW7" i="7"/>
  <c r="C78" i="32"/>
  <c r="D78" i="32"/>
  <c r="AK78" i="32"/>
  <c r="AX17" i="32"/>
  <c r="B71" i="24"/>
  <c r="AZ16" i="32"/>
  <c r="AX16" i="32"/>
  <c r="AN8" i="32"/>
  <c r="HO11" i="24"/>
  <c r="HV13" i="24"/>
  <c r="HO10" i="24"/>
  <c r="HV9" i="24"/>
  <c r="HO9" i="24"/>
  <c r="HV8" i="24"/>
  <c r="HO8" i="24"/>
  <c r="HO7" i="24"/>
  <c r="HV4" i="24"/>
  <c r="HO3" i="24"/>
  <c r="HW13" i="7"/>
  <c r="HV13" i="7"/>
  <c r="HO11" i="7"/>
  <c r="HO10" i="7"/>
  <c r="HV9" i="7"/>
  <c r="HO9" i="7"/>
  <c r="HV8" i="7"/>
  <c r="HO8" i="7"/>
  <c r="HO7" i="7"/>
  <c r="HV4" i="7"/>
  <c r="HO3" i="7"/>
  <c r="O58" i="7"/>
  <c r="O41" i="7"/>
  <c r="O86" i="7"/>
  <c r="O24" i="7"/>
  <c r="O77" i="7"/>
  <c r="O14" i="7"/>
  <c r="AZ17" i="32"/>
  <c r="O49" i="7"/>
  <c r="O64" i="7"/>
  <c r="O70" i="7"/>
  <c r="O69" i="7"/>
  <c r="O62" i="7"/>
  <c r="O75" i="7"/>
  <c r="O50" i="7"/>
  <c r="O61" i="7"/>
  <c r="R7" i="24"/>
  <c r="S7" i="24"/>
  <c r="Q7" i="24"/>
  <c r="Q7" i="7"/>
  <c r="HJ16" i="7"/>
  <c r="HJ17" i="7"/>
  <c r="HJ18" i="7"/>
  <c r="HJ19" i="7"/>
  <c r="HJ20" i="7"/>
  <c r="HJ21" i="7"/>
  <c r="HJ22" i="7"/>
  <c r="HJ23" i="7"/>
  <c r="HJ24" i="7"/>
  <c r="HJ25" i="7"/>
  <c r="HJ26" i="7"/>
  <c r="HJ27" i="7"/>
  <c r="HJ28" i="7"/>
  <c r="HJ29" i="7"/>
  <c r="HJ30" i="7"/>
  <c r="HJ31" i="7"/>
  <c r="HJ32" i="7"/>
  <c r="HJ33" i="7"/>
  <c r="HJ34" i="7"/>
  <c r="HJ35" i="7"/>
  <c r="HJ36" i="7"/>
  <c r="HJ37" i="7"/>
  <c r="HJ38" i="7"/>
  <c r="HJ39" i="7"/>
  <c r="HJ40" i="7"/>
  <c r="HJ41" i="7"/>
  <c r="HJ42" i="7"/>
  <c r="HJ43" i="7"/>
  <c r="HJ44" i="7"/>
  <c r="HJ45" i="7"/>
  <c r="HJ46" i="7"/>
  <c r="HJ47" i="7"/>
  <c r="O18" i="7"/>
  <c r="O45" i="7"/>
  <c r="O19" i="7"/>
  <c r="O7" i="7"/>
  <c r="O38" i="7"/>
  <c r="O73" i="7"/>
  <c r="O25" i="7"/>
  <c r="P41" i="24"/>
  <c r="P17" i="24"/>
  <c r="P49" i="24"/>
  <c r="P47" i="24"/>
  <c r="P68" i="24"/>
  <c r="P30" i="24"/>
  <c r="P63" i="24"/>
  <c r="P19" i="24"/>
  <c r="P43" i="24"/>
  <c r="P13" i="24"/>
  <c r="P29" i="24"/>
  <c r="P65" i="24"/>
  <c r="P73" i="24"/>
  <c r="P42" i="24"/>
  <c r="P14" i="24"/>
  <c r="P40" i="24"/>
  <c r="P26" i="24"/>
  <c r="P51" i="24"/>
  <c r="P37" i="24"/>
  <c r="P24" i="24"/>
  <c r="P16" i="24"/>
  <c r="P15" i="24"/>
  <c r="P38" i="24"/>
  <c r="P79" i="24"/>
  <c r="P44" i="24"/>
  <c r="P58" i="24"/>
  <c r="P55" i="24"/>
  <c r="P62" i="24"/>
  <c r="P23" i="24"/>
  <c r="P10" i="24"/>
  <c r="P82" i="24"/>
  <c r="P83" i="24"/>
  <c r="P28" i="24"/>
  <c r="P84" i="24"/>
  <c r="P67" i="24"/>
  <c r="P61" i="24"/>
  <c r="P20" i="24"/>
  <c r="P31" i="24"/>
  <c r="P81" i="24"/>
  <c r="P34" i="24"/>
  <c r="P74" i="24"/>
  <c r="P69" i="24"/>
  <c r="P7" i="24"/>
  <c r="P75" i="24"/>
  <c r="P32" i="24"/>
  <c r="P85" i="24"/>
  <c r="P53" i="24"/>
  <c r="P56" i="24"/>
  <c r="P80" i="24"/>
  <c r="P11" i="24"/>
  <c r="P54" i="24"/>
  <c r="P78" i="24"/>
  <c r="P48" i="24"/>
  <c r="P21" i="24"/>
  <c r="P66" i="24"/>
  <c r="P27" i="24"/>
  <c r="P33" i="24"/>
  <c r="O78" i="7"/>
  <c r="O37" i="7"/>
  <c r="O52" i="7"/>
  <c r="O72" i="7"/>
  <c r="O26" i="7"/>
  <c r="O11" i="7"/>
  <c r="O65" i="7"/>
  <c r="O79" i="7"/>
  <c r="O56" i="7"/>
  <c r="O31" i="7"/>
  <c r="O13" i="7"/>
  <c r="O15" i="7"/>
  <c r="O28" i="7"/>
  <c r="O43" i="7"/>
  <c r="N50" i="7"/>
  <c r="N17" i="7"/>
  <c r="N54" i="7"/>
  <c r="N45" i="7"/>
  <c r="N30" i="7"/>
  <c r="HJ15" i="24"/>
  <c r="HJ16" i="24"/>
  <c r="HJ17" i="24"/>
  <c r="HJ18" i="24"/>
  <c r="HJ19" i="24"/>
  <c r="HJ20" i="24"/>
  <c r="HJ21" i="24"/>
  <c r="HJ22" i="24"/>
  <c r="HJ23" i="24"/>
  <c r="HJ24" i="24"/>
  <c r="P46" i="7"/>
  <c r="AW8" i="7"/>
  <c r="E7" i="7"/>
  <c r="AI7" i="24"/>
  <c r="N52" i="7"/>
  <c r="N59" i="7"/>
  <c r="N57" i="7"/>
  <c r="N19" i="7"/>
  <c r="N13" i="7"/>
  <c r="EK7" i="7"/>
  <c r="B8" i="24"/>
  <c r="P68" i="7"/>
  <c r="P50" i="7"/>
  <c r="AO17" i="32"/>
  <c r="P58" i="7"/>
  <c r="P42" i="7"/>
  <c r="P74" i="7"/>
  <c r="B33" i="7"/>
  <c r="AX8" i="7"/>
  <c r="HM14" i="7"/>
  <c r="P81" i="7"/>
  <c r="P40" i="7"/>
  <c r="P17" i="7"/>
  <c r="P45" i="7"/>
  <c r="P35" i="7"/>
  <c r="P7" i="7"/>
  <c r="FB7" i="7"/>
  <c r="AX8" i="24"/>
  <c r="P14" i="7"/>
  <c r="P55" i="7"/>
  <c r="P69" i="7"/>
  <c r="P33" i="7"/>
  <c r="P52" i="7"/>
  <c r="P54" i="7"/>
  <c r="P60" i="7"/>
  <c r="P65" i="7"/>
  <c r="P16" i="7"/>
  <c r="P80" i="7"/>
  <c r="P13" i="7"/>
  <c r="P70" i="7"/>
  <c r="P82" i="7"/>
  <c r="P36" i="7"/>
  <c r="P84" i="7"/>
  <c r="P38" i="7"/>
  <c r="P41" i="7"/>
  <c r="P24" i="7"/>
  <c r="P59" i="7"/>
  <c r="P64" i="7"/>
  <c r="P72" i="7"/>
  <c r="P19" i="7"/>
  <c r="P66" i="7"/>
  <c r="P76" i="7"/>
  <c r="P11" i="7"/>
  <c r="P71" i="7"/>
  <c r="P53" i="7"/>
  <c r="P79" i="7"/>
  <c r="P78" i="7"/>
  <c r="P27" i="7"/>
  <c r="P62" i="7"/>
  <c r="P26" i="7"/>
  <c r="P73" i="7"/>
  <c r="P18" i="7"/>
  <c r="P48" i="7"/>
  <c r="P63" i="7"/>
  <c r="P47" i="7"/>
  <c r="P83" i="7"/>
  <c r="P20" i="7"/>
  <c r="P49" i="7"/>
  <c r="P8" i="7"/>
  <c r="P9" i="7"/>
  <c r="P30" i="7"/>
  <c r="P15" i="7"/>
  <c r="P23" i="7"/>
  <c r="P32" i="7"/>
  <c r="P37" i="7"/>
  <c r="P34" i="7"/>
  <c r="P86" i="7"/>
  <c r="P61" i="7"/>
  <c r="P12" i="7"/>
  <c r="P43" i="7"/>
  <c r="P31" i="7"/>
  <c r="P75" i="7"/>
  <c r="P77" i="7"/>
  <c r="P10" i="7"/>
  <c r="P22" i="7"/>
  <c r="P29" i="7"/>
  <c r="P25" i="7"/>
  <c r="P28" i="7"/>
  <c r="P21" i="7"/>
  <c r="P44" i="7"/>
  <c r="P85" i="7"/>
  <c r="P51" i="7"/>
  <c r="P57" i="7"/>
  <c r="P56" i="7"/>
  <c r="P67" i="7"/>
  <c r="N83" i="24"/>
  <c r="N85" i="24"/>
  <c r="N25" i="24"/>
  <c r="N37" i="24"/>
  <c r="N61" i="24"/>
  <c r="N35" i="24"/>
  <c r="N11" i="24"/>
  <c r="N31" i="24"/>
  <c r="N26" i="24"/>
  <c r="N32" i="24"/>
  <c r="N8" i="24"/>
  <c r="N14" i="24"/>
  <c r="N18" i="24"/>
  <c r="N53" i="24"/>
  <c r="N84" i="24"/>
  <c r="N68" i="24"/>
  <c r="N70" i="24"/>
  <c r="N58" i="24"/>
  <c r="N46" i="24"/>
  <c r="N75" i="24"/>
  <c r="N81" i="24"/>
  <c r="N9" i="24"/>
  <c r="N45" i="24"/>
  <c r="N17" i="24"/>
  <c r="N77" i="24"/>
  <c r="N50" i="24"/>
  <c r="N29" i="24"/>
  <c r="N23" i="24"/>
  <c r="N7" i="24"/>
  <c r="N71" i="24"/>
  <c r="N49" i="24"/>
  <c r="N60" i="24"/>
  <c r="N47" i="24"/>
  <c r="N21" i="24"/>
  <c r="N66" i="24"/>
  <c r="N36" i="24"/>
  <c r="N33" i="24"/>
  <c r="N19" i="24"/>
  <c r="N51" i="24"/>
  <c r="N67" i="24"/>
  <c r="N41" i="24"/>
  <c r="N22" i="24"/>
  <c r="N73" i="24"/>
  <c r="N72" i="24"/>
  <c r="N65" i="24"/>
  <c r="N42" i="24"/>
  <c r="N82" i="24"/>
  <c r="N69" i="24"/>
  <c r="N15" i="24"/>
  <c r="N40" i="24"/>
  <c r="N13" i="24"/>
  <c r="N57" i="24"/>
  <c r="N62" i="24"/>
  <c r="N38" i="24"/>
  <c r="N39" i="24"/>
  <c r="N74" i="24"/>
  <c r="N55" i="24"/>
  <c r="N27" i="24"/>
  <c r="N86" i="24"/>
  <c r="N80" i="24"/>
  <c r="N56" i="24"/>
  <c r="N44" i="24"/>
  <c r="N10" i="24"/>
  <c r="N34" i="24"/>
  <c r="N43" i="24"/>
  <c r="N54" i="24"/>
  <c r="N64" i="24"/>
  <c r="N76" i="24"/>
  <c r="N78" i="24"/>
  <c r="N16" i="24"/>
  <c r="N12" i="24"/>
  <c r="N52" i="24"/>
  <c r="N24" i="24"/>
  <c r="N63" i="24"/>
  <c r="N59" i="24"/>
  <c r="N20" i="24"/>
  <c r="N30" i="24"/>
  <c r="N48" i="24"/>
  <c r="AZ7" i="7"/>
  <c r="O54" i="24"/>
  <c r="O58" i="24"/>
  <c r="O52" i="24"/>
  <c r="O18" i="24"/>
  <c r="O78" i="24"/>
  <c r="O43" i="24"/>
  <c r="O39" i="24"/>
  <c r="O31" i="24"/>
  <c r="O56" i="24"/>
  <c r="O36" i="24"/>
  <c r="O34" i="24"/>
  <c r="O7" i="24"/>
  <c r="O13" i="24"/>
  <c r="O40" i="24"/>
  <c r="O14" i="24"/>
  <c r="O66" i="24"/>
  <c r="O19" i="24"/>
  <c r="O85" i="24"/>
  <c r="O28" i="24"/>
  <c r="O44" i="24"/>
  <c r="O55" i="24"/>
  <c r="O30" i="24"/>
  <c r="O41" i="24"/>
  <c r="O37" i="24"/>
  <c r="O10" i="24"/>
  <c r="O8" i="24"/>
  <c r="O47" i="24"/>
  <c r="O71" i="24"/>
  <c r="O62" i="24"/>
  <c r="O74" i="24"/>
  <c r="O17" i="24"/>
  <c r="O50" i="24"/>
  <c r="O27" i="24"/>
  <c r="O24" i="24"/>
  <c r="O46" i="24"/>
  <c r="O61" i="24"/>
  <c r="O76" i="24"/>
  <c r="O73" i="24"/>
  <c r="O84" i="24"/>
  <c r="EC7" i="24"/>
  <c r="E7" i="24"/>
  <c r="AW8" i="24"/>
  <c r="AW9" i="24"/>
  <c r="EK7" i="24"/>
  <c r="AZ7" i="24"/>
  <c r="AK7" i="24"/>
  <c r="BH7" i="24"/>
  <c r="EL7" i="24"/>
  <c r="AJ78" i="32"/>
  <c r="CP7" i="7"/>
  <c r="O53" i="24"/>
  <c r="O42" i="24"/>
  <c r="O77" i="24"/>
  <c r="O75" i="24"/>
  <c r="O51" i="24"/>
  <c r="O35" i="24"/>
  <c r="O64" i="24"/>
  <c r="O72" i="24"/>
  <c r="O82" i="24"/>
  <c r="O15" i="24"/>
  <c r="O22" i="24"/>
  <c r="O45" i="24"/>
  <c r="O11" i="24"/>
  <c r="O69" i="24"/>
  <c r="O48" i="24"/>
  <c r="O68" i="24"/>
  <c r="O81" i="24"/>
  <c r="O70" i="24"/>
  <c r="O26" i="24"/>
  <c r="O32" i="24"/>
  <c r="O59" i="24"/>
  <c r="O9" i="24"/>
  <c r="O16" i="24"/>
  <c r="O23" i="24"/>
  <c r="O79" i="24"/>
  <c r="O63" i="24"/>
  <c r="O67" i="24"/>
  <c r="O57" i="24"/>
  <c r="O65" i="24"/>
  <c r="O38" i="24"/>
  <c r="O21" i="24"/>
  <c r="O60" i="24"/>
  <c r="O83" i="24"/>
  <c r="O25" i="24"/>
  <c r="O86" i="24"/>
  <c r="O12" i="24"/>
  <c r="O49" i="24"/>
  <c r="O29" i="24"/>
  <c r="O20" i="24"/>
  <c r="O33" i="24"/>
  <c r="O80" i="24"/>
  <c r="O60" i="7"/>
  <c r="O67" i="7"/>
  <c r="O46" i="7"/>
  <c r="O82" i="7"/>
  <c r="O53" i="7"/>
  <c r="O68" i="7"/>
  <c r="O33" i="7"/>
  <c r="O51" i="7"/>
  <c r="O8" i="7"/>
  <c r="O9" i="7"/>
  <c r="O36" i="7"/>
  <c r="O57" i="7"/>
  <c r="O40" i="7"/>
  <c r="O34" i="7"/>
  <c r="O81" i="7"/>
  <c r="O74" i="7"/>
  <c r="O32" i="7"/>
  <c r="O55" i="7"/>
  <c r="O71" i="7"/>
  <c r="O84" i="7"/>
  <c r="O23" i="7"/>
  <c r="O63" i="7"/>
  <c r="O10" i="7"/>
  <c r="O66" i="7"/>
  <c r="O59" i="7"/>
  <c r="O22" i="7"/>
  <c r="O16" i="7"/>
  <c r="O27" i="7"/>
  <c r="R8" i="24"/>
  <c r="S8" i="24"/>
  <c r="AY8" i="24"/>
  <c r="Q8" i="24"/>
  <c r="BC8" i="24"/>
  <c r="N28" i="24"/>
  <c r="N79" i="24"/>
  <c r="HM14" i="24"/>
  <c r="HL14" i="24"/>
  <c r="C75" i="32"/>
  <c r="AJ75" i="32"/>
  <c r="B79" i="7"/>
  <c r="AJ74" i="32"/>
  <c r="HP15" i="7"/>
  <c r="HP15" i="24"/>
  <c r="DU86" i="7"/>
  <c r="DU82" i="7"/>
  <c r="DU80" i="7"/>
  <c r="DU71" i="7"/>
  <c r="DU70" i="7"/>
  <c r="DU43" i="7"/>
  <c r="DU29" i="7"/>
  <c r="DU25" i="7"/>
  <c r="DU21" i="7"/>
  <c r="DU20" i="7"/>
  <c r="DU18" i="7"/>
  <c r="DU17" i="7"/>
  <c r="DU16" i="7"/>
  <c r="DU14" i="7"/>
  <c r="DU10" i="7"/>
  <c r="DU84" i="7"/>
  <c r="DU77" i="7"/>
  <c r="DU76" i="7"/>
  <c r="DU74" i="7"/>
  <c r="DU72" i="7"/>
  <c r="DU69" i="7"/>
  <c r="DU44" i="7"/>
  <c r="DU41" i="7"/>
  <c r="DU40" i="7"/>
  <c r="DU39" i="7"/>
  <c r="DU37" i="7"/>
  <c r="DU35" i="7"/>
  <c r="DU34" i="7"/>
  <c r="DU33" i="7"/>
  <c r="DU26" i="7"/>
  <c r="DU23" i="7"/>
  <c r="DU13" i="7"/>
  <c r="DU12" i="7"/>
  <c r="DU9" i="7"/>
  <c r="DU83" i="7"/>
  <c r="DU73" i="7"/>
  <c r="DU68" i="7"/>
  <c r="DU67" i="7"/>
  <c r="DU66" i="7"/>
  <c r="DU36" i="7"/>
  <c r="DU30" i="7"/>
  <c r="DU27" i="7"/>
  <c r="DU22" i="7"/>
  <c r="DU15" i="7"/>
  <c r="DU11" i="7"/>
  <c r="DU85" i="7"/>
  <c r="DU81" i="7"/>
  <c r="DU79" i="7"/>
  <c r="DU78" i="7"/>
  <c r="DU75" i="7"/>
  <c r="DU65" i="7"/>
  <c r="DU42" i="7"/>
  <c r="DU38" i="7"/>
  <c r="DU32" i="7"/>
  <c r="DU31" i="7"/>
  <c r="DU28" i="7"/>
  <c r="DU24" i="7"/>
  <c r="DU19" i="7"/>
  <c r="DU8" i="7"/>
  <c r="DS13" i="24"/>
  <c r="DS17" i="24"/>
  <c r="DS21" i="24"/>
  <c r="DS25" i="24"/>
  <c r="DS33" i="24"/>
  <c r="DS45" i="24"/>
  <c r="DS49" i="24"/>
  <c r="DS53" i="24"/>
  <c r="DS57" i="24"/>
  <c r="DS65" i="24"/>
  <c r="DS77" i="24"/>
  <c r="DS81" i="24"/>
  <c r="DS85" i="24"/>
  <c r="DU71" i="24"/>
  <c r="DU28" i="24"/>
  <c r="DU29" i="24"/>
  <c r="DU11" i="24"/>
  <c r="DU83" i="24"/>
  <c r="DU26" i="24"/>
  <c r="DU84" i="24"/>
  <c r="DS14" i="24"/>
  <c r="DS18" i="24"/>
  <c r="DS22" i="24"/>
  <c r="DS26" i="24"/>
  <c r="DS34" i="24"/>
  <c r="DS46" i="24"/>
  <c r="DS50" i="24"/>
  <c r="DS54" i="24"/>
  <c r="DS58" i="24"/>
  <c r="DS66" i="24"/>
  <c r="DS78" i="24"/>
  <c r="DS82" i="24"/>
  <c r="DS86" i="24"/>
  <c r="DU74" i="24"/>
  <c r="DU32" i="24"/>
  <c r="DU33" i="24"/>
  <c r="DU12" i="24"/>
  <c r="DU14" i="24"/>
  <c r="DU30" i="24"/>
  <c r="DU15" i="24"/>
  <c r="DS15" i="24"/>
  <c r="DS19" i="24"/>
  <c r="DS23" i="24"/>
  <c r="DS27" i="24"/>
  <c r="DS35" i="24"/>
  <c r="DS47" i="24"/>
  <c r="DS51" i="24"/>
  <c r="DS55" i="24"/>
  <c r="DS59" i="24"/>
  <c r="DS67" i="24"/>
  <c r="DS79" i="24"/>
  <c r="DS83" i="24"/>
  <c r="DS7" i="24"/>
  <c r="DU78" i="24"/>
  <c r="DU36" i="24"/>
  <c r="DU21" i="24"/>
  <c r="DU37" i="24"/>
  <c r="DU69" i="24"/>
  <c r="DU76" i="24"/>
  <c r="DU34" i="24"/>
  <c r="DU35" i="24"/>
  <c r="DU67" i="24"/>
  <c r="DS8" i="24"/>
  <c r="DS12" i="24"/>
  <c r="DS20" i="24"/>
  <c r="DS32" i="24"/>
  <c r="DS36" i="24"/>
  <c r="DS40" i="24"/>
  <c r="DS44" i="24"/>
  <c r="DS52" i="24"/>
  <c r="DS56" i="24"/>
  <c r="DS64" i="24"/>
  <c r="DS68" i="24"/>
  <c r="DS72" i="24"/>
  <c r="DS76" i="24"/>
  <c r="DS80" i="24"/>
  <c r="DS84" i="24"/>
  <c r="DU9" i="24"/>
  <c r="DU13" i="24"/>
  <c r="DU24" i="24"/>
  <c r="DU40" i="24"/>
  <c r="DU10" i="24"/>
  <c r="DU82" i="24"/>
  <c r="DU25" i="24"/>
  <c r="DU41" i="24"/>
  <c r="DU7" i="24"/>
  <c r="DU80" i="24"/>
  <c r="DU22" i="24"/>
  <c r="DU38" i="24"/>
  <c r="DU8" i="24"/>
  <c r="DU81" i="24"/>
  <c r="DU23" i="24"/>
  <c r="DU39" i="24"/>
  <c r="DS12" i="7"/>
  <c r="DS28" i="7"/>
  <c r="DS44" i="7"/>
  <c r="DS60" i="7"/>
  <c r="DS76" i="7"/>
  <c r="DS13" i="7"/>
  <c r="DS29" i="7"/>
  <c r="DS45" i="7"/>
  <c r="DS61" i="7"/>
  <c r="DS77" i="7"/>
  <c r="DS14" i="7"/>
  <c r="DS30" i="7"/>
  <c r="DS46" i="7"/>
  <c r="DS62" i="7"/>
  <c r="DS78" i="7"/>
  <c r="DS15" i="7"/>
  <c r="DS31" i="7"/>
  <c r="DS47" i="7"/>
  <c r="DS63" i="7"/>
  <c r="DS79" i="7"/>
  <c r="DS16" i="7"/>
  <c r="DS32" i="7"/>
  <c r="DS48" i="7"/>
  <c r="DS64" i="7"/>
  <c r="DS80" i="7"/>
  <c r="DS17" i="7"/>
  <c r="DS33" i="7"/>
  <c r="DS49" i="7"/>
  <c r="DS65" i="7"/>
  <c r="DS81" i="7"/>
  <c r="DS18" i="7"/>
  <c r="DS34" i="7"/>
  <c r="DS50" i="7"/>
  <c r="DS66" i="7"/>
  <c r="DS82" i="7"/>
  <c r="DS19" i="7"/>
  <c r="DS35" i="7"/>
  <c r="DS51" i="7"/>
  <c r="DS67" i="7"/>
  <c r="DS83" i="7"/>
  <c r="DS20" i="7"/>
  <c r="DS36" i="7"/>
  <c r="DS52" i="7"/>
  <c r="DS68" i="7"/>
  <c r="DS84" i="7"/>
  <c r="DS21" i="7"/>
  <c r="DS37" i="7"/>
  <c r="DS53" i="7"/>
  <c r="DS69" i="7"/>
  <c r="DS85" i="7"/>
  <c r="DS22" i="7"/>
  <c r="DS38" i="7"/>
  <c r="DS54" i="7"/>
  <c r="DS70" i="7"/>
  <c r="DS86" i="7"/>
  <c r="DS23" i="7"/>
  <c r="DS39" i="7"/>
  <c r="DS55" i="7"/>
  <c r="DS71" i="7"/>
  <c r="DS7" i="7"/>
  <c r="DS8" i="7"/>
  <c r="DS24" i="7"/>
  <c r="DS40" i="7"/>
  <c r="DS56" i="7"/>
  <c r="DS72" i="7"/>
  <c r="DS9" i="7"/>
  <c r="DS25" i="7"/>
  <c r="DS41" i="7"/>
  <c r="DS57" i="7"/>
  <c r="DS73" i="7"/>
  <c r="DS10" i="7"/>
  <c r="DS26" i="7"/>
  <c r="DS42" i="7"/>
  <c r="DS58" i="7"/>
  <c r="DS74" i="7"/>
  <c r="DS11" i="7"/>
  <c r="DS27" i="7"/>
  <c r="DS43" i="7"/>
  <c r="DS59" i="7"/>
  <c r="DS75" i="7"/>
  <c r="EA7" i="24"/>
  <c r="EI7" i="24"/>
  <c r="EI7" i="7"/>
  <c r="CO7" i="24"/>
  <c r="EL8" i="24"/>
  <c r="AT7" i="24"/>
  <c r="BD7" i="24"/>
  <c r="BV7" i="24"/>
  <c r="AZ8" i="24"/>
  <c r="AK8" i="24"/>
  <c r="HL14" i="7"/>
  <c r="HM15" i="7"/>
  <c r="AX9" i="7"/>
  <c r="R8" i="7"/>
  <c r="S8" i="7"/>
  <c r="BC8" i="7"/>
  <c r="AY8" i="7"/>
  <c r="Q8" i="7"/>
  <c r="BK7" i="24"/>
  <c r="BE7" i="24"/>
  <c r="E8" i="24"/>
  <c r="EC8" i="24"/>
  <c r="EK8" i="24"/>
  <c r="CF7" i="24"/>
  <c r="AI7" i="7"/>
  <c r="E7" i="27"/>
  <c r="AJ7" i="24"/>
  <c r="AP7" i="7"/>
  <c r="BE7" i="7"/>
  <c r="AK7" i="7"/>
  <c r="BH7" i="7"/>
  <c r="BL7" i="7"/>
  <c r="BV7" i="7"/>
  <c r="BK7" i="7"/>
  <c r="BM7" i="7"/>
  <c r="BO7" i="7"/>
  <c r="AO7" i="7"/>
  <c r="AM7" i="7"/>
  <c r="AN7" i="7"/>
  <c r="BD7" i="7"/>
  <c r="BF7" i="7"/>
  <c r="FS7" i="7"/>
  <c r="AR7" i="24"/>
  <c r="BF7" i="24"/>
  <c r="DT7" i="24"/>
  <c r="AJ7" i="7"/>
  <c r="AQ7" i="24"/>
  <c r="EW7" i="24"/>
  <c r="AS7" i="24"/>
  <c r="BL7" i="24"/>
  <c r="BM7" i="24"/>
  <c r="BO7" i="24"/>
  <c r="CN7" i="24"/>
  <c r="B93" i="24"/>
  <c r="B78" i="7"/>
  <c r="AZ9" i="24"/>
  <c r="EC9" i="24"/>
  <c r="E9" i="24"/>
  <c r="AW10" i="24"/>
  <c r="EK9" i="24"/>
  <c r="EL9" i="24"/>
  <c r="HM15" i="24"/>
  <c r="HM16" i="24"/>
  <c r="HM17" i="24"/>
  <c r="BH8" i="24"/>
  <c r="BL8" i="24"/>
  <c r="BK8" i="24"/>
  <c r="AS8" i="24"/>
  <c r="BE8" i="24"/>
  <c r="BV8" i="24"/>
  <c r="DT8" i="24"/>
  <c r="HO22" i="7"/>
  <c r="HP22" i="7" s="1"/>
  <c r="HP99" i="7" s="1"/>
  <c r="HO21" i="7"/>
  <c r="HP21" i="7" s="1"/>
  <c r="HP98" i="7" s="1"/>
  <c r="HV20" i="7"/>
  <c r="HW20" i="7" s="1"/>
  <c r="HO20" i="7"/>
  <c r="HP20" i="7" s="1"/>
  <c r="HV19" i="7"/>
  <c r="HW19" i="7" s="1"/>
  <c r="HQ19" i="7"/>
  <c r="HO23" i="7"/>
  <c r="HP23" i="7" s="1"/>
  <c r="HQ21" i="7"/>
  <c r="HO19" i="7"/>
  <c r="HP19" i="7" s="1"/>
  <c r="HV24" i="7"/>
  <c r="FG7" i="7" s="1"/>
  <c r="HV22" i="7"/>
  <c r="HB3" i="7" s="1"/>
  <c r="HQ22" i="7"/>
  <c r="HV18" i="7"/>
  <c r="IE13" i="7" s="1"/>
  <c r="HQ20" i="7"/>
  <c r="HQ18" i="7"/>
  <c r="HW24" i="7"/>
  <c r="HQ23" i="7"/>
  <c r="HV21" i="7"/>
  <c r="HQ8" i="7" s="1"/>
  <c r="HO24" i="7"/>
  <c r="HP24" i="7" s="1"/>
  <c r="HP101" i="7" s="1"/>
  <c r="HO18" i="7"/>
  <c r="HP18" i="7" s="1"/>
  <c r="HR18" i="7" s="1"/>
  <c r="HQ24" i="7"/>
  <c r="HV22" i="24"/>
  <c r="HB3" i="24" s="1"/>
  <c r="HB29" i="24" s="1"/>
  <c r="HV21" i="24"/>
  <c r="HQ10" i="24" s="1"/>
  <c r="HO19" i="24"/>
  <c r="HP19" i="24" s="1"/>
  <c r="HO21" i="24"/>
  <c r="HP21" i="24" s="1"/>
  <c r="HQ18" i="24"/>
  <c r="HV20" i="24"/>
  <c r="HW20" i="24" s="1"/>
  <c r="HO20" i="24"/>
  <c r="HP20" i="24" s="1"/>
  <c r="HQ22" i="24"/>
  <c r="HV19" i="24"/>
  <c r="HW19" i="24" s="1"/>
  <c r="HO22" i="24"/>
  <c r="HP22" i="24" s="1"/>
  <c r="HO24" i="24"/>
  <c r="HP24" i="24" s="1"/>
  <c r="HV18" i="24"/>
  <c r="HV24" i="24"/>
  <c r="FG75" i="24" s="1"/>
  <c r="HQ24" i="24"/>
  <c r="HW24" i="24"/>
  <c r="T7" i="24" s="1"/>
  <c r="HQ21" i="24"/>
  <c r="HO18" i="24"/>
  <c r="HP18" i="24" s="1"/>
  <c r="HR18" i="24" s="1"/>
  <c r="HQ20" i="24"/>
  <c r="HQ19" i="24"/>
  <c r="HO23" i="24"/>
  <c r="HP23" i="24" s="1"/>
  <c r="HQ23" i="24"/>
  <c r="BC9" i="7"/>
  <c r="AX10" i="7"/>
  <c r="AY9" i="7"/>
  <c r="Q9" i="7"/>
  <c r="R9" i="7"/>
  <c r="S9" i="7"/>
  <c r="HM16" i="7"/>
  <c r="HL15" i="7"/>
  <c r="FS7" i="24"/>
  <c r="AR7" i="7"/>
  <c r="BG7" i="7"/>
  <c r="AI8" i="7"/>
  <c r="CF8" i="24"/>
  <c r="BG7" i="24"/>
  <c r="BV9" i="24"/>
  <c r="CO9" i="24"/>
  <c r="BE9" i="24"/>
  <c r="AQ9" i="24"/>
  <c r="CN9" i="24"/>
  <c r="AJ9" i="7"/>
  <c r="AT9" i="24"/>
  <c r="BD9" i="24"/>
  <c r="BF9" i="24"/>
  <c r="AS9" i="24"/>
  <c r="AK9" i="24"/>
  <c r="DT9" i="24"/>
  <c r="AW11" i="24"/>
  <c r="EC10" i="24"/>
  <c r="EK10" i="24"/>
  <c r="E10" i="24"/>
  <c r="EL10" i="24"/>
  <c r="AZ10" i="24"/>
  <c r="CO10" i="24"/>
  <c r="AI9" i="7"/>
  <c r="CF9" i="24"/>
  <c r="EJ7" i="24"/>
  <c r="EJ7" i="7"/>
  <c r="Q10" i="7"/>
  <c r="R10" i="7"/>
  <c r="BC10" i="7"/>
  <c r="HM17" i="7"/>
  <c r="HL16" i="7"/>
  <c r="AW12" i="24"/>
  <c r="EL11" i="24"/>
  <c r="AZ11" i="24"/>
  <c r="AS11" i="24"/>
  <c r="E11" i="24"/>
  <c r="EK11" i="24"/>
  <c r="EC11" i="24"/>
  <c r="AI10" i="7"/>
  <c r="CF10" i="24"/>
  <c r="FS9" i="24"/>
  <c r="AR9" i="7"/>
  <c r="BG9" i="7"/>
  <c r="BE10" i="24"/>
  <c r="BF10" i="24"/>
  <c r="AK10" i="24"/>
  <c r="DT10" i="24"/>
  <c r="CN10" i="24"/>
  <c r="AT10" i="24"/>
  <c r="BD10" i="24"/>
  <c r="BV10" i="24"/>
  <c r="AJ10" i="7"/>
  <c r="HL16" i="24"/>
  <c r="HL17" i="7"/>
  <c r="HM18" i="7"/>
  <c r="HM19" i="7"/>
  <c r="HM20" i="7"/>
  <c r="S10" i="7"/>
  <c r="AW13" i="24"/>
  <c r="EC13" i="24"/>
  <c r="EL12" i="24"/>
  <c r="EK12" i="24"/>
  <c r="EC12" i="24"/>
  <c r="HL17" i="24"/>
  <c r="HM18" i="24"/>
  <c r="HM19" i="24"/>
  <c r="HM20" i="24"/>
  <c r="CF11" i="24"/>
  <c r="AI11" i="7"/>
  <c r="BE11" i="24"/>
  <c r="BV11" i="24"/>
  <c r="AJ11" i="7"/>
  <c r="CN11" i="24"/>
  <c r="BF11" i="24"/>
  <c r="FS11" i="24"/>
  <c r="AR11" i="7"/>
  <c r="BG11" i="7"/>
  <c r="AQ11" i="24"/>
  <c r="AT11" i="24"/>
  <c r="DT11" i="24"/>
  <c r="HL18" i="7"/>
  <c r="EL13" i="24"/>
  <c r="EK13" i="24"/>
  <c r="AZ13" i="24"/>
  <c r="AT13" i="24"/>
  <c r="E13" i="24"/>
  <c r="CF13" i="24"/>
  <c r="HL18" i="24"/>
  <c r="HL19" i="7"/>
  <c r="HL19" i="24"/>
  <c r="AI13" i="7"/>
  <c r="AJ13" i="7"/>
  <c r="HM21" i="24"/>
  <c r="HM22" i="24"/>
  <c r="HL22" i="24"/>
  <c r="HL20" i="24"/>
  <c r="CF7" i="7"/>
  <c r="DT7" i="7"/>
  <c r="CN7" i="7"/>
  <c r="CO7" i="7"/>
  <c r="DU66" i="24"/>
  <c r="DU65" i="24"/>
  <c r="DU64" i="7"/>
  <c r="DU64" i="24"/>
  <c r="DU63" i="24"/>
  <c r="DU63" i="7"/>
  <c r="DU62" i="7"/>
  <c r="DU62" i="24"/>
  <c r="DU61" i="7"/>
  <c r="DU61" i="24"/>
  <c r="DU60" i="7"/>
  <c r="DU60" i="24"/>
  <c r="DU59" i="7"/>
  <c r="DU59" i="24"/>
  <c r="DU58" i="7"/>
  <c r="DU58" i="24"/>
  <c r="DU57" i="7"/>
  <c r="DU57" i="24"/>
  <c r="DU56" i="7"/>
  <c r="DU56" i="24"/>
  <c r="DU55" i="7"/>
  <c r="DU55" i="24"/>
  <c r="DU54" i="7"/>
  <c r="DU54" i="24"/>
  <c r="DU53" i="24"/>
  <c r="DU53" i="7"/>
  <c r="DU52" i="24"/>
  <c r="DU52" i="7"/>
  <c r="DU51" i="24"/>
  <c r="DU51" i="7"/>
  <c r="DU50" i="24"/>
  <c r="DU50" i="7"/>
  <c r="DU49" i="24"/>
  <c r="DU49" i="7"/>
  <c r="DU48" i="24"/>
  <c r="DU48" i="7"/>
  <c r="DU47" i="24"/>
  <c r="DU47" i="7"/>
  <c r="DU46" i="7"/>
  <c r="DU46" i="24"/>
  <c r="DU45" i="7"/>
  <c r="DU45" i="24"/>
  <c r="DU44" i="24"/>
  <c r="DU43" i="24"/>
  <c r="DU42" i="24"/>
  <c r="B99" i="7"/>
  <c r="S5" i="32" s="1"/>
  <c r="T7" i="7"/>
  <c r="FN7" i="7"/>
  <c r="FO7" i="7"/>
  <c r="AM7" i="24"/>
  <c r="FP7" i="7"/>
  <c r="AN7" i="24"/>
  <c r="FR7" i="7"/>
  <c r="AP7" i="24"/>
  <c r="FQ7" i="7"/>
  <c r="AO7" i="24"/>
  <c r="AV7" i="7"/>
  <c r="HP9" i="7"/>
  <c r="HP91" i="7"/>
  <c r="HR63" i="7"/>
  <c r="HW9" i="7"/>
  <c r="HP3" i="7"/>
  <c r="HR71" i="7"/>
  <c r="HP11" i="7"/>
  <c r="HP93" i="7"/>
  <c r="HR50" i="7"/>
  <c r="HR72" i="7"/>
  <c r="HW4" i="7"/>
  <c r="HR69" i="7"/>
  <c r="HP8" i="7"/>
  <c r="HP90" i="7"/>
  <c r="HQ90" i="7"/>
  <c r="HP13" i="7"/>
  <c r="HP95" i="7"/>
  <c r="HQ95" i="7"/>
  <c r="HP12" i="7"/>
  <c r="HP94" i="7"/>
  <c r="HQ94" i="7"/>
  <c r="HP7" i="7"/>
  <c r="HP10" i="7"/>
  <c r="HP92" i="7"/>
  <c r="HQ92" i="7"/>
  <c r="HW8" i="7"/>
  <c r="B7" i="24"/>
  <c r="T9" i="7"/>
  <c r="HQ93" i="7"/>
  <c r="HP3" i="24"/>
  <c r="HW9" i="24"/>
  <c r="HW8" i="24"/>
  <c r="HP9" i="24"/>
  <c r="HW4" i="24"/>
  <c r="AV7" i="24"/>
  <c r="HP8" i="24"/>
  <c r="HP13" i="24"/>
  <c r="D7" i="7"/>
  <c r="D7" i="27"/>
  <c r="FX7" i="7"/>
  <c r="GJ7" i="7"/>
  <c r="AF7" i="27"/>
  <c r="AV8" i="7"/>
  <c r="AV9" i="7"/>
  <c r="D8" i="7"/>
  <c r="D8" i="27"/>
  <c r="FX8" i="7"/>
  <c r="GJ8" i="7"/>
  <c r="AF8" i="27"/>
  <c r="AV8" i="24"/>
  <c r="D8" i="24"/>
  <c r="D7" i="24"/>
  <c r="DB7" i="24"/>
  <c r="FX7" i="24"/>
  <c r="GJ7" i="24"/>
  <c r="BS7" i="32"/>
  <c r="T7" i="27"/>
  <c r="CS7" i="7"/>
  <c r="CT7" i="7" s="1"/>
  <c r="DB7" i="7"/>
  <c r="BB7" i="7"/>
  <c r="AV9" i="24"/>
  <c r="FX8" i="24"/>
  <c r="CS8" i="7"/>
  <c r="CT8" i="7" s="1"/>
  <c r="BI7" i="7"/>
  <c r="BP7" i="7"/>
  <c r="BU7" i="7"/>
  <c r="T8" i="27"/>
  <c r="CS7" i="24"/>
  <c r="CT7" i="24" s="1"/>
  <c r="BS7" i="24" s="1"/>
  <c r="DK7" i="24"/>
  <c r="DL7" i="24" s="1"/>
  <c r="DM7" i="24" s="1"/>
  <c r="BB7" i="24"/>
  <c r="FX9" i="7"/>
  <c r="BG8" i="32"/>
  <c r="GJ8" i="24"/>
  <c r="BS8" i="32"/>
  <c r="T10" i="7"/>
  <c r="HB57" i="24"/>
  <c r="HB40" i="24"/>
  <c r="ID13" i="7"/>
  <c r="DB8" i="24"/>
  <c r="BB8" i="24"/>
  <c r="BG7" i="32"/>
  <c r="CS8" i="24"/>
  <c r="CT8" i="24" s="1"/>
  <c r="CW8" i="24" s="1"/>
  <c r="AV10" i="7"/>
  <c r="D9" i="7"/>
  <c r="T9" i="27"/>
  <c r="GJ9" i="7"/>
  <c r="AF9" i="27"/>
  <c r="AV10" i="24"/>
  <c r="FX9" i="24"/>
  <c r="D9" i="24"/>
  <c r="CG7" i="7"/>
  <c r="DK8" i="7"/>
  <c r="DL8" i="7" s="1"/>
  <c r="HQ91" i="7"/>
  <c r="BI7" i="24"/>
  <c r="DK7" i="7"/>
  <c r="DL7" i="7" s="1"/>
  <c r="DM7" i="7" s="1"/>
  <c r="HP10" i="24"/>
  <c r="HP12" i="24"/>
  <c r="HP11" i="24"/>
  <c r="HP7" i="24"/>
  <c r="HM23" i="24"/>
  <c r="FC7" i="24"/>
  <c r="FD7" i="24"/>
  <c r="EZ7" i="24"/>
  <c r="FE7" i="24"/>
  <c r="HL21" i="24"/>
  <c r="HL20" i="7"/>
  <c r="HM21" i="7"/>
  <c r="BE13" i="24"/>
  <c r="AW14" i="24"/>
  <c r="CO11" i="24"/>
  <c r="AZ12" i="24"/>
  <c r="E12" i="24"/>
  <c r="HJ25" i="24"/>
  <c r="HK24" i="24"/>
  <c r="CN13" i="24"/>
  <c r="AK13" i="24"/>
  <c r="BD13" i="24"/>
  <c r="FS10" i="24"/>
  <c r="AR10" i="7"/>
  <c r="BG10" i="7"/>
  <c r="EG7" i="24"/>
  <c r="DY7" i="24"/>
  <c r="AQ13" i="24"/>
  <c r="HL15" i="24"/>
  <c r="DK8" i="24"/>
  <c r="DL8" i="24" s="1"/>
  <c r="HJ48" i="7"/>
  <c r="HJ49" i="7"/>
  <c r="HJ50" i="7"/>
  <c r="HJ51" i="7"/>
  <c r="HJ52" i="7"/>
  <c r="HJ53" i="7"/>
  <c r="HJ54" i="7"/>
  <c r="HJ55" i="7"/>
  <c r="HJ56" i="7"/>
  <c r="HJ57" i="7"/>
  <c r="HJ58" i="7"/>
  <c r="HJ59" i="7"/>
  <c r="HJ60" i="7"/>
  <c r="HJ61" i="7"/>
  <c r="HJ62" i="7"/>
  <c r="HJ63" i="7"/>
  <c r="HJ64" i="7"/>
  <c r="HJ65" i="7"/>
  <c r="HJ66" i="7"/>
  <c r="HJ67" i="7"/>
  <c r="HJ68" i="7"/>
  <c r="HJ69" i="7"/>
  <c r="HJ70" i="7"/>
  <c r="HJ71" i="7"/>
  <c r="HJ72" i="7"/>
  <c r="HJ73" i="7"/>
  <c r="HJ74" i="7"/>
  <c r="HJ75" i="7"/>
  <c r="HJ76" i="7"/>
  <c r="HJ77" i="7"/>
  <c r="HJ78" i="7"/>
  <c r="HJ79" i="7"/>
  <c r="HJ80" i="7"/>
  <c r="HJ81" i="7"/>
  <c r="HJ82" i="7"/>
  <c r="HJ83" i="7"/>
  <c r="HJ84" i="7"/>
  <c r="HJ85" i="7"/>
  <c r="HJ86" i="7"/>
  <c r="HJ87" i="7"/>
  <c r="HJ88" i="7"/>
  <c r="HJ89" i="7"/>
  <c r="HJ90" i="7"/>
  <c r="HJ91" i="7"/>
  <c r="HJ92" i="7"/>
  <c r="HJ93" i="7"/>
  <c r="HJ94" i="7"/>
  <c r="HJ95" i="7"/>
  <c r="HJ96" i="7"/>
  <c r="HJ97" i="7"/>
  <c r="HJ98" i="7"/>
  <c r="HJ99" i="7"/>
  <c r="HJ100" i="7"/>
  <c r="HJ101" i="7"/>
  <c r="HJ102" i="7"/>
  <c r="HJ103" i="7"/>
  <c r="HJ104" i="7"/>
  <c r="HJ105" i="7"/>
  <c r="HJ106" i="7"/>
  <c r="HJ107" i="7"/>
  <c r="HJ108" i="7"/>
  <c r="HJ109" i="7"/>
  <c r="HJ110" i="7"/>
  <c r="HJ111" i="7"/>
  <c r="HK47" i="7"/>
  <c r="BF13" i="24"/>
  <c r="DT13" i="24"/>
  <c r="BV13" i="24"/>
  <c r="AS13" i="24"/>
  <c r="CO13" i="24"/>
  <c r="BD11" i="24"/>
  <c r="AK11" i="24"/>
  <c r="ES7" i="24"/>
  <c r="HK39" i="7"/>
  <c r="AQ10" i="24"/>
  <c r="AS10" i="24"/>
  <c r="AX11" i="7"/>
  <c r="AQ8" i="24"/>
  <c r="BM8" i="24"/>
  <c r="BO8" i="24"/>
  <c r="AT8" i="24"/>
  <c r="BD8" i="24"/>
  <c r="EL7" i="7"/>
  <c r="AY10" i="7"/>
  <c r="T8" i="7"/>
  <c r="AJ8" i="7"/>
  <c r="BF8" i="24"/>
  <c r="EK8" i="7"/>
  <c r="E8" i="7"/>
  <c r="AZ8" i="7"/>
  <c r="AW9" i="7"/>
  <c r="EC8" i="7"/>
  <c r="DS29" i="24"/>
  <c r="DS61" i="24"/>
  <c r="DU85" i="24"/>
  <c r="DU70" i="24"/>
  <c r="DS30" i="24"/>
  <c r="DS62" i="24"/>
  <c r="DU16" i="24"/>
  <c r="DU73" i="24"/>
  <c r="DS31" i="24"/>
  <c r="DS63" i="24"/>
  <c r="DU20" i="24"/>
  <c r="DU18" i="24"/>
  <c r="DS16" i="24"/>
  <c r="DS48" i="24"/>
  <c r="DS37" i="24"/>
  <c r="DS69" i="24"/>
  <c r="DU72" i="24"/>
  <c r="DU27" i="24"/>
  <c r="DS38" i="24"/>
  <c r="DS70" i="24"/>
  <c r="DU75" i="24"/>
  <c r="DU31" i="24"/>
  <c r="DS39" i="24"/>
  <c r="DS71" i="24"/>
  <c r="DU68" i="24"/>
  <c r="DU77" i="24"/>
  <c r="DS24" i="24"/>
  <c r="DS9" i="24"/>
  <c r="DS41" i="24"/>
  <c r="DS73" i="24"/>
  <c r="DU86" i="24"/>
  <c r="DS10" i="24"/>
  <c r="DS42" i="24"/>
  <c r="DS74" i="24"/>
  <c r="DU17" i="24"/>
  <c r="DS11" i="24"/>
  <c r="DS43" i="24"/>
  <c r="DS75" i="24"/>
  <c r="DU79" i="24"/>
  <c r="DU19" i="24"/>
  <c r="DS28" i="24"/>
  <c r="DS60" i="24"/>
  <c r="CN8" i="24"/>
  <c r="CO8" i="24"/>
  <c r="EL8" i="7"/>
  <c r="EP7" i="24"/>
  <c r="N11" i="7"/>
  <c r="N47" i="7"/>
  <c r="N67" i="7"/>
  <c r="N86" i="7"/>
  <c r="N64" i="7"/>
  <c r="N65" i="7"/>
  <c r="N51" i="7"/>
  <c r="N18" i="7"/>
  <c r="N37" i="7"/>
  <c r="N48" i="7"/>
  <c r="N80" i="7"/>
  <c r="N31" i="7"/>
  <c r="N55" i="7"/>
  <c r="N43" i="7"/>
  <c r="N21" i="7"/>
  <c r="N27" i="7"/>
  <c r="N83" i="7"/>
  <c r="N35" i="7"/>
  <c r="N39" i="7"/>
  <c r="N66" i="7"/>
  <c r="N29" i="7"/>
  <c r="N46" i="7"/>
  <c r="N74" i="7"/>
  <c r="N72" i="7"/>
  <c r="N42" i="7"/>
  <c r="N68" i="7"/>
  <c r="N60" i="7"/>
  <c r="N38" i="7"/>
  <c r="N73" i="7"/>
  <c r="N53" i="7"/>
  <c r="N10" i="7"/>
  <c r="N82" i="7"/>
  <c r="N56" i="7"/>
  <c r="N28" i="7"/>
  <c r="N34" i="7"/>
  <c r="N24" i="7"/>
  <c r="N20" i="7"/>
  <c r="N23" i="7"/>
  <c r="N70" i="7"/>
  <c r="N41" i="7"/>
  <c r="N32" i="7"/>
  <c r="N62" i="7"/>
  <c r="N84" i="7"/>
  <c r="N12" i="7"/>
  <c r="N79" i="7"/>
  <c r="N78" i="7"/>
  <c r="N26" i="7"/>
  <c r="N63" i="7"/>
  <c r="N58" i="7"/>
  <c r="N44" i="7"/>
  <c r="N36" i="7"/>
  <c r="N9" i="7"/>
  <c r="N61" i="7"/>
  <c r="N25" i="7"/>
  <c r="N75" i="7"/>
  <c r="N81" i="7"/>
  <c r="N8" i="7"/>
  <c r="N7" i="7"/>
  <c r="N76" i="7"/>
  <c r="N71" i="7"/>
  <c r="N22" i="7"/>
  <c r="N69" i="7"/>
  <c r="N33" i="7"/>
  <c r="N40" i="7"/>
  <c r="N15" i="7"/>
  <c r="N16" i="7"/>
  <c r="N49" i="7"/>
  <c r="N14" i="7"/>
  <c r="N77" i="7"/>
  <c r="N85" i="7"/>
  <c r="EG7" i="7"/>
  <c r="P46" i="24"/>
  <c r="P60" i="24"/>
  <c r="P9" i="24"/>
  <c r="P50" i="24"/>
  <c r="P52" i="24"/>
  <c r="P77" i="24"/>
  <c r="P71" i="24"/>
  <c r="P25" i="24"/>
  <c r="P35" i="24"/>
  <c r="P72" i="24"/>
  <c r="P86" i="24"/>
  <c r="P39" i="24"/>
  <c r="P18" i="24"/>
  <c r="P45" i="24"/>
  <c r="P12" i="24"/>
  <c r="P64" i="24"/>
  <c r="P59" i="24"/>
  <c r="P76" i="24"/>
  <c r="P57" i="24"/>
  <c r="P36" i="24"/>
  <c r="P8" i="24"/>
  <c r="P70" i="24"/>
  <c r="P22" i="24"/>
  <c r="HK103" i="7"/>
  <c r="AX9" i="24"/>
  <c r="HK24" i="7"/>
  <c r="HK32" i="7"/>
  <c r="HK40" i="7"/>
  <c r="HK48" i="7"/>
  <c r="HK56" i="7"/>
  <c r="HK64" i="7"/>
  <c r="HK72" i="7"/>
  <c r="HK80" i="7"/>
  <c r="HK88" i="7"/>
  <c r="HK96" i="7"/>
  <c r="HK104" i="7"/>
  <c r="HK17" i="7"/>
  <c r="HK25" i="7"/>
  <c r="HK33" i="7"/>
  <c r="HK41" i="7"/>
  <c r="HK49" i="7"/>
  <c r="HK57" i="7"/>
  <c r="HK65" i="7"/>
  <c r="HK73" i="7"/>
  <c r="HK81" i="7"/>
  <c r="HK89" i="7"/>
  <c r="HK97" i="7"/>
  <c r="HK105" i="7"/>
  <c r="HK18" i="7"/>
  <c r="HK26" i="7"/>
  <c r="HK34" i="7"/>
  <c r="HK42" i="7"/>
  <c r="HK50" i="7"/>
  <c r="HK58" i="7"/>
  <c r="HK66" i="7"/>
  <c r="HK74" i="7"/>
  <c r="HK82" i="7"/>
  <c r="HK90" i="7"/>
  <c r="HK98" i="7"/>
  <c r="HK106" i="7"/>
  <c r="HK19" i="7"/>
  <c r="HK27" i="7"/>
  <c r="HK35" i="7"/>
  <c r="HK43" i="7"/>
  <c r="HK51" i="7"/>
  <c r="HK59" i="7"/>
  <c r="HK67" i="7"/>
  <c r="HK75" i="7"/>
  <c r="HK83" i="7"/>
  <c r="HK91" i="7"/>
  <c r="HK99" i="7"/>
  <c r="HK107" i="7"/>
  <c r="HK20" i="7"/>
  <c r="HK28" i="7"/>
  <c r="HK36" i="7"/>
  <c r="HK44" i="7"/>
  <c r="HK52" i="7"/>
  <c r="HK60" i="7"/>
  <c r="HK68" i="7"/>
  <c r="HK76" i="7"/>
  <c r="HK84" i="7"/>
  <c r="HK92" i="7"/>
  <c r="HK100" i="7"/>
  <c r="HK108" i="7"/>
  <c r="HK16" i="7"/>
  <c r="HK21" i="7"/>
  <c r="HK29" i="7"/>
  <c r="HK37" i="7"/>
  <c r="HK45" i="7"/>
  <c r="HK53" i="7"/>
  <c r="HK61" i="7"/>
  <c r="HK69" i="7"/>
  <c r="HK77" i="7"/>
  <c r="HK85" i="7"/>
  <c r="HK93" i="7"/>
  <c r="HK101" i="7"/>
  <c r="HK109" i="7"/>
  <c r="HK22" i="7"/>
  <c r="HK30" i="7"/>
  <c r="HK38" i="7"/>
  <c r="HK46" i="7"/>
  <c r="HK54" i="7"/>
  <c r="HK62" i="7"/>
  <c r="HK70" i="7"/>
  <c r="HK78" i="7"/>
  <c r="HK86" i="7"/>
  <c r="HK94" i="7"/>
  <c r="HK102" i="7"/>
  <c r="HK110" i="7"/>
  <c r="AX42" i="32"/>
  <c r="W7" i="32" s="1"/>
  <c r="HK95" i="7"/>
  <c r="HK31" i="7"/>
  <c r="HK87" i="7"/>
  <c r="HK23" i="7"/>
  <c r="S7" i="7"/>
  <c r="HK79" i="7"/>
  <c r="B9" i="7"/>
  <c r="B9" i="24"/>
  <c r="HK71" i="7"/>
  <c r="O29" i="7"/>
  <c r="O30" i="7"/>
  <c r="O76" i="7"/>
  <c r="O85" i="7"/>
  <c r="O20" i="7"/>
  <c r="O80" i="7"/>
  <c r="O48" i="7"/>
  <c r="O54" i="7"/>
  <c r="O35" i="7"/>
  <c r="O12" i="7"/>
  <c r="O39" i="7"/>
  <c r="O47" i="7"/>
  <c r="O42" i="7"/>
  <c r="O21" i="7"/>
  <c r="O83" i="7"/>
  <c r="O17" i="7"/>
  <c r="O44" i="7"/>
  <c r="HK23" i="24"/>
  <c r="HR72" i="24"/>
  <c r="HK22" i="24"/>
  <c r="HR71" i="24"/>
  <c r="HK21" i="24"/>
  <c r="HR69" i="24"/>
  <c r="HK20" i="24"/>
  <c r="HR63" i="24"/>
  <c r="HK19" i="24"/>
  <c r="HR50" i="24"/>
  <c r="HK18" i="24"/>
  <c r="HK17" i="24"/>
  <c r="EC7" i="7"/>
  <c r="EA7" i="7"/>
  <c r="HK63" i="7"/>
  <c r="HK16" i="24"/>
  <c r="HK55" i="7"/>
  <c r="BD8" i="7"/>
  <c r="FV8" i="7"/>
  <c r="BF8" i="7"/>
  <c r="FW8" i="7"/>
  <c r="AN8" i="7"/>
  <c r="BL8" i="7"/>
  <c r="AM8" i="7"/>
  <c r="AK8" i="7"/>
  <c r="BH8" i="7"/>
  <c r="AO8" i="7"/>
  <c r="AJ8" i="24"/>
  <c r="BK8" i="7"/>
  <c r="AP8" i="7"/>
  <c r="BV8" i="7"/>
  <c r="BE8" i="7"/>
  <c r="GA8" i="7"/>
  <c r="CN8" i="7"/>
  <c r="X8" i="7"/>
  <c r="DT8" i="7"/>
  <c r="CO8" i="7"/>
  <c r="FO8" i="7"/>
  <c r="AM8" i="24"/>
  <c r="FP8" i="7"/>
  <c r="AN8" i="24"/>
  <c r="FR8" i="7"/>
  <c r="AP8" i="24"/>
  <c r="FN8" i="7"/>
  <c r="BB8" i="7"/>
  <c r="CG8" i="7"/>
  <c r="FQ8" i="7"/>
  <c r="AO8" i="24"/>
  <c r="DB8" i="7"/>
  <c r="FS13" i="24"/>
  <c r="AR13" i="7"/>
  <c r="BG13" i="7"/>
  <c r="EK14" i="24"/>
  <c r="AZ14" i="24"/>
  <c r="E14" i="24"/>
  <c r="EC14" i="24"/>
  <c r="EL14" i="24"/>
  <c r="AW15" i="24"/>
  <c r="CG8" i="24"/>
  <c r="CG7" i="24"/>
  <c r="AI8" i="24"/>
  <c r="E8" i="27"/>
  <c r="CF8" i="7"/>
  <c r="EW7" i="7"/>
  <c r="EP7" i="7"/>
  <c r="DY7" i="7"/>
  <c r="FS8" i="24"/>
  <c r="AR8" i="7"/>
  <c r="BG8" i="7"/>
  <c r="HJ112" i="7"/>
  <c r="HK111" i="7"/>
  <c r="HK25" i="24"/>
  <c r="HJ26" i="24"/>
  <c r="CS9" i="7"/>
  <c r="CT9" i="7" s="1"/>
  <c r="CW9" i="7" s="1"/>
  <c r="D9" i="27"/>
  <c r="DK9" i="7"/>
  <c r="DL9" i="7" s="1"/>
  <c r="BC9" i="24"/>
  <c r="AX10" i="24"/>
  <c r="Q9" i="24"/>
  <c r="BK9" i="24"/>
  <c r="R9" i="24"/>
  <c r="BL9" i="24"/>
  <c r="AY9" i="24"/>
  <c r="BH9" i="24"/>
  <c r="CG9" i="24"/>
  <c r="AX12" i="7"/>
  <c r="Q11" i="7"/>
  <c r="AY11" i="7"/>
  <c r="BC11" i="7"/>
  <c r="R11" i="7"/>
  <c r="HM22" i="7"/>
  <c r="HL21" i="7"/>
  <c r="D10" i="7"/>
  <c r="AV11" i="7"/>
  <c r="FX10" i="7"/>
  <c r="AI12" i="7"/>
  <c r="CF12" i="24"/>
  <c r="HL23" i="24"/>
  <c r="HM24" i="24"/>
  <c r="DB9" i="24"/>
  <c r="CS9" i="24"/>
  <c r="CT9" i="24" s="1"/>
  <c r="CW9" i="24" s="1"/>
  <c r="BB9" i="24"/>
  <c r="DK9" i="24"/>
  <c r="DL9" i="24" s="1"/>
  <c r="FV7" i="24"/>
  <c r="FV8" i="24"/>
  <c r="GA8" i="24"/>
  <c r="BJ8" i="32"/>
  <c r="FW8" i="24"/>
  <c r="FW9" i="24"/>
  <c r="FV9" i="24"/>
  <c r="FW7" i="24"/>
  <c r="CN12" i="24"/>
  <c r="AT12" i="24"/>
  <c r="BD12" i="24"/>
  <c r="AS12" i="24"/>
  <c r="AJ12" i="7"/>
  <c r="AK12" i="24"/>
  <c r="BE12" i="24"/>
  <c r="CO12" i="24"/>
  <c r="AQ12" i="24"/>
  <c r="BF12" i="24"/>
  <c r="DT12" i="24"/>
  <c r="BV12" i="24"/>
  <c r="BP7" i="24"/>
  <c r="BU7" i="24"/>
  <c r="BG9" i="32"/>
  <c r="GJ9" i="24"/>
  <c r="BS9" i="32"/>
  <c r="FW7" i="7"/>
  <c r="FV7" i="7"/>
  <c r="EK9" i="7"/>
  <c r="E9" i="7"/>
  <c r="AW10" i="7"/>
  <c r="AZ9" i="7"/>
  <c r="EC9" i="7"/>
  <c r="EL9" i="7"/>
  <c r="EB7" i="24"/>
  <c r="FK7" i="24"/>
  <c r="FF7" i="24"/>
  <c r="D10" i="24"/>
  <c r="AV11" i="24"/>
  <c r="FX10" i="24"/>
  <c r="AI9" i="24"/>
  <c r="E9" i="27"/>
  <c r="CF9" i="7"/>
  <c r="FE7" i="7"/>
  <c r="FC7" i="7"/>
  <c r="EZ7" i="7"/>
  <c r="FD7" i="7"/>
  <c r="FY8" i="24"/>
  <c r="BH8" i="32"/>
  <c r="BB10" i="24"/>
  <c r="DB10" i="24"/>
  <c r="CS10" i="24"/>
  <c r="CT10" i="24" s="1"/>
  <c r="CW10" i="24" s="1"/>
  <c r="DK10" i="24"/>
  <c r="DL10" i="24" s="1"/>
  <c r="AD7" i="7"/>
  <c r="N7" i="27"/>
  <c r="AE7" i="7"/>
  <c r="AF7" i="7"/>
  <c r="P7" i="27"/>
  <c r="AC7" i="7"/>
  <c r="GL7" i="7"/>
  <c r="AH7" i="27"/>
  <c r="GM7" i="7"/>
  <c r="AG7" i="7"/>
  <c r="GN7" i="7"/>
  <c r="AJ7" i="27"/>
  <c r="GK7" i="7"/>
  <c r="AG7" i="27"/>
  <c r="AC7" i="24"/>
  <c r="GN7" i="24"/>
  <c r="BW7" i="32"/>
  <c r="AD7" i="24"/>
  <c r="AF7" i="24"/>
  <c r="GK7" i="24"/>
  <c r="BT7" i="32"/>
  <c r="GL7" i="24"/>
  <c r="BU7" i="32"/>
  <c r="AG7" i="24"/>
  <c r="GM7" i="24"/>
  <c r="BV7" i="32"/>
  <c r="AE7" i="24"/>
  <c r="EB7" i="7"/>
  <c r="AI14" i="7"/>
  <c r="CF14" i="24"/>
  <c r="BM8" i="7"/>
  <c r="BO8" i="7"/>
  <c r="GB8" i="7"/>
  <c r="FS8" i="7"/>
  <c r="AR8" i="24"/>
  <c r="BG8" i="24"/>
  <c r="FX11" i="24"/>
  <c r="D11" i="24"/>
  <c r="AV12" i="24"/>
  <c r="HM25" i="24"/>
  <c r="HL24" i="24"/>
  <c r="X9" i="24"/>
  <c r="GA9" i="24"/>
  <c r="BJ9" i="32"/>
  <c r="FZ9" i="24"/>
  <c r="BI9" i="32"/>
  <c r="S9" i="24"/>
  <c r="CO14" i="24"/>
  <c r="AQ14" i="24"/>
  <c r="AK14" i="24"/>
  <c r="BE14" i="24"/>
  <c r="DT14" i="24"/>
  <c r="AJ14" i="7"/>
  <c r="BV14" i="24"/>
  <c r="AT14" i="24"/>
  <c r="BD14" i="24"/>
  <c r="CN14" i="24"/>
  <c r="BF14" i="24"/>
  <c r="AS14" i="24"/>
  <c r="GA7" i="7"/>
  <c r="FZ7" i="7"/>
  <c r="V7" i="27"/>
  <c r="X7" i="7"/>
  <c r="H7" i="27"/>
  <c r="FY7" i="7"/>
  <c r="GB7" i="7"/>
  <c r="FY9" i="24"/>
  <c r="BH9" i="32"/>
  <c r="AO9" i="7"/>
  <c r="FV9" i="7"/>
  <c r="AN9" i="7"/>
  <c r="AJ9" i="24"/>
  <c r="BL9" i="7"/>
  <c r="AM9" i="7"/>
  <c r="AP9" i="7"/>
  <c r="AK9" i="7"/>
  <c r="BH9" i="7"/>
  <c r="BV9" i="7"/>
  <c r="BF9" i="7"/>
  <c r="BK9" i="7"/>
  <c r="BM9" i="7"/>
  <c r="BO9" i="7"/>
  <c r="BD9" i="7"/>
  <c r="FW9" i="7"/>
  <c r="BE9" i="7"/>
  <c r="GA9" i="7"/>
  <c r="W9" i="27"/>
  <c r="DT9" i="7"/>
  <c r="CN9" i="7"/>
  <c r="X9" i="7"/>
  <c r="H9" i="27"/>
  <c r="CO9" i="7"/>
  <c r="FN9" i="7"/>
  <c r="FP9" i="7"/>
  <c r="AN9" i="24"/>
  <c r="FO9" i="7"/>
  <c r="AM9" i="24"/>
  <c r="BB9" i="7"/>
  <c r="FR9" i="7"/>
  <c r="AP9" i="24"/>
  <c r="DB9" i="7"/>
  <c r="FQ9" i="7"/>
  <c r="AO9" i="24"/>
  <c r="AY12" i="7"/>
  <c r="R12" i="7"/>
  <c r="BC12" i="7"/>
  <c r="AX13" i="7"/>
  <c r="Q12" i="7"/>
  <c r="BM9" i="24"/>
  <c r="BO9" i="24"/>
  <c r="HJ27" i="24"/>
  <c r="HK26" i="24"/>
  <c r="FZ8" i="7"/>
  <c r="FS12" i="24"/>
  <c r="AR12" i="7"/>
  <c r="BG12" i="7"/>
  <c r="T10" i="27"/>
  <c r="GJ10" i="7"/>
  <c r="AF10" i="27"/>
  <c r="HL22" i="7"/>
  <c r="HM23" i="7"/>
  <c r="Q10" i="24"/>
  <c r="AX11" i="24"/>
  <c r="AY10" i="24"/>
  <c r="BC10" i="24"/>
  <c r="BH10" i="24"/>
  <c r="R10" i="24"/>
  <c r="BL10" i="24"/>
  <c r="BK10" i="24"/>
  <c r="BM10" i="24"/>
  <c r="BO10" i="24"/>
  <c r="CG10" i="24"/>
  <c r="FZ8" i="24"/>
  <c r="BI8" i="32"/>
  <c r="BI8" i="7"/>
  <c r="FY8" i="7"/>
  <c r="H8" i="27"/>
  <c r="GA7" i="24"/>
  <c r="BJ7" i="32"/>
  <c r="X7" i="24"/>
  <c r="GB7" i="24"/>
  <c r="BK7" i="32"/>
  <c r="FZ7" i="24"/>
  <c r="BI7" i="32"/>
  <c r="FY7" i="24"/>
  <c r="BH7" i="32"/>
  <c r="D11" i="7"/>
  <c r="FX11" i="7"/>
  <c r="AV12" i="7"/>
  <c r="S11" i="7"/>
  <c r="T11" i="7"/>
  <c r="HJ113" i="7"/>
  <c r="HK112" i="7"/>
  <c r="FV10" i="24"/>
  <c r="AZ15" i="24"/>
  <c r="EC15" i="24"/>
  <c r="AW16" i="24"/>
  <c r="EL15" i="24"/>
  <c r="EK15" i="24"/>
  <c r="E15" i="24"/>
  <c r="W8" i="27"/>
  <c r="E10" i="7"/>
  <c r="EC10" i="7"/>
  <c r="AZ10" i="7"/>
  <c r="EK10" i="7"/>
  <c r="AW11" i="7"/>
  <c r="EL10" i="7"/>
  <c r="BG10" i="32"/>
  <c r="GJ10" i="24"/>
  <c r="BS10" i="32"/>
  <c r="GR7" i="24"/>
  <c r="GS7" i="24"/>
  <c r="GP7" i="24"/>
  <c r="GQ7" i="24"/>
  <c r="X8" i="24"/>
  <c r="FW10" i="24"/>
  <c r="CS10" i="7"/>
  <c r="CT10" i="7" s="1"/>
  <c r="CW10" i="7" s="1"/>
  <c r="D10" i="27"/>
  <c r="DK10" i="7"/>
  <c r="DL10" i="7" s="1"/>
  <c r="ES7" i="7"/>
  <c r="GJ11" i="7"/>
  <c r="AF11" i="27"/>
  <c r="T11" i="27"/>
  <c r="BC11" i="24"/>
  <c r="R11" i="24"/>
  <c r="AX12" i="24"/>
  <c r="AY11" i="24"/>
  <c r="BK11" i="24"/>
  <c r="BM11" i="24"/>
  <c r="BO11" i="24"/>
  <c r="Q11" i="24"/>
  <c r="BH11" i="24"/>
  <c r="BL11" i="24"/>
  <c r="FW11" i="24"/>
  <c r="FV11" i="24"/>
  <c r="AI10" i="24"/>
  <c r="E10" i="27"/>
  <c r="CF10" i="7"/>
  <c r="DK11" i="7"/>
  <c r="DL11" i="7" s="1"/>
  <c r="D11" i="27"/>
  <c r="CS11" i="7"/>
  <c r="CT11" i="7" s="1"/>
  <c r="CW11" i="7" s="1"/>
  <c r="V8" i="27"/>
  <c r="FY9" i="7"/>
  <c r="U9" i="27"/>
  <c r="BI9" i="7"/>
  <c r="W7" i="27"/>
  <c r="BG11" i="32"/>
  <c r="GJ11" i="24"/>
  <c r="BS11" i="32"/>
  <c r="U8" i="27"/>
  <c r="Q13" i="7"/>
  <c r="AY13" i="7"/>
  <c r="BC13" i="7"/>
  <c r="AX14" i="7"/>
  <c r="R13" i="7"/>
  <c r="HM26" i="24"/>
  <c r="HL25" i="24"/>
  <c r="BI8" i="24"/>
  <c r="GB8" i="24"/>
  <c r="BK8" i="32"/>
  <c r="CG9" i="7"/>
  <c r="FZ9" i="7"/>
  <c r="V9" i="27"/>
  <c r="Q7" i="27"/>
  <c r="GA10" i="24"/>
  <c r="BJ10" i="32"/>
  <c r="X10" i="24"/>
  <c r="FZ10" i="24"/>
  <c r="BI10" i="32"/>
  <c r="HL23" i="7"/>
  <c r="HM24" i="7"/>
  <c r="CF15" i="24"/>
  <c r="AI15" i="7"/>
  <c r="HJ114" i="7"/>
  <c r="HK113" i="7"/>
  <c r="S10" i="24"/>
  <c r="EK11" i="7"/>
  <c r="E11" i="7"/>
  <c r="EC11" i="7"/>
  <c r="AW12" i="7"/>
  <c r="AZ11" i="7"/>
  <c r="EL11" i="7"/>
  <c r="BP8" i="7"/>
  <c r="BU8" i="7"/>
  <c r="AI7" i="27"/>
  <c r="FF7" i="7"/>
  <c r="AK15" i="24"/>
  <c r="AT15" i="24"/>
  <c r="CN15" i="24"/>
  <c r="AQ15" i="24"/>
  <c r="BE15" i="24"/>
  <c r="DT15" i="24"/>
  <c r="CO15" i="24"/>
  <c r="AS15" i="24"/>
  <c r="AJ15" i="7"/>
  <c r="BD15" i="24"/>
  <c r="BV15" i="24"/>
  <c r="BF15" i="24"/>
  <c r="S12" i="7"/>
  <c r="T12" i="7"/>
  <c r="FS9" i="7"/>
  <c r="AR9" i="24"/>
  <c r="BG9" i="24"/>
  <c r="GB9" i="7"/>
  <c r="X7" i="27"/>
  <c r="FK7" i="7"/>
  <c r="FY10" i="24"/>
  <c r="BH10" i="32"/>
  <c r="GT7" i="24" a="1"/>
  <c r="GT7" i="24"/>
  <c r="AP10" i="7"/>
  <c r="AN10" i="7"/>
  <c r="FV10" i="7"/>
  <c r="AJ10" i="24"/>
  <c r="BD10" i="7"/>
  <c r="BV10" i="7"/>
  <c r="BF10" i="7"/>
  <c r="AM10" i="7"/>
  <c r="AO10" i="7"/>
  <c r="AK10" i="7"/>
  <c r="BH10" i="7"/>
  <c r="FW10" i="7"/>
  <c r="BL10" i="7"/>
  <c r="BK10" i="7"/>
  <c r="BM10" i="7"/>
  <c r="BO10" i="7"/>
  <c r="CN10" i="7"/>
  <c r="FO10" i="7"/>
  <c r="AM10" i="24"/>
  <c r="FR10" i="7"/>
  <c r="AP10" i="24"/>
  <c r="CO10" i="7"/>
  <c r="BE10" i="7"/>
  <c r="DT10" i="7"/>
  <c r="FN10" i="7"/>
  <c r="FP10" i="7"/>
  <c r="AN10" i="24"/>
  <c r="DB10" i="7"/>
  <c r="FQ10" i="7"/>
  <c r="AO10" i="24"/>
  <c r="BB10" i="7"/>
  <c r="CG10" i="7"/>
  <c r="E16" i="24"/>
  <c r="EC16" i="24"/>
  <c r="EK16" i="24"/>
  <c r="AW17" i="24"/>
  <c r="AZ16" i="24"/>
  <c r="EL16" i="24"/>
  <c r="D12" i="7"/>
  <c r="FX12" i="7"/>
  <c r="AV13" i="7"/>
  <c r="HK27" i="24"/>
  <c r="HJ28" i="24"/>
  <c r="U7" i="27"/>
  <c r="M7" i="27"/>
  <c r="FX12" i="24"/>
  <c r="AV13" i="24"/>
  <c r="D12" i="24"/>
  <c r="FS14" i="24"/>
  <c r="AR14" i="7"/>
  <c r="BG14" i="7"/>
  <c r="DB11" i="24"/>
  <c r="DK11" i="24"/>
  <c r="DL11" i="24" s="1"/>
  <c r="BB11" i="24"/>
  <c r="CS11" i="24"/>
  <c r="CT11" i="24" s="1"/>
  <c r="CW11" i="24" s="1"/>
  <c r="O7" i="27"/>
  <c r="FS10" i="7"/>
  <c r="AR10" i="24"/>
  <c r="BG10" i="24"/>
  <c r="GB10" i="7"/>
  <c r="FY11" i="24"/>
  <c r="BH11" i="32"/>
  <c r="AV14" i="7"/>
  <c r="FX13" i="7"/>
  <c r="D13" i="7"/>
  <c r="X10" i="7"/>
  <c r="H10" i="27"/>
  <c r="GS7" i="7"/>
  <c r="GQ7" i="7"/>
  <c r="GR7" i="7"/>
  <c r="GP7" i="7"/>
  <c r="X11" i="24"/>
  <c r="GA11" i="24"/>
  <c r="BJ11" i="32"/>
  <c r="FZ11" i="24"/>
  <c r="BI11" i="32"/>
  <c r="BH12" i="24"/>
  <c r="R12" i="24"/>
  <c r="Q12" i="24"/>
  <c r="AX13" i="24"/>
  <c r="AY12" i="24"/>
  <c r="BC12" i="24"/>
  <c r="BL12" i="24"/>
  <c r="CG12" i="24"/>
  <c r="BK12" i="24"/>
  <c r="FW12" i="24"/>
  <c r="FV12" i="24"/>
  <c r="HK28" i="24"/>
  <c r="HJ29" i="24"/>
  <c r="E12" i="7"/>
  <c r="EK12" i="7"/>
  <c r="AZ12" i="7"/>
  <c r="EC12" i="7"/>
  <c r="AW13" i="7"/>
  <c r="EL12" i="7"/>
  <c r="CF16" i="24"/>
  <c r="AI16" i="7"/>
  <c r="HM25" i="7"/>
  <c r="HL24" i="7"/>
  <c r="S13" i="7"/>
  <c r="T13" i="7"/>
  <c r="S11" i="24"/>
  <c r="GX7" i="24"/>
  <c r="GU7" i="24"/>
  <c r="BW7" i="24"/>
  <c r="GW7" i="24"/>
  <c r="GV7" i="24"/>
  <c r="BX7" i="24"/>
  <c r="AP11" i="7"/>
  <c r="BD11" i="7"/>
  <c r="BV11" i="7"/>
  <c r="AK11" i="7"/>
  <c r="BH11" i="7"/>
  <c r="AM11" i="7"/>
  <c r="AO11" i="7"/>
  <c r="AJ11" i="24"/>
  <c r="FW11" i="7"/>
  <c r="BK11" i="7"/>
  <c r="BL11" i="7"/>
  <c r="AN11" i="7"/>
  <c r="BF11" i="7"/>
  <c r="FV11" i="7"/>
  <c r="DT11" i="7"/>
  <c r="FP11" i="7"/>
  <c r="AN11" i="24"/>
  <c r="CN11" i="7"/>
  <c r="X11" i="7"/>
  <c r="H11" i="27"/>
  <c r="CO11" i="7"/>
  <c r="FN11" i="7"/>
  <c r="FO11" i="7"/>
  <c r="AM11" i="24"/>
  <c r="DB11" i="7"/>
  <c r="BE11" i="7"/>
  <c r="FQ11" i="7"/>
  <c r="AO11" i="24"/>
  <c r="BB11" i="7"/>
  <c r="CG11" i="7"/>
  <c r="FR11" i="7"/>
  <c r="AP11" i="24"/>
  <c r="HJ115" i="7"/>
  <c r="HK114" i="7"/>
  <c r="T12" i="27"/>
  <c r="GJ12" i="7"/>
  <c r="AF12" i="27"/>
  <c r="FZ10" i="7"/>
  <c r="V10" i="27"/>
  <c r="AI11" i="24"/>
  <c r="E11" i="27"/>
  <c r="CF11" i="7"/>
  <c r="DK12" i="24"/>
  <c r="DL12" i="24" s="1"/>
  <c r="CS12" i="24"/>
  <c r="CT12" i="24" s="1"/>
  <c r="CW12" i="24" s="1"/>
  <c r="BB12" i="24"/>
  <c r="DB12" i="24"/>
  <c r="CS12" i="7"/>
  <c r="CT12" i="7" s="1"/>
  <c r="CW12" i="7" s="1"/>
  <c r="D12" i="27"/>
  <c r="DK12" i="7"/>
  <c r="DL12" i="7" s="1"/>
  <c r="X9" i="27"/>
  <c r="X8" i="27"/>
  <c r="BP8" i="24"/>
  <c r="BU8" i="24"/>
  <c r="AY14" i="7"/>
  <c r="BC14" i="7"/>
  <c r="Q14" i="7"/>
  <c r="AX15" i="7"/>
  <c r="R14" i="7"/>
  <c r="CG11" i="24"/>
  <c r="E17" i="24"/>
  <c r="EL17" i="24"/>
  <c r="EK17" i="24"/>
  <c r="AZ17" i="24"/>
  <c r="EC17" i="24"/>
  <c r="AW18" i="24"/>
  <c r="D13" i="24"/>
  <c r="AV14" i="24"/>
  <c r="FX13" i="24"/>
  <c r="GB9" i="24"/>
  <c r="BK9" i="32"/>
  <c r="BI9" i="24"/>
  <c r="FS15" i="24"/>
  <c r="AR15" i="7"/>
  <c r="BG15" i="7"/>
  <c r="BG12" i="32"/>
  <c r="GJ12" i="24"/>
  <c r="BS12" i="32"/>
  <c r="GA10" i="7"/>
  <c r="W10" i="27"/>
  <c r="HL26" i="24"/>
  <c r="HM27" i="24"/>
  <c r="BV16" i="24"/>
  <c r="AS16" i="24"/>
  <c r="AT16" i="24"/>
  <c r="BD16" i="24"/>
  <c r="BE16" i="24"/>
  <c r="CN16" i="24"/>
  <c r="DT16" i="24"/>
  <c r="AK16" i="24"/>
  <c r="BF16" i="24"/>
  <c r="AJ16" i="7"/>
  <c r="CO16" i="24"/>
  <c r="AQ16" i="24"/>
  <c r="FY10" i="7"/>
  <c r="U10" i="27"/>
  <c r="BI10" i="7"/>
  <c r="BP9" i="7"/>
  <c r="BU9" i="7"/>
  <c r="S14" i="7"/>
  <c r="T14" i="7"/>
  <c r="R15" i="7"/>
  <c r="AY15" i="7"/>
  <c r="AX16" i="7"/>
  <c r="BC15" i="7"/>
  <c r="Q15" i="7"/>
  <c r="AI12" i="24"/>
  <c r="E12" i="27"/>
  <c r="CF12" i="7"/>
  <c r="DK13" i="7"/>
  <c r="DL13" i="7" s="1"/>
  <c r="D13" i="27"/>
  <c r="CS13" i="7"/>
  <c r="CT13" i="7" s="1"/>
  <c r="CW13" i="7" s="1"/>
  <c r="HM28" i="24"/>
  <c r="HL27" i="24"/>
  <c r="BP9" i="24"/>
  <c r="BU9" i="24"/>
  <c r="DT17" i="24"/>
  <c r="CO17" i="24"/>
  <c r="AJ17" i="7"/>
  <c r="BV17" i="24"/>
  <c r="BF17" i="24"/>
  <c r="CN17" i="24"/>
  <c r="BE17" i="24"/>
  <c r="AQ17" i="24"/>
  <c r="AK17" i="24"/>
  <c r="AS17" i="24"/>
  <c r="AT17" i="24"/>
  <c r="BD17" i="24"/>
  <c r="FZ11" i="7"/>
  <c r="V11" i="27"/>
  <c r="HK29" i="24"/>
  <c r="HJ30" i="24"/>
  <c r="GJ13" i="7"/>
  <c r="AF13" i="27"/>
  <c r="T13" i="27"/>
  <c r="BB13" i="24"/>
  <c r="CG13" i="24"/>
  <c r="CS13" i="24"/>
  <c r="CT13" i="24" s="1"/>
  <c r="CW13" i="24" s="1"/>
  <c r="DK13" i="24"/>
  <c r="DL13" i="24" s="1"/>
  <c r="DB13" i="24"/>
  <c r="FY12" i="24"/>
  <c r="BH12" i="32"/>
  <c r="BM11" i="7"/>
  <c r="BO11" i="7"/>
  <c r="AX14" i="24"/>
  <c r="AY13" i="24"/>
  <c r="R13" i="24"/>
  <c r="BH13" i="24"/>
  <c r="Q13" i="24"/>
  <c r="BC13" i="24"/>
  <c r="BK13" i="24"/>
  <c r="BL13" i="24"/>
  <c r="FW13" i="24"/>
  <c r="FV13" i="24"/>
  <c r="GT7" i="7" a="1"/>
  <c r="GT7" i="7"/>
  <c r="AV15" i="7"/>
  <c r="FX14" i="7"/>
  <c r="D14" i="7"/>
  <c r="X12" i="24"/>
  <c r="FZ12" i="24"/>
  <c r="BI12" i="32"/>
  <c r="GA12" i="24"/>
  <c r="BJ12" i="32"/>
  <c r="GB10" i="24"/>
  <c r="BK10" i="32"/>
  <c r="BI10" i="24"/>
  <c r="FY11" i="7"/>
  <c r="U11" i="27"/>
  <c r="BI11" i="7"/>
  <c r="EH7" i="24"/>
  <c r="GD7" i="24"/>
  <c r="BM7" i="32"/>
  <c r="GJ13" i="24"/>
  <c r="BS13" i="32"/>
  <c r="BG13" i="32"/>
  <c r="CF17" i="24"/>
  <c r="AI17" i="7"/>
  <c r="HJ116" i="7"/>
  <c r="HK115" i="7"/>
  <c r="E13" i="7"/>
  <c r="AW14" i="7"/>
  <c r="AZ13" i="7"/>
  <c r="EK13" i="7"/>
  <c r="EC13" i="7"/>
  <c r="EL13" i="7"/>
  <c r="S12" i="24"/>
  <c r="FS16" i="24"/>
  <c r="AR16" i="7"/>
  <c r="BG16" i="7"/>
  <c r="FX14" i="24"/>
  <c r="AV15" i="24"/>
  <c r="D14" i="24"/>
  <c r="GC7" i="24"/>
  <c r="BL7" i="32"/>
  <c r="DZ7" i="24"/>
  <c r="BM12" i="24"/>
  <c r="BO12" i="24"/>
  <c r="BP10" i="7"/>
  <c r="BU10" i="7"/>
  <c r="GA11" i="7"/>
  <c r="W11" i="27"/>
  <c r="HM26" i="7"/>
  <c r="HL25" i="7"/>
  <c r="AJ12" i="24"/>
  <c r="AM12" i="7"/>
  <c r="AK12" i="7"/>
  <c r="BH12" i="7"/>
  <c r="BV12" i="7"/>
  <c r="AP12" i="7"/>
  <c r="AN12" i="7"/>
  <c r="AO12" i="7"/>
  <c r="BF12" i="7"/>
  <c r="BK12" i="7"/>
  <c r="BL12" i="7"/>
  <c r="FW12" i="7"/>
  <c r="FV12" i="7"/>
  <c r="BD12" i="7"/>
  <c r="FZ12" i="7"/>
  <c r="V12" i="27"/>
  <c r="DT12" i="7"/>
  <c r="FP12" i="7"/>
  <c r="AN12" i="24"/>
  <c r="CN12" i="7"/>
  <c r="X12" i="7"/>
  <c r="H12" i="27"/>
  <c r="FR12" i="7"/>
  <c r="AP12" i="24"/>
  <c r="CO12" i="7"/>
  <c r="FN12" i="7"/>
  <c r="DB12" i="7"/>
  <c r="BE12" i="7"/>
  <c r="GA12" i="7"/>
  <c r="W12" i="27"/>
  <c r="FQ12" i="7"/>
  <c r="AO12" i="24"/>
  <c r="BB12" i="7"/>
  <c r="FO12" i="7"/>
  <c r="AM12" i="24"/>
  <c r="AW19" i="24"/>
  <c r="E18" i="24"/>
  <c r="EK18" i="24"/>
  <c r="AZ18" i="24"/>
  <c r="EL18" i="24"/>
  <c r="EC18" i="24"/>
  <c r="FS11" i="7"/>
  <c r="AR11" i="24"/>
  <c r="BG11" i="24"/>
  <c r="GB11" i="7"/>
  <c r="FY12" i="7"/>
  <c r="U12" i="27"/>
  <c r="BI12" i="7"/>
  <c r="X11" i="27"/>
  <c r="AZ14" i="7"/>
  <c r="EC14" i="7"/>
  <c r="E14" i="7"/>
  <c r="AW15" i="7"/>
  <c r="EK14" i="7"/>
  <c r="EL14" i="7"/>
  <c r="X10" i="27"/>
  <c r="HJ31" i="24"/>
  <c r="HK30" i="24"/>
  <c r="S15" i="7"/>
  <c r="T15" i="7"/>
  <c r="HL26" i="7"/>
  <c r="HM27" i="7"/>
  <c r="BG14" i="32"/>
  <c r="GJ14" i="24"/>
  <c r="BS14" i="32"/>
  <c r="AN13" i="7"/>
  <c r="AJ13" i="24"/>
  <c r="BD13" i="7"/>
  <c r="BV13" i="7"/>
  <c r="AO13" i="7"/>
  <c r="AK13" i="7"/>
  <c r="BH13" i="7"/>
  <c r="BL13" i="7"/>
  <c r="AP13" i="7"/>
  <c r="FW13" i="7"/>
  <c r="BF13" i="7"/>
  <c r="BK13" i="7"/>
  <c r="BM13" i="7"/>
  <c r="BO13" i="7"/>
  <c r="FV13" i="7"/>
  <c r="AM13" i="7"/>
  <c r="BE13" i="7"/>
  <c r="GA13" i="7"/>
  <c r="DT13" i="7"/>
  <c r="FR13" i="7"/>
  <c r="AP13" i="24"/>
  <c r="FP13" i="7"/>
  <c r="AN13" i="24"/>
  <c r="FQ13" i="7"/>
  <c r="AO13" i="24"/>
  <c r="CN13" i="7"/>
  <c r="CO13" i="7"/>
  <c r="FN13" i="7"/>
  <c r="BB13" i="7"/>
  <c r="CG13" i="7"/>
  <c r="FO13" i="7"/>
  <c r="AM13" i="24"/>
  <c r="DB13" i="7"/>
  <c r="AY14" i="24"/>
  <c r="R14" i="24"/>
  <c r="AX15" i="24"/>
  <c r="BH14" i="24"/>
  <c r="BC14" i="24"/>
  <c r="Q14" i="24"/>
  <c r="FV14" i="24"/>
  <c r="BK14" i="24"/>
  <c r="BM14" i="24"/>
  <c r="BO14" i="24"/>
  <c r="FW14" i="24"/>
  <c r="BL14" i="24"/>
  <c r="GB11" i="24"/>
  <c r="BK11" i="32"/>
  <c r="BI11" i="24"/>
  <c r="AI13" i="24"/>
  <c r="E13" i="27"/>
  <c r="CF13" i="7"/>
  <c r="D14" i="27"/>
  <c r="DK14" i="7"/>
  <c r="DL14" i="7" s="1"/>
  <c r="CS14" i="7"/>
  <c r="CT14" i="7" s="1"/>
  <c r="CW14" i="7" s="1"/>
  <c r="BM13" i="24"/>
  <c r="BO13" i="24"/>
  <c r="E19" i="24"/>
  <c r="AW20" i="24"/>
  <c r="EC19" i="24"/>
  <c r="AZ19" i="24"/>
  <c r="EL19" i="24"/>
  <c r="EK19" i="24"/>
  <c r="GJ14" i="7"/>
  <c r="AF14" i="27"/>
  <c r="T14" i="27"/>
  <c r="HM29" i="24"/>
  <c r="HL28" i="24"/>
  <c r="FS12" i="7"/>
  <c r="AR12" i="24"/>
  <c r="BG12" i="24"/>
  <c r="GB12" i="7"/>
  <c r="CF18" i="24"/>
  <c r="AI18" i="7"/>
  <c r="BM12" i="7"/>
  <c r="BO12" i="7"/>
  <c r="HJ117" i="7"/>
  <c r="HK116" i="7"/>
  <c r="BP10" i="24"/>
  <c r="BU10" i="24"/>
  <c r="FX15" i="7"/>
  <c r="D15" i="7"/>
  <c r="AV16" i="7"/>
  <c r="CG12" i="7"/>
  <c r="AK18" i="24"/>
  <c r="BE18" i="24"/>
  <c r="AJ18" i="7"/>
  <c r="AS18" i="24"/>
  <c r="DT18" i="24"/>
  <c r="CO18" i="24"/>
  <c r="AQ18" i="24"/>
  <c r="BF18" i="24"/>
  <c r="AT18" i="24"/>
  <c r="BD18" i="24"/>
  <c r="CN18" i="24"/>
  <c r="BV18" i="24"/>
  <c r="GV7" i="7"/>
  <c r="BX7" i="7"/>
  <c r="GX7" i="7"/>
  <c r="GW7" i="7"/>
  <c r="GU7" i="7"/>
  <c r="BW7" i="7"/>
  <c r="DK14" i="24"/>
  <c r="DL14" i="24" s="1"/>
  <c r="CS14" i="24"/>
  <c r="CT14" i="24" s="1"/>
  <c r="CW14" i="24" s="1"/>
  <c r="DB14" i="24"/>
  <c r="BB14" i="24"/>
  <c r="BP11" i="7"/>
  <c r="BU11" i="7"/>
  <c r="FZ13" i="24"/>
  <c r="BI13" i="32"/>
  <c r="X13" i="24"/>
  <c r="GA13" i="24"/>
  <c r="BJ13" i="32"/>
  <c r="S13" i="24"/>
  <c r="FY13" i="24"/>
  <c r="BH13" i="32"/>
  <c r="AV16" i="24"/>
  <c r="D15" i="24"/>
  <c r="FX15" i="24"/>
  <c r="FS17" i="24"/>
  <c r="AR17" i="7"/>
  <c r="BG17" i="7"/>
  <c r="BC16" i="7"/>
  <c r="AY16" i="7"/>
  <c r="R16" i="7"/>
  <c r="Q16" i="7"/>
  <c r="AX17" i="7"/>
  <c r="T15" i="27"/>
  <c r="GJ15" i="7"/>
  <c r="AF15" i="27"/>
  <c r="CN19" i="24"/>
  <c r="AT19" i="24"/>
  <c r="AS19" i="24"/>
  <c r="BF19" i="24"/>
  <c r="BD19" i="24"/>
  <c r="AJ19" i="7"/>
  <c r="DT19" i="24"/>
  <c r="CO19" i="24"/>
  <c r="AQ19" i="24"/>
  <c r="BV19" i="24"/>
  <c r="AK19" i="24"/>
  <c r="BE19" i="24"/>
  <c r="BP11" i="24"/>
  <c r="BU11" i="24"/>
  <c r="E15" i="7"/>
  <c r="AW16" i="7"/>
  <c r="EC15" i="7"/>
  <c r="AZ15" i="7"/>
  <c r="EL15" i="7"/>
  <c r="EK15" i="7"/>
  <c r="HM30" i="24"/>
  <c r="HL29" i="24"/>
  <c r="FS13" i="7"/>
  <c r="AR13" i="24"/>
  <c r="BG13" i="24"/>
  <c r="GB13" i="7"/>
  <c r="DZ7" i="7"/>
  <c r="GC7" i="7"/>
  <c r="Y7" i="27"/>
  <c r="FS18" i="24"/>
  <c r="AR18" i="7"/>
  <c r="BG18" i="7"/>
  <c r="AZ20" i="24"/>
  <c r="EK20" i="24"/>
  <c r="EL20" i="24"/>
  <c r="AW21" i="24"/>
  <c r="E20" i="24"/>
  <c r="EC20" i="24"/>
  <c r="E14" i="27"/>
  <c r="AI14" i="24"/>
  <c r="CF14" i="7"/>
  <c r="D16" i="24"/>
  <c r="AV17" i="24"/>
  <c r="FX16" i="24"/>
  <c r="HJ118" i="7"/>
  <c r="HK117" i="7"/>
  <c r="GB12" i="24"/>
  <c r="BK12" i="32"/>
  <c r="BI12" i="24"/>
  <c r="AY17" i="7"/>
  <c r="Q17" i="7"/>
  <c r="BC17" i="7"/>
  <c r="R17" i="7"/>
  <c r="AX18" i="7"/>
  <c r="S16" i="7"/>
  <c r="T16" i="7"/>
  <c r="GJ15" i="24"/>
  <c r="BS15" i="32"/>
  <c r="BG15" i="32"/>
  <c r="DK15" i="24"/>
  <c r="DL15" i="24" s="1"/>
  <c r="CS15" i="24"/>
  <c r="CT15" i="24" s="1"/>
  <c r="CW15" i="24" s="1"/>
  <c r="BB15" i="24"/>
  <c r="CG15" i="24"/>
  <c r="DB15" i="24"/>
  <c r="CF19" i="24"/>
  <c r="AI19" i="7"/>
  <c r="BC15" i="24"/>
  <c r="AY15" i="24"/>
  <c r="Q15" i="24"/>
  <c r="R15" i="24"/>
  <c r="BH15" i="24"/>
  <c r="AX16" i="24"/>
  <c r="BK15" i="24"/>
  <c r="FV15" i="24"/>
  <c r="BL15" i="24"/>
  <c r="FW15" i="24"/>
  <c r="BP12" i="7"/>
  <c r="BU12" i="7"/>
  <c r="S14" i="24"/>
  <c r="FY13" i="7"/>
  <c r="U13" i="27"/>
  <c r="BI13" i="7"/>
  <c r="W13" i="27"/>
  <c r="HL27" i="7"/>
  <c r="HM28" i="7"/>
  <c r="AP14" i="7"/>
  <c r="BD14" i="7"/>
  <c r="FZ14" i="7"/>
  <c r="V14" i="27"/>
  <c r="AK14" i="7"/>
  <c r="BH14" i="7"/>
  <c r="BV14" i="7"/>
  <c r="AJ14" i="24"/>
  <c r="AM14" i="7"/>
  <c r="AN14" i="7"/>
  <c r="BF14" i="7"/>
  <c r="FV14" i="7"/>
  <c r="AO14" i="7"/>
  <c r="BL14" i="7"/>
  <c r="FW14" i="7"/>
  <c r="BK14" i="7"/>
  <c r="DT14" i="7"/>
  <c r="BE14" i="7"/>
  <c r="CN14" i="7"/>
  <c r="FP14" i="7"/>
  <c r="AN14" i="24"/>
  <c r="FN14" i="7"/>
  <c r="FO14" i="7"/>
  <c r="AM14" i="24"/>
  <c r="BB14" i="7"/>
  <c r="FR14" i="7"/>
  <c r="AP14" i="24"/>
  <c r="CO14" i="7"/>
  <c r="FQ14" i="7"/>
  <c r="AO14" i="24"/>
  <c r="DB14" i="7"/>
  <c r="FY14" i="24"/>
  <c r="BH14" i="32"/>
  <c r="EH7" i="7"/>
  <c r="GD7" i="7"/>
  <c r="Z7" i="27"/>
  <c r="X12" i="27"/>
  <c r="HJ32" i="24"/>
  <c r="HK31" i="24"/>
  <c r="FZ14" i="24"/>
  <c r="BI14" i="32"/>
  <c r="GA14" i="24"/>
  <c r="BJ14" i="32"/>
  <c r="X14" i="24"/>
  <c r="FX16" i="7"/>
  <c r="D16" i="7"/>
  <c r="AV17" i="7"/>
  <c r="CS15" i="7"/>
  <c r="CT15" i="7" s="1"/>
  <c r="CW15" i="7" s="1"/>
  <c r="D15" i="27"/>
  <c r="DK15" i="7"/>
  <c r="CG14" i="24"/>
  <c r="X13" i="7"/>
  <c r="H13" i="27"/>
  <c r="FZ13" i="7"/>
  <c r="V13" i="27"/>
  <c r="X14" i="7"/>
  <c r="H14" i="27"/>
  <c r="FS14" i="7"/>
  <c r="AR14" i="24"/>
  <c r="BG14" i="24"/>
  <c r="GB14" i="7"/>
  <c r="BM15" i="24"/>
  <c r="BO15" i="24"/>
  <c r="GA14" i="7"/>
  <c r="W14" i="27"/>
  <c r="GB13" i="24"/>
  <c r="BK13" i="32"/>
  <c r="BI13" i="24"/>
  <c r="AZ16" i="7"/>
  <c r="EK16" i="7"/>
  <c r="EC16" i="7"/>
  <c r="AW17" i="7"/>
  <c r="E16" i="7"/>
  <c r="EL16" i="7"/>
  <c r="FX17" i="7"/>
  <c r="AV18" i="7"/>
  <c r="D17" i="7"/>
  <c r="R16" i="24"/>
  <c r="AY16" i="24"/>
  <c r="AX17" i="24"/>
  <c r="BC16" i="24"/>
  <c r="Q16" i="24"/>
  <c r="BH16" i="24"/>
  <c r="CG16" i="24"/>
  <c r="FW16" i="24"/>
  <c r="BK16" i="24"/>
  <c r="BM16" i="24"/>
  <c r="BO16" i="24"/>
  <c r="BL16" i="24"/>
  <c r="FV16" i="24"/>
  <c r="BP12" i="24"/>
  <c r="BU12" i="24"/>
  <c r="AI20" i="7"/>
  <c r="CF20" i="24"/>
  <c r="AI15" i="24"/>
  <c r="E15" i="27"/>
  <c r="CF15" i="7"/>
  <c r="DL15" i="7"/>
  <c r="HL28" i="7"/>
  <c r="HM29" i="7"/>
  <c r="CS16" i="24"/>
  <c r="CT16" i="24" s="1"/>
  <c r="CW16" i="24" s="1"/>
  <c r="DK16" i="24"/>
  <c r="DL16" i="24" s="1"/>
  <c r="DB16" i="24"/>
  <c r="BB16" i="24"/>
  <c r="D16" i="27"/>
  <c r="CS16" i="7"/>
  <c r="CT16" i="7" s="1"/>
  <c r="CW16" i="7" s="1"/>
  <c r="DK16" i="7"/>
  <c r="DL16" i="7" s="1"/>
  <c r="HJ33" i="24"/>
  <c r="HK32" i="24"/>
  <c r="BM14" i="7"/>
  <c r="BO14" i="7"/>
  <c r="EL21" i="24"/>
  <c r="E21" i="24"/>
  <c r="EC21" i="24"/>
  <c r="EK21" i="24"/>
  <c r="AW22" i="24"/>
  <c r="AZ21" i="24"/>
  <c r="HM31" i="24"/>
  <c r="HL30" i="24"/>
  <c r="GJ16" i="7"/>
  <c r="AF16" i="27"/>
  <c r="T16" i="27"/>
  <c r="FY14" i="7"/>
  <c r="U14" i="27"/>
  <c r="BI14" i="7"/>
  <c r="S15" i="24"/>
  <c r="Q18" i="7"/>
  <c r="AX19" i="7"/>
  <c r="AY18" i="7"/>
  <c r="BC18" i="7"/>
  <c r="R18" i="7"/>
  <c r="CG14" i="7"/>
  <c r="BP13" i="7"/>
  <c r="BU13" i="7"/>
  <c r="FY15" i="24"/>
  <c r="BH15" i="32"/>
  <c r="HJ119" i="7"/>
  <c r="HK118" i="7"/>
  <c r="FS19" i="24"/>
  <c r="AR19" i="7"/>
  <c r="BG19" i="7"/>
  <c r="S17" i="7"/>
  <c r="T17" i="7"/>
  <c r="GJ16" i="24"/>
  <c r="BS16" i="32"/>
  <c r="BG16" i="32"/>
  <c r="DT20" i="24"/>
  <c r="AJ20" i="7"/>
  <c r="CO20" i="24"/>
  <c r="BV20" i="24"/>
  <c r="AQ20" i="24"/>
  <c r="AT20" i="24"/>
  <c r="BD20" i="24"/>
  <c r="CN20" i="24"/>
  <c r="AK20" i="24"/>
  <c r="BE20" i="24"/>
  <c r="BF20" i="24"/>
  <c r="AS20" i="24"/>
  <c r="X15" i="24"/>
  <c r="GA15" i="24"/>
  <c r="BJ15" i="32"/>
  <c r="FZ15" i="24"/>
  <c r="BI15" i="32"/>
  <c r="AV18" i="24"/>
  <c r="FX17" i="24"/>
  <c r="D17" i="24"/>
  <c r="AO15" i="7"/>
  <c r="AP15" i="7"/>
  <c r="AJ15" i="24"/>
  <c r="BD15" i="7"/>
  <c r="AN15" i="7"/>
  <c r="BV15" i="7"/>
  <c r="AM15" i="7"/>
  <c r="BK15" i="7"/>
  <c r="BL15" i="7"/>
  <c r="BF15" i="7"/>
  <c r="FV15" i="7"/>
  <c r="AK15" i="7"/>
  <c r="BH15" i="7"/>
  <c r="FW15" i="7"/>
  <c r="CO15" i="7"/>
  <c r="FN15" i="7"/>
  <c r="FQ15" i="7"/>
  <c r="AO15" i="24"/>
  <c r="DT15" i="7"/>
  <c r="FO15" i="7"/>
  <c r="AM15" i="24"/>
  <c r="FP15" i="7"/>
  <c r="AN15" i="24"/>
  <c r="BE15" i="7"/>
  <c r="GA15" i="7"/>
  <c r="W15" i="27"/>
  <c r="DB15" i="7"/>
  <c r="BB15" i="7"/>
  <c r="CN15" i="7"/>
  <c r="FR15" i="7"/>
  <c r="AP15" i="24"/>
  <c r="HJ34" i="24"/>
  <c r="HK33" i="24"/>
  <c r="X15" i="7"/>
  <c r="H15" i="27"/>
  <c r="BM15" i="7"/>
  <c r="BO15" i="7"/>
  <c r="FS20" i="24"/>
  <c r="AR20" i="7"/>
  <c r="BG20" i="7"/>
  <c r="S18" i="7"/>
  <c r="T18" i="7"/>
  <c r="X13" i="27"/>
  <c r="GB15" i="7"/>
  <c r="FS15" i="7"/>
  <c r="AR15" i="24"/>
  <c r="BG15" i="24"/>
  <c r="AZ22" i="24"/>
  <c r="EK22" i="24"/>
  <c r="EL22" i="24"/>
  <c r="E22" i="24"/>
  <c r="EC22" i="24"/>
  <c r="AW23" i="24"/>
  <c r="FY15" i="7"/>
  <c r="U15" i="27"/>
  <c r="BI15" i="7"/>
  <c r="D17" i="27"/>
  <c r="CS17" i="7"/>
  <c r="CT17" i="7" s="1"/>
  <c r="CW17" i="7" s="1"/>
  <c r="DK17" i="7"/>
  <c r="DL17" i="7" s="1"/>
  <c r="AO16" i="7"/>
  <c r="AP16" i="7"/>
  <c r="BL16" i="7"/>
  <c r="AK16" i="7"/>
  <c r="BH16" i="7"/>
  <c r="AM16" i="7"/>
  <c r="FW16" i="7"/>
  <c r="BV16" i="7"/>
  <c r="AN16" i="7"/>
  <c r="FV16" i="7"/>
  <c r="AJ16" i="24"/>
  <c r="BD16" i="7"/>
  <c r="BF16" i="7"/>
  <c r="BK16" i="7"/>
  <c r="BM16" i="7"/>
  <c r="BO16" i="7"/>
  <c r="CN16" i="7"/>
  <c r="CO16" i="7"/>
  <c r="FR16" i="7"/>
  <c r="AP16" i="24"/>
  <c r="BE16" i="7"/>
  <c r="GA16" i="7"/>
  <c r="W16" i="27"/>
  <c r="DT16" i="7"/>
  <c r="FQ16" i="7"/>
  <c r="AO16" i="24"/>
  <c r="FP16" i="7"/>
  <c r="AN16" i="24"/>
  <c r="FO16" i="7"/>
  <c r="AM16" i="24"/>
  <c r="BB16" i="7"/>
  <c r="DB16" i="7"/>
  <c r="FN16" i="7"/>
  <c r="GJ17" i="24"/>
  <c r="BS17" i="32"/>
  <c r="BG17" i="32"/>
  <c r="HM32" i="24"/>
  <c r="HL31" i="24"/>
  <c r="CF21" i="24"/>
  <c r="AI21" i="7"/>
  <c r="HM30" i="7"/>
  <c r="HL29" i="7"/>
  <c r="FZ16" i="24"/>
  <c r="BI16" i="32"/>
  <c r="X16" i="24"/>
  <c r="GA16" i="24"/>
  <c r="BJ16" i="32"/>
  <c r="BC17" i="24"/>
  <c r="AY17" i="24"/>
  <c r="BH17" i="24"/>
  <c r="AX18" i="24"/>
  <c r="R17" i="24"/>
  <c r="Q17" i="24"/>
  <c r="BL17" i="24"/>
  <c r="FW17" i="24"/>
  <c r="BK17" i="24"/>
  <c r="BM17" i="24"/>
  <c r="BO17" i="24"/>
  <c r="FV17" i="24"/>
  <c r="D18" i="7"/>
  <c r="FX18" i="7"/>
  <c r="AV19" i="7"/>
  <c r="BP13" i="24"/>
  <c r="BU13" i="24"/>
  <c r="X14" i="27"/>
  <c r="DK17" i="24"/>
  <c r="DL17" i="24" s="1"/>
  <c r="CS17" i="24"/>
  <c r="CT17" i="24" s="1"/>
  <c r="CW17" i="24" s="1"/>
  <c r="DB17" i="24"/>
  <c r="BB17" i="24"/>
  <c r="FX18" i="24"/>
  <c r="D18" i="24"/>
  <c r="AV19" i="24"/>
  <c r="FY16" i="24"/>
  <c r="BH16" i="32"/>
  <c r="CG15" i="7"/>
  <c r="GJ17" i="7"/>
  <c r="AF17" i="27"/>
  <c r="T17" i="27"/>
  <c r="GB14" i="24"/>
  <c r="BK14" i="32"/>
  <c r="BI14" i="24"/>
  <c r="FZ15" i="7"/>
  <c r="V15" i="27"/>
  <c r="HJ120" i="7"/>
  <c r="HK119" i="7"/>
  <c r="Q19" i="7"/>
  <c r="BC19" i="7"/>
  <c r="R19" i="7"/>
  <c r="AX20" i="7"/>
  <c r="AY19" i="7"/>
  <c r="BP14" i="7"/>
  <c r="BU14" i="7"/>
  <c r="S16" i="24"/>
  <c r="E16" i="27"/>
  <c r="AI16" i="24"/>
  <c r="CF16" i="7"/>
  <c r="CG16" i="7"/>
  <c r="AT21" i="24"/>
  <c r="BD21" i="24"/>
  <c r="AS21" i="24"/>
  <c r="BV21" i="24"/>
  <c r="AQ21" i="24"/>
  <c r="AK21" i="24"/>
  <c r="CN21" i="24"/>
  <c r="BF21" i="24"/>
  <c r="DT21" i="24"/>
  <c r="CO21" i="24"/>
  <c r="BE21" i="24"/>
  <c r="AJ21" i="7"/>
  <c r="EC17" i="7"/>
  <c r="EK17" i="7"/>
  <c r="AW18" i="7"/>
  <c r="AZ17" i="7"/>
  <c r="EL17" i="7"/>
  <c r="E17" i="7"/>
  <c r="AV20" i="7"/>
  <c r="D19" i="7"/>
  <c r="FX19" i="7"/>
  <c r="AV20" i="24"/>
  <c r="D19" i="24"/>
  <c r="FX19" i="24"/>
  <c r="D18" i="27"/>
  <c r="DK18" i="7"/>
  <c r="DL18" i="7" s="1"/>
  <c r="CS18" i="7"/>
  <c r="CT18" i="7" s="1"/>
  <c r="CW18" i="7" s="1"/>
  <c r="AX19" i="24"/>
  <c r="BC18" i="24"/>
  <c r="R18" i="24"/>
  <c r="BH18" i="24"/>
  <c r="Q18" i="24"/>
  <c r="AY18" i="24"/>
  <c r="BK18" i="24"/>
  <c r="FV18" i="24"/>
  <c r="FW18" i="24"/>
  <c r="BL18" i="24"/>
  <c r="CS18" i="24"/>
  <c r="CT18" i="24" s="1"/>
  <c r="CW18" i="24" s="1"/>
  <c r="DK18" i="24"/>
  <c r="DL18" i="24" s="1"/>
  <c r="BB18" i="24"/>
  <c r="DB18" i="24"/>
  <c r="FZ17" i="24"/>
  <c r="BI17" i="32"/>
  <c r="X17" i="24"/>
  <c r="GA17" i="24"/>
  <c r="BJ17" i="32"/>
  <c r="HL32" i="24"/>
  <c r="HM33" i="24"/>
  <c r="FY16" i="7"/>
  <c r="U16" i="27"/>
  <c r="BI16" i="7"/>
  <c r="X16" i="7"/>
  <c r="H16" i="27"/>
  <c r="CF22" i="24"/>
  <c r="AI22" i="7"/>
  <c r="FY17" i="24"/>
  <c r="BH17" i="32"/>
  <c r="CG17" i="24"/>
  <c r="FS16" i="7"/>
  <c r="AR16" i="24"/>
  <c r="BG16" i="24"/>
  <c r="GB16" i="7"/>
  <c r="AI17" i="24"/>
  <c r="E17" i="27"/>
  <c r="CF17" i="7"/>
  <c r="BC20" i="7"/>
  <c r="AY20" i="7"/>
  <c r="R20" i="7"/>
  <c r="Q20" i="7"/>
  <c r="AX21" i="7"/>
  <c r="BP14" i="24"/>
  <c r="BU14" i="24"/>
  <c r="AO17" i="7"/>
  <c r="AJ17" i="24"/>
  <c r="BF17" i="7"/>
  <c r="BD17" i="7"/>
  <c r="FZ17" i="7"/>
  <c r="V17" i="27"/>
  <c r="AM17" i="7"/>
  <c r="BK17" i="7"/>
  <c r="BM17" i="7"/>
  <c r="BO17" i="7"/>
  <c r="BV17" i="7"/>
  <c r="AN17" i="7"/>
  <c r="AP17" i="7"/>
  <c r="FV17" i="7"/>
  <c r="FW17" i="7"/>
  <c r="AK17" i="7"/>
  <c r="BH17" i="7"/>
  <c r="BL17" i="7"/>
  <c r="CN17" i="7"/>
  <c r="X17" i="7"/>
  <c r="H17" i="27"/>
  <c r="CO17" i="7"/>
  <c r="DT17" i="7"/>
  <c r="FQ17" i="7"/>
  <c r="AO17" i="24"/>
  <c r="FR17" i="7"/>
  <c r="AP17" i="24"/>
  <c r="BE17" i="7"/>
  <c r="GA17" i="7"/>
  <c r="W17" i="27"/>
  <c r="FN17" i="7"/>
  <c r="FP17" i="7"/>
  <c r="AN17" i="24"/>
  <c r="BB17" i="7"/>
  <c r="CG17" i="7"/>
  <c r="DB17" i="7"/>
  <c r="FO17" i="7"/>
  <c r="AM17" i="24"/>
  <c r="HJ121" i="7"/>
  <c r="HK120" i="7"/>
  <c r="BG18" i="32"/>
  <c r="GJ18" i="24"/>
  <c r="BS18" i="32"/>
  <c r="FZ16" i="7"/>
  <c r="V16" i="27"/>
  <c r="AT22" i="24"/>
  <c r="BD22" i="24"/>
  <c r="AS22" i="24"/>
  <c r="AJ22" i="7"/>
  <c r="BV22" i="24"/>
  <c r="AK22" i="24"/>
  <c r="CO22" i="24"/>
  <c r="AQ22" i="24"/>
  <c r="BE22" i="24"/>
  <c r="CN22" i="24"/>
  <c r="BF22" i="24"/>
  <c r="DT22" i="24"/>
  <c r="BP15" i="7"/>
  <c r="BU15" i="7"/>
  <c r="GB15" i="24"/>
  <c r="BK15" i="32"/>
  <c r="BI15" i="24"/>
  <c r="FS21" i="24"/>
  <c r="AR21" i="7"/>
  <c r="BG21" i="7"/>
  <c r="S19" i="7"/>
  <c r="T19" i="7"/>
  <c r="EL18" i="7"/>
  <c r="EK18" i="7"/>
  <c r="AW19" i="7"/>
  <c r="E18" i="7"/>
  <c r="AZ18" i="7"/>
  <c r="EC18" i="7"/>
  <c r="T18" i="27"/>
  <c r="GJ18" i="7"/>
  <c r="AF18" i="27"/>
  <c r="S17" i="24"/>
  <c r="EC23" i="24"/>
  <c r="AZ23" i="24"/>
  <c r="AW24" i="24"/>
  <c r="E23" i="24"/>
  <c r="EL23" i="24"/>
  <c r="EK23" i="24"/>
  <c r="HK34" i="24"/>
  <c r="HJ35" i="24"/>
  <c r="HM31" i="7"/>
  <c r="HL30" i="7"/>
  <c r="HM32" i="7"/>
  <c r="HL31" i="7"/>
  <c r="HJ36" i="24"/>
  <c r="HK35" i="24"/>
  <c r="AI18" i="24"/>
  <c r="E18" i="27"/>
  <c r="CF18" i="7"/>
  <c r="CG18" i="7"/>
  <c r="FY18" i="24"/>
  <c r="BH18" i="32"/>
  <c r="X18" i="24"/>
  <c r="FZ18" i="24"/>
  <c r="BI18" i="32"/>
  <c r="GA18" i="24"/>
  <c r="BJ18" i="32"/>
  <c r="AZ19" i="7"/>
  <c r="EK19" i="7"/>
  <c r="AW20" i="7"/>
  <c r="EL19" i="7"/>
  <c r="EC19" i="7"/>
  <c r="E19" i="7"/>
  <c r="AX22" i="7"/>
  <c r="Q21" i="7"/>
  <c r="BC21" i="7"/>
  <c r="R21" i="7"/>
  <c r="AY21" i="7"/>
  <c r="BM18" i="24"/>
  <c r="BO18" i="24"/>
  <c r="BP15" i="24"/>
  <c r="BU15" i="24"/>
  <c r="X16" i="27"/>
  <c r="HL33" i="24"/>
  <c r="HM34" i="24"/>
  <c r="AQ23" i="24"/>
  <c r="AK23" i="24"/>
  <c r="AS23" i="24"/>
  <c r="AJ23" i="7"/>
  <c r="DT23" i="24"/>
  <c r="CN23" i="24"/>
  <c r="BE23" i="24"/>
  <c r="BF23" i="24"/>
  <c r="AT23" i="24"/>
  <c r="BD23" i="24"/>
  <c r="CO23" i="24"/>
  <c r="BV23" i="24"/>
  <c r="FS17" i="7"/>
  <c r="AR17" i="24"/>
  <c r="BG17" i="24"/>
  <c r="GB17" i="7"/>
  <c r="S20" i="7"/>
  <c r="T20" i="7"/>
  <c r="GB16" i="24"/>
  <c r="BK16" i="32"/>
  <c r="BI16" i="24"/>
  <c r="GJ19" i="24"/>
  <c r="BS19" i="32"/>
  <c r="BG19" i="32"/>
  <c r="FS22" i="24"/>
  <c r="AR22" i="7"/>
  <c r="BG22" i="7"/>
  <c r="AI23" i="7"/>
  <c r="CF23" i="24"/>
  <c r="X15" i="27"/>
  <c r="CS19" i="24"/>
  <c r="CT19" i="24" s="1"/>
  <c r="CW19" i="24" s="1"/>
  <c r="DK19" i="24"/>
  <c r="DL19" i="24" s="1"/>
  <c r="BB19" i="24"/>
  <c r="CG19" i="24"/>
  <c r="DB19" i="24"/>
  <c r="AZ24" i="24"/>
  <c r="EL24" i="24"/>
  <c r="EK24" i="24"/>
  <c r="AW25" i="24"/>
  <c r="EC24" i="24"/>
  <c r="E24" i="24"/>
  <c r="HJ122" i="7"/>
  <c r="HK121" i="7"/>
  <c r="CG18" i="24"/>
  <c r="S18" i="24"/>
  <c r="FX20" i="24"/>
  <c r="D20" i="24"/>
  <c r="AV21" i="24"/>
  <c r="T19" i="27"/>
  <c r="GJ19" i="7"/>
  <c r="AF19" i="27"/>
  <c r="D19" i="27"/>
  <c r="DK19" i="7"/>
  <c r="DL19" i="7" s="1"/>
  <c r="CS19" i="7"/>
  <c r="CT19" i="7" s="1"/>
  <c r="CW19" i="7" s="1"/>
  <c r="BP16" i="7"/>
  <c r="BU16" i="7"/>
  <c r="Q19" i="24"/>
  <c r="AX20" i="24"/>
  <c r="R19" i="24"/>
  <c r="AY19" i="24"/>
  <c r="BC19" i="24"/>
  <c r="BH19" i="24"/>
  <c r="FV19" i="24"/>
  <c r="BL19" i="24"/>
  <c r="BK19" i="24"/>
  <c r="FW19" i="24"/>
  <c r="AV21" i="7"/>
  <c r="D20" i="7"/>
  <c r="FX20" i="7"/>
  <c r="AM18" i="7"/>
  <c r="FN18" i="7"/>
  <c r="AO18" i="7"/>
  <c r="AK18" i="7"/>
  <c r="BH18" i="7"/>
  <c r="FR18" i="7"/>
  <c r="AP18" i="24"/>
  <c r="FO18" i="7"/>
  <c r="AM18" i="24"/>
  <c r="FP18" i="7"/>
  <c r="AN18" i="24"/>
  <c r="AJ18" i="24"/>
  <c r="FQ18" i="7"/>
  <c r="AO18" i="24"/>
  <c r="AN18" i="7"/>
  <c r="BV18" i="7"/>
  <c r="AP18" i="7"/>
  <c r="BL18" i="7"/>
  <c r="FW18" i="7"/>
  <c r="FV18" i="7"/>
  <c r="BF18" i="7"/>
  <c r="BD18" i="7"/>
  <c r="BK18" i="7"/>
  <c r="BM18" i="7"/>
  <c r="BO18" i="7"/>
  <c r="CN18" i="7"/>
  <c r="CO18" i="7"/>
  <c r="DT18" i="7"/>
  <c r="BE18" i="7"/>
  <c r="DB18" i="7"/>
  <c r="BB18" i="7"/>
  <c r="BI17" i="7"/>
  <c r="FY17" i="7"/>
  <c r="U17" i="27"/>
  <c r="CF24" i="24"/>
  <c r="AI24" i="7"/>
  <c r="GA18" i="7"/>
  <c r="W18" i="27"/>
  <c r="FX21" i="7"/>
  <c r="AV22" i="7"/>
  <c r="D21" i="7"/>
  <c r="BM19" i="24"/>
  <c r="BO19" i="24"/>
  <c r="AX21" i="24"/>
  <c r="AY20" i="24"/>
  <c r="Q20" i="24"/>
  <c r="BH20" i="24"/>
  <c r="BC20" i="24"/>
  <c r="R20" i="24"/>
  <c r="BL20" i="24"/>
  <c r="FV20" i="24"/>
  <c r="FW20" i="24"/>
  <c r="BK20" i="24"/>
  <c r="BP16" i="24"/>
  <c r="BU16" i="24"/>
  <c r="E19" i="27"/>
  <c r="AI19" i="24"/>
  <c r="CF19" i="7"/>
  <c r="X18" i="7"/>
  <c r="H18" i="27"/>
  <c r="HK36" i="24"/>
  <c r="HJ37" i="24"/>
  <c r="CN24" i="24"/>
  <c r="AK24" i="24"/>
  <c r="BE24" i="24"/>
  <c r="AJ24" i="7"/>
  <c r="DT24" i="24"/>
  <c r="BD24" i="24"/>
  <c r="BF24" i="24"/>
  <c r="CO24" i="24"/>
  <c r="AQ24" i="24"/>
  <c r="AT24" i="24"/>
  <c r="AS24" i="24"/>
  <c r="BV24" i="24"/>
  <c r="HM35" i="24"/>
  <c r="HL34" i="24"/>
  <c r="FY18" i="7"/>
  <c r="U18" i="27"/>
  <c r="BI18" i="7"/>
  <c r="FZ18" i="7"/>
  <c r="V18" i="27"/>
  <c r="FZ19" i="24"/>
  <c r="BI19" i="32"/>
  <c r="GA19" i="24"/>
  <c r="BJ19" i="32"/>
  <c r="X19" i="24"/>
  <c r="S21" i="7"/>
  <c r="T21" i="7"/>
  <c r="EL20" i="7"/>
  <c r="AZ20" i="7"/>
  <c r="AW21" i="7"/>
  <c r="E20" i="7"/>
  <c r="EK20" i="7"/>
  <c r="EC20" i="7"/>
  <c r="HL32" i="7"/>
  <c r="HM33" i="7"/>
  <c r="GB18" i="7"/>
  <c r="FS18" i="7"/>
  <c r="AR18" i="24"/>
  <c r="BG18" i="24"/>
  <c r="FY19" i="24"/>
  <c r="BH19" i="32"/>
  <c r="D20" i="27"/>
  <c r="CS20" i="7"/>
  <c r="CT20" i="7" s="1"/>
  <c r="CW20" i="7" s="1"/>
  <c r="DK20" i="7"/>
  <c r="DL20" i="7" s="1"/>
  <c r="GB17" i="24"/>
  <c r="BK17" i="32"/>
  <c r="BI17" i="24"/>
  <c r="FS23" i="24"/>
  <c r="AR23" i="7"/>
  <c r="BG23" i="7"/>
  <c r="BV19" i="7"/>
  <c r="AN19" i="7"/>
  <c r="AJ19" i="24"/>
  <c r="FN19" i="7"/>
  <c r="BF19" i="7"/>
  <c r="AK19" i="7"/>
  <c r="BH19" i="7"/>
  <c r="FQ19" i="7"/>
  <c r="AO19" i="24"/>
  <c r="AO19" i="7"/>
  <c r="AP19" i="7"/>
  <c r="FP19" i="7"/>
  <c r="AN19" i="24"/>
  <c r="FR19" i="7"/>
  <c r="AP19" i="24"/>
  <c r="FV19" i="7"/>
  <c r="FW19" i="7"/>
  <c r="AM19" i="7"/>
  <c r="FO19" i="7"/>
  <c r="AM19" i="24"/>
  <c r="BK19" i="7"/>
  <c r="BM19" i="7"/>
  <c r="BO19" i="7"/>
  <c r="BD19" i="7"/>
  <c r="BL19" i="7"/>
  <c r="CN19" i="7"/>
  <c r="CO19" i="7"/>
  <c r="DT19" i="7"/>
  <c r="BE19" i="7"/>
  <c r="BB19" i="7"/>
  <c r="CG19" i="7"/>
  <c r="DB19" i="7"/>
  <c r="GJ20" i="7"/>
  <c r="AF20" i="27"/>
  <c r="T20" i="27"/>
  <c r="HJ123" i="7"/>
  <c r="HK122" i="7"/>
  <c r="AX23" i="7"/>
  <c r="BC22" i="7"/>
  <c r="AY22" i="7"/>
  <c r="Q22" i="7"/>
  <c r="R22" i="7"/>
  <c r="D21" i="24"/>
  <c r="FX21" i="24"/>
  <c r="AV22" i="24"/>
  <c r="CS20" i="24"/>
  <c r="CT20" i="24" s="1"/>
  <c r="CW20" i="24" s="1"/>
  <c r="DK20" i="24"/>
  <c r="DL20" i="24" s="1"/>
  <c r="DB20" i="24"/>
  <c r="BB20" i="24"/>
  <c r="BP17" i="7"/>
  <c r="BU17" i="7"/>
  <c r="S19" i="24"/>
  <c r="BG20" i="32"/>
  <c r="GJ20" i="24"/>
  <c r="BS20" i="32"/>
  <c r="EC25" i="24"/>
  <c r="EK25" i="24"/>
  <c r="E25" i="24"/>
  <c r="AW26" i="24"/>
  <c r="AZ25" i="24"/>
  <c r="EL25" i="24"/>
  <c r="DK21" i="24"/>
  <c r="DL21" i="24" s="1"/>
  <c r="CS21" i="24"/>
  <c r="CT21" i="24" s="1"/>
  <c r="CW21" i="24" s="1"/>
  <c r="BB21" i="24"/>
  <c r="DB21" i="24"/>
  <c r="HJ124" i="7"/>
  <c r="HK123" i="7"/>
  <c r="FY20" i="24"/>
  <c r="BH20" i="32"/>
  <c r="S22" i="7"/>
  <c r="T22" i="7"/>
  <c r="GA19" i="7"/>
  <c r="W19" i="27"/>
  <c r="BP17" i="24"/>
  <c r="BU17" i="24"/>
  <c r="HM36" i="24"/>
  <c r="HL35" i="24"/>
  <c r="FS19" i="7"/>
  <c r="AR19" i="24"/>
  <c r="BG19" i="24"/>
  <c r="GB19" i="7"/>
  <c r="BP18" i="7"/>
  <c r="BU18" i="7"/>
  <c r="BM20" i="24"/>
  <c r="BO20" i="24"/>
  <c r="D21" i="27"/>
  <c r="DK21" i="7"/>
  <c r="DL21" i="7" s="1"/>
  <c r="CS21" i="7"/>
  <c r="CT21" i="7" s="1"/>
  <c r="CW21" i="7" s="1"/>
  <c r="X19" i="7"/>
  <c r="H19" i="27"/>
  <c r="CG20" i="24"/>
  <c r="Q21" i="24"/>
  <c r="AX22" i="24"/>
  <c r="R21" i="24"/>
  <c r="BC21" i="24"/>
  <c r="BH21" i="24"/>
  <c r="AY21" i="24"/>
  <c r="BL21" i="24"/>
  <c r="FW21" i="24"/>
  <c r="FV21" i="24"/>
  <c r="CG21" i="24"/>
  <c r="BK21" i="24"/>
  <c r="BM21" i="24"/>
  <c r="BO21" i="24"/>
  <c r="FX22" i="7"/>
  <c r="AV23" i="7"/>
  <c r="D22" i="7"/>
  <c r="BV25" i="24"/>
  <c r="CN25" i="24"/>
  <c r="AS25" i="24"/>
  <c r="DT25" i="24"/>
  <c r="BF25" i="24"/>
  <c r="AJ25" i="7"/>
  <c r="AQ25" i="24"/>
  <c r="AK25" i="24"/>
  <c r="AT25" i="24"/>
  <c r="BD25" i="24"/>
  <c r="BE25" i="24"/>
  <c r="CO25" i="24"/>
  <c r="AI20" i="24"/>
  <c r="E20" i="27"/>
  <c r="CG20" i="7"/>
  <c r="CF20" i="7"/>
  <c r="E26" i="24"/>
  <c r="EC26" i="24"/>
  <c r="EK26" i="24"/>
  <c r="AW27" i="24"/>
  <c r="EL26" i="24"/>
  <c r="AZ26" i="24"/>
  <c r="FX22" i="24"/>
  <c r="AV23" i="24"/>
  <c r="D22" i="24"/>
  <c r="X17" i="27"/>
  <c r="EL21" i="7"/>
  <c r="EK21" i="7"/>
  <c r="E21" i="7"/>
  <c r="AW22" i="7"/>
  <c r="AZ21" i="7"/>
  <c r="EC21" i="7"/>
  <c r="FS24" i="24"/>
  <c r="AR24" i="7"/>
  <c r="BG24" i="7"/>
  <c r="GA20" i="24"/>
  <c r="BJ20" i="32"/>
  <c r="FZ20" i="24"/>
  <c r="BI20" i="32"/>
  <c r="X20" i="24"/>
  <c r="T21" i="27"/>
  <c r="GJ21" i="7"/>
  <c r="AF21" i="27"/>
  <c r="AI25" i="7"/>
  <c r="CF25" i="24"/>
  <c r="GJ21" i="24"/>
  <c r="BS21" i="32"/>
  <c r="BG21" i="32"/>
  <c r="Q23" i="7"/>
  <c r="AX24" i="7"/>
  <c r="BC23" i="7"/>
  <c r="AY23" i="7"/>
  <c r="R23" i="7"/>
  <c r="FZ19" i="7"/>
  <c r="V19" i="27"/>
  <c r="GB18" i="24"/>
  <c r="BK18" i="32"/>
  <c r="BI18" i="24"/>
  <c r="FR20" i="7"/>
  <c r="AP20" i="24"/>
  <c r="BV20" i="7"/>
  <c r="FP20" i="7"/>
  <c r="AN20" i="24"/>
  <c r="AK20" i="7"/>
  <c r="BH20" i="7"/>
  <c r="FQ20" i="7"/>
  <c r="AO20" i="24"/>
  <c r="AP20" i="7"/>
  <c r="AJ20" i="24"/>
  <c r="BL20" i="7"/>
  <c r="AN20" i="7"/>
  <c r="FV20" i="7"/>
  <c r="BF20" i="7"/>
  <c r="AM20" i="7"/>
  <c r="AO20" i="7"/>
  <c r="FO20" i="7"/>
  <c r="AM20" i="24"/>
  <c r="BK20" i="7"/>
  <c r="FN20" i="7"/>
  <c r="BD20" i="7"/>
  <c r="FZ20" i="7"/>
  <c r="V20" i="27"/>
  <c r="FW20" i="7"/>
  <c r="BE20" i="7"/>
  <c r="DT20" i="7"/>
  <c r="CN20" i="7"/>
  <c r="X20" i="7"/>
  <c r="H20" i="27"/>
  <c r="CO20" i="7"/>
  <c r="DB20" i="7"/>
  <c r="BB20" i="7"/>
  <c r="HK37" i="24"/>
  <c r="HJ38" i="24"/>
  <c r="X18" i="27"/>
  <c r="S20" i="24"/>
  <c r="FY19" i="7"/>
  <c r="U19" i="27"/>
  <c r="BI19" i="7"/>
  <c r="HL33" i="7"/>
  <c r="HM34" i="7"/>
  <c r="S23" i="7"/>
  <c r="T23" i="7"/>
  <c r="GA20" i="7"/>
  <c r="W20" i="27"/>
  <c r="FS20" i="7"/>
  <c r="AR20" i="24"/>
  <c r="BG20" i="24"/>
  <c r="GB20" i="7"/>
  <c r="HL36" i="24"/>
  <c r="HM37" i="24"/>
  <c r="FY21" i="24"/>
  <c r="BH21" i="32"/>
  <c r="DK22" i="24"/>
  <c r="DL22" i="24" s="1"/>
  <c r="CS22" i="24"/>
  <c r="CT22" i="24" s="1"/>
  <c r="CW22" i="24" s="1"/>
  <c r="BB22" i="24"/>
  <c r="DB22" i="24"/>
  <c r="AI26" i="7"/>
  <c r="CF26" i="24"/>
  <c r="D22" i="27"/>
  <c r="CS22" i="7"/>
  <c r="CT22" i="7" s="1"/>
  <c r="CW22" i="7" s="1"/>
  <c r="DK22" i="7"/>
  <c r="DL22" i="7" s="1"/>
  <c r="GB19" i="24"/>
  <c r="BK19" i="32"/>
  <c r="BI19" i="24"/>
  <c r="HM35" i="7"/>
  <c r="HL34" i="7"/>
  <c r="BC24" i="7"/>
  <c r="R24" i="7"/>
  <c r="Q24" i="7"/>
  <c r="AY24" i="7"/>
  <c r="AX25" i="7"/>
  <c r="FY20" i="7"/>
  <c r="U20" i="27"/>
  <c r="BI20" i="7"/>
  <c r="BP18" i="24"/>
  <c r="BU18" i="24"/>
  <c r="AV24" i="24"/>
  <c r="D23" i="24"/>
  <c r="FX23" i="24"/>
  <c r="D23" i="7"/>
  <c r="FX23" i="7"/>
  <c r="AV24" i="7"/>
  <c r="BM20" i="7"/>
  <c r="BO20" i="7"/>
  <c r="FQ21" i="7"/>
  <c r="AO21" i="24"/>
  <c r="AJ21" i="24"/>
  <c r="FP21" i="7"/>
  <c r="AN21" i="24"/>
  <c r="AM21" i="7"/>
  <c r="FO21" i="7"/>
  <c r="AM21" i="24"/>
  <c r="BF21" i="7"/>
  <c r="AN21" i="7"/>
  <c r="FN21" i="7"/>
  <c r="BD21" i="7"/>
  <c r="AK21" i="7"/>
  <c r="BH21" i="7"/>
  <c r="BK21" i="7"/>
  <c r="BM21" i="7"/>
  <c r="BO21" i="7"/>
  <c r="AO21" i="7"/>
  <c r="AP21" i="7"/>
  <c r="BV21" i="7"/>
  <c r="FV21" i="7"/>
  <c r="FW21" i="7"/>
  <c r="FR21" i="7"/>
  <c r="AP21" i="24"/>
  <c r="BL21" i="7"/>
  <c r="DT21" i="7"/>
  <c r="BE21" i="7"/>
  <c r="GA21" i="7"/>
  <c r="W21" i="27"/>
  <c r="CN21" i="7"/>
  <c r="CO21" i="7"/>
  <c r="DB21" i="7"/>
  <c r="BB21" i="7"/>
  <c r="BG22" i="32"/>
  <c r="GJ22" i="24"/>
  <c r="BS22" i="32"/>
  <c r="T22" i="27"/>
  <c r="GJ22" i="7"/>
  <c r="AF22" i="27"/>
  <c r="HJ39" i="24"/>
  <c r="HK38" i="24"/>
  <c r="AZ22" i="7"/>
  <c r="EL22" i="7"/>
  <c r="AW23" i="7"/>
  <c r="EC22" i="7"/>
  <c r="EK22" i="7"/>
  <c r="E22" i="7"/>
  <c r="CN26" i="24"/>
  <c r="CO26" i="24"/>
  <c r="DT26" i="24"/>
  <c r="AQ26" i="24"/>
  <c r="BF26" i="24"/>
  <c r="AT26" i="24"/>
  <c r="BD26" i="24"/>
  <c r="AJ26" i="7"/>
  <c r="BE26" i="24"/>
  <c r="AS26" i="24"/>
  <c r="AK26" i="24"/>
  <c r="BV26" i="24"/>
  <c r="S21" i="24"/>
  <c r="HJ125" i="7"/>
  <c r="HK124" i="7"/>
  <c r="BP19" i="7"/>
  <c r="BU19" i="7"/>
  <c r="AI21" i="24"/>
  <c r="E21" i="27"/>
  <c r="CF21" i="7"/>
  <c r="CG21" i="7"/>
  <c r="Q22" i="24"/>
  <c r="AX23" i="24"/>
  <c r="AY22" i="24"/>
  <c r="BH22" i="24"/>
  <c r="R22" i="24"/>
  <c r="BC22" i="24"/>
  <c r="FW22" i="24"/>
  <c r="BL22" i="24"/>
  <c r="CG22" i="24"/>
  <c r="FV22" i="24"/>
  <c r="BK22" i="24"/>
  <c r="AZ27" i="24"/>
  <c r="EC27" i="24"/>
  <c r="AW28" i="24"/>
  <c r="E27" i="24"/>
  <c r="EK27" i="24"/>
  <c r="EL27" i="24"/>
  <c r="FS25" i="24"/>
  <c r="AR25" i="7"/>
  <c r="BG25" i="7"/>
  <c r="X21" i="24"/>
  <c r="GA21" i="24"/>
  <c r="BJ21" i="32"/>
  <c r="FZ21" i="24"/>
  <c r="BI21" i="32"/>
  <c r="EL28" i="24"/>
  <c r="EK28" i="24"/>
  <c r="EC28" i="24"/>
  <c r="E28" i="24"/>
  <c r="AZ28" i="24"/>
  <c r="AW29" i="24"/>
  <c r="X22" i="24"/>
  <c r="FZ22" i="24"/>
  <c r="BI22" i="32"/>
  <c r="GA22" i="24"/>
  <c r="BJ22" i="32"/>
  <c r="BC23" i="24"/>
  <c r="AX24" i="24"/>
  <c r="R23" i="24"/>
  <c r="Q23" i="24"/>
  <c r="AY23" i="24"/>
  <c r="BH23" i="24"/>
  <c r="FV23" i="24"/>
  <c r="BL23" i="24"/>
  <c r="FW23" i="24"/>
  <c r="BK23" i="24"/>
  <c r="X21" i="7"/>
  <c r="H21" i="27"/>
  <c r="FX24" i="24"/>
  <c r="AV25" i="24"/>
  <c r="D24" i="24"/>
  <c r="HM36" i="7"/>
  <c r="HL35" i="7"/>
  <c r="GB20" i="24"/>
  <c r="BK20" i="32"/>
  <c r="BI20" i="24"/>
  <c r="FX24" i="7"/>
  <c r="AV25" i="7"/>
  <c r="D24" i="7"/>
  <c r="BC25" i="7"/>
  <c r="Q25" i="7"/>
  <c r="R25" i="7"/>
  <c r="AX26" i="7"/>
  <c r="AY25" i="7"/>
  <c r="HM38" i="24"/>
  <c r="HL37" i="24"/>
  <c r="FS26" i="24"/>
  <c r="AR26" i="7"/>
  <c r="BG26" i="7"/>
  <c r="HJ40" i="24"/>
  <c r="HK39" i="24"/>
  <c r="GJ23" i="7"/>
  <c r="AF23" i="27"/>
  <c r="T23" i="27"/>
  <c r="FY22" i="24"/>
  <c r="BH22" i="32"/>
  <c r="DT27" i="24"/>
  <c r="BD27" i="24"/>
  <c r="BF27" i="24"/>
  <c r="CO27" i="24"/>
  <c r="AS27" i="24"/>
  <c r="BV27" i="24"/>
  <c r="BE27" i="24"/>
  <c r="AK27" i="24"/>
  <c r="AJ27" i="7"/>
  <c r="CN27" i="24"/>
  <c r="AQ27" i="24"/>
  <c r="AT27" i="24"/>
  <c r="AI22" i="24"/>
  <c r="E22" i="27"/>
  <c r="CF22" i="7"/>
  <c r="FY21" i="7"/>
  <c r="U21" i="27"/>
  <c r="BI21" i="7"/>
  <c r="FZ21" i="7"/>
  <c r="V21" i="27"/>
  <c r="CS23" i="7"/>
  <c r="CT23" i="7" s="1"/>
  <c r="CW23" i="7" s="1"/>
  <c r="DK23" i="7"/>
  <c r="DL23" i="7" s="1"/>
  <c r="D23" i="27"/>
  <c r="X19" i="27"/>
  <c r="AJ22" i="24"/>
  <c r="FO22" i="7"/>
  <c r="AM22" i="24"/>
  <c r="AP22" i="7"/>
  <c r="AK22" i="7"/>
  <c r="BH22" i="7"/>
  <c r="FQ22" i="7"/>
  <c r="AO22" i="24"/>
  <c r="AN22" i="7"/>
  <c r="BV22" i="7"/>
  <c r="FR22" i="7"/>
  <c r="AP22" i="24"/>
  <c r="FP22" i="7"/>
  <c r="AN22" i="24"/>
  <c r="FN22" i="7"/>
  <c r="AM22" i="7"/>
  <c r="BL22" i="7"/>
  <c r="FW22" i="7"/>
  <c r="BF22" i="7"/>
  <c r="BD22" i="7"/>
  <c r="FZ22" i="7"/>
  <c r="V22" i="27"/>
  <c r="AO22" i="7"/>
  <c r="FV22" i="7"/>
  <c r="BK22" i="7"/>
  <c r="BM22" i="7"/>
  <c r="BO22" i="7"/>
  <c r="BE22" i="7"/>
  <c r="DT22" i="7"/>
  <c r="CN22" i="7"/>
  <c r="X22" i="7"/>
  <c r="H22" i="27"/>
  <c r="BB22" i="7"/>
  <c r="DB22" i="7"/>
  <c r="CO22" i="7"/>
  <c r="S22" i="24"/>
  <c r="S24" i="7"/>
  <c r="T24" i="7"/>
  <c r="BP19" i="24"/>
  <c r="BU19" i="24"/>
  <c r="GJ23" i="24"/>
  <c r="BS23" i="32"/>
  <c r="BG23" i="32"/>
  <c r="BP20" i="7"/>
  <c r="BU20" i="7"/>
  <c r="CF27" i="24"/>
  <c r="AI27" i="7"/>
  <c r="BM22" i="24"/>
  <c r="BO22" i="24"/>
  <c r="HJ126" i="7"/>
  <c r="HK125" i="7"/>
  <c r="E23" i="7"/>
  <c r="EK23" i="7"/>
  <c r="EL23" i="7"/>
  <c r="EC23" i="7"/>
  <c r="AZ23" i="7"/>
  <c r="AW24" i="7"/>
  <c r="FS21" i="7"/>
  <c r="AR21" i="24"/>
  <c r="BG21" i="24"/>
  <c r="GB21" i="7"/>
  <c r="DK23" i="24"/>
  <c r="DL23" i="24" s="1"/>
  <c r="CS23" i="24"/>
  <c r="CT23" i="24" s="1"/>
  <c r="CW23" i="24" s="1"/>
  <c r="DB23" i="24"/>
  <c r="BB23" i="24"/>
  <c r="CG23" i="24"/>
  <c r="AW25" i="7"/>
  <c r="AZ24" i="7"/>
  <c r="EL24" i="7"/>
  <c r="EC24" i="7"/>
  <c r="EK24" i="7"/>
  <c r="E24" i="7"/>
  <c r="AK23" i="7"/>
  <c r="BH23" i="7"/>
  <c r="BV23" i="7"/>
  <c r="FN23" i="7"/>
  <c r="AO23" i="7"/>
  <c r="AJ23" i="24"/>
  <c r="AP23" i="7"/>
  <c r="AN23" i="7"/>
  <c r="FQ23" i="7"/>
  <c r="AO23" i="24"/>
  <c r="BD23" i="7"/>
  <c r="BK23" i="7"/>
  <c r="BM23" i="7"/>
  <c r="BO23" i="7"/>
  <c r="BF23" i="7"/>
  <c r="FR23" i="7"/>
  <c r="AP23" i="24"/>
  <c r="FW23" i="7"/>
  <c r="FP23" i="7"/>
  <c r="AN23" i="24"/>
  <c r="FO23" i="7"/>
  <c r="AM23" i="24"/>
  <c r="BL23" i="7"/>
  <c r="AM23" i="7"/>
  <c r="FV23" i="7"/>
  <c r="CO23" i="7"/>
  <c r="DT23" i="7"/>
  <c r="BE23" i="7"/>
  <c r="CN23" i="7"/>
  <c r="X23" i="7"/>
  <c r="H23" i="27"/>
  <c r="DB23" i="7"/>
  <c r="BB23" i="7"/>
  <c r="CS24" i="7"/>
  <c r="CT24" i="7" s="1"/>
  <c r="CW24" i="7" s="1"/>
  <c r="DK24" i="7"/>
  <c r="DL24" i="7" s="1"/>
  <c r="D24" i="27"/>
  <c r="S23" i="24"/>
  <c r="CF28" i="24"/>
  <c r="AI28" i="7"/>
  <c r="E23" i="27"/>
  <c r="AI23" i="24"/>
  <c r="CF23" i="7"/>
  <c r="HL38" i="24"/>
  <c r="HM39" i="24"/>
  <c r="D25" i="7"/>
  <c r="FX25" i="7"/>
  <c r="AV26" i="7"/>
  <c r="X20" i="27"/>
  <c r="BM23" i="24"/>
  <c r="BO23" i="24"/>
  <c r="AY24" i="24"/>
  <c r="BC24" i="24"/>
  <c r="Q24" i="24"/>
  <c r="R24" i="24"/>
  <c r="AX25" i="24"/>
  <c r="BH24" i="24"/>
  <c r="BK24" i="24"/>
  <c r="BL24" i="24"/>
  <c r="FV24" i="24"/>
  <c r="FW24" i="24"/>
  <c r="T24" i="27"/>
  <c r="GJ24" i="7"/>
  <c r="AF24" i="27"/>
  <c r="FY22" i="7"/>
  <c r="U22" i="27"/>
  <c r="BI22" i="7"/>
  <c r="FS22" i="7"/>
  <c r="AR22" i="24"/>
  <c r="BG22" i="24"/>
  <c r="GB22" i="7"/>
  <c r="HM37" i="7"/>
  <c r="HL36" i="7"/>
  <c r="BC26" i="7"/>
  <c r="AX27" i="7"/>
  <c r="Q26" i="7"/>
  <c r="R26" i="7"/>
  <c r="AY26" i="7"/>
  <c r="BP20" i="24"/>
  <c r="BU20" i="24"/>
  <c r="CS24" i="24"/>
  <c r="CT24" i="24" s="1"/>
  <c r="CW24" i="24" s="1"/>
  <c r="DK24" i="24"/>
  <c r="DL24" i="24" s="1"/>
  <c r="DB24" i="24"/>
  <c r="BB24" i="24"/>
  <c r="FZ23" i="24"/>
  <c r="BI23" i="32"/>
  <c r="X23" i="24"/>
  <c r="GA23" i="24"/>
  <c r="BJ23" i="32"/>
  <c r="FY23" i="24"/>
  <c r="BH23" i="32"/>
  <c r="FS27" i="24"/>
  <c r="AR27" i="7"/>
  <c r="BG27" i="7"/>
  <c r="HJ41" i="24"/>
  <c r="HK40" i="24"/>
  <c r="S25" i="7"/>
  <c r="T25" i="7"/>
  <c r="D25" i="24"/>
  <c r="AV26" i="24"/>
  <c r="FX25" i="24"/>
  <c r="GB21" i="24"/>
  <c r="BK21" i="32"/>
  <c r="BI21" i="24"/>
  <c r="HJ127" i="7"/>
  <c r="HK126" i="7"/>
  <c r="GA22" i="7"/>
  <c r="W22" i="27"/>
  <c r="BP21" i="7"/>
  <c r="BU21" i="7"/>
  <c r="CG22" i="7"/>
  <c r="BG24" i="32"/>
  <c r="GJ24" i="24"/>
  <c r="BS24" i="32"/>
  <c r="EC29" i="24"/>
  <c r="AW30" i="24"/>
  <c r="E29" i="24"/>
  <c r="EL29" i="24"/>
  <c r="EK29" i="24"/>
  <c r="AZ29" i="24"/>
  <c r="BV28" i="24"/>
  <c r="AT28" i="24"/>
  <c r="AK28" i="24"/>
  <c r="BD28" i="24"/>
  <c r="BF28" i="24"/>
  <c r="AJ28" i="7"/>
  <c r="AS28" i="24"/>
  <c r="CN28" i="24"/>
  <c r="CO28" i="24"/>
  <c r="DT28" i="24"/>
  <c r="AQ28" i="24"/>
  <c r="BE28" i="24"/>
  <c r="BV29" i="24"/>
  <c r="DT29" i="24"/>
  <c r="BF29" i="24"/>
  <c r="AT29" i="24"/>
  <c r="AK29" i="24"/>
  <c r="AJ29" i="7"/>
  <c r="BD29" i="24"/>
  <c r="AQ29" i="24"/>
  <c r="CO29" i="24"/>
  <c r="BE29" i="24"/>
  <c r="CN29" i="24"/>
  <c r="AS29" i="24"/>
  <c r="AV27" i="24"/>
  <c r="FX26" i="24"/>
  <c r="D26" i="24"/>
  <c r="AX28" i="7"/>
  <c r="Q27" i="7"/>
  <c r="BC27" i="7"/>
  <c r="AY27" i="7"/>
  <c r="R27" i="7"/>
  <c r="BP22" i="7"/>
  <c r="BU22" i="7"/>
  <c r="D26" i="7"/>
  <c r="AV27" i="7"/>
  <c r="FX26" i="7"/>
  <c r="GB22" i="24"/>
  <c r="BK22" i="32"/>
  <c r="BI22" i="24"/>
  <c r="BG25" i="32"/>
  <c r="GJ25" i="24"/>
  <c r="BS25" i="32"/>
  <c r="GA23" i="7"/>
  <c r="W23" i="27"/>
  <c r="CF29" i="24"/>
  <c r="AI29" i="7"/>
  <c r="DK25" i="24"/>
  <c r="DL25" i="24" s="1"/>
  <c r="CS25" i="24"/>
  <c r="CT25" i="24" s="1"/>
  <c r="CW25" i="24" s="1"/>
  <c r="DB25" i="24"/>
  <c r="BB25" i="24"/>
  <c r="CG25" i="24"/>
  <c r="AY25" i="24"/>
  <c r="Q25" i="24"/>
  <c r="AX26" i="24"/>
  <c r="R25" i="24"/>
  <c r="BH25" i="24"/>
  <c r="BC25" i="24"/>
  <c r="FW25" i="24"/>
  <c r="BL25" i="24"/>
  <c r="BK25" i="24"/>
  <c r="BM25" i="24"/>
  <c r="BO25" i="24"/>
  <c r="FV25" i="24"/>
  <c r="T25" i="27"/>
  <c r="GJ25" i="7"/>
  <c r="AF25" i="27"/>
  <c r="FS23" i="7"/>
  <c r="AR23" i="24"/>
  <c r="BG23" i="24"/>
  <c r="GB23" i="7"/>
  <c r="AI24" i="24"/>
  <c r="E24" i="27"/>
  <c r="CF24" i="7"/>
  <c r="DK25" i="7"/>
  <c r="DL25" i="7" s="1"/>
  <c r="D25" i="27"/>
  <c r="CS25" i="7"/>
  <c r="CT25" i="7" s="1"/>
  <c r="CW25" i="7" s="1"/>
  <c r="FZ23" i="7"/>
  <c r="V23" i="27"/>
  <c r="AW31" i="24"/>
  <c r="E30" i="24"/>
  <c r="EL30" i="24"/>
  <c r="EK30" i="24"/>
  <c r="EC30" i="24"/>
  <c r="AZ30" i="24"/>
  <c r="S24" i="24"/>
  <c r="HL39" i="24"/>
  <c r="HM40" i="24"/>
  <c r="HJ128" i="7"/>
  <c r="HK127" i="7"/>
  <c r="HM38" i="7"/>
  <c r="HL37" i="7"/>
  <c r="X24" i="24"/>
  <c r="GA24" i="24"/>
  <c r="BJ24" i="32"/>
  <c r="FZ24" i="24"/>
  <c r="BI24" i="32"/>
  <c r="FY23" i="7"/>
  <c r="U23" i="27"/>
  <c r="BI23" i="7"/>
  <c r="FS28" i="24"/>
  <c r="AR28" i="7"/>
  <c r="BG28" i="7"/>
  <c r="BP21" i="24"/>
  <c r="BU21" i="24"/>
  <c r="HK41" i="24"/>
  <c r="HJ42" i="24"/>
  <c r="X21" i="27"/>
  <c r="FY24" i="24"/>
  <c r="BH24" i="32"/>
  <c r="X22" i="27"/>
  <c r="CG24" i="24"/>
  <c r="CG23" i="7"/>
  <c r="AK24" i="7"/>
  <c r="BH24" i="7"/>
  <c r="FN24" i="7"/>
  <c r="AN24" i="7"/>
  <c r="FQ24" i="7"/>
  <c r="AO24" i="24"/>
  <c r="BV24" i="7"/>
  <c r="FV24" i="7"/>
  <c r="FR24" i="7"/>
  <c r="AP24" i="24"/>
  <c r="AO24" i="7"/>
  <c r="FP24" i="7"/>
  <c r="AN24" i="24"/>
  <c r="AM24" i="7"/>
  <c r="AP24" i="7"/>
  <c r="FW24" i="7"/>
  <c r="FO24" i="7"/>
  <c r="AM24" i="24"/>
  <c r="AJ24" i="24"/>
  <c r="BF24" i="7"/>
  <c r="BL24" i="7"/>
  <c r="BK24" i="7"/>
  <c r="BD24" i="7"/>
  <c r="FZ24" i="7"/>
  <c r="V24" i="27"/>
  <c r="CN24" i="7"/>
  <c r="X24" i="7"/>
  <c r="CO24" i="7"/>
  <c r="DT24" i="7"/>
  <c r="BE24" i="7"/>
  <c r="GA24" i="7"/>
  <c r="BB24" i="7"/>
  <c r="DB24" i="7"/>
  <c r="S26" i="7"/>
  <c r="T26" i="7"/>
  <c r="EC25" i="7"/>
  <c r="E25" i="7"/>
  <c r="AZ25" i="7"/>
  <c r="EK25" i="7"/>
  <c r="AW26" i="7"/>
  <c r="EL25" i="7"/>
  <c r="BM24" i="24"/>
  <c r="BO24" i="24"/>
  <c r="BP23" i="7"/>
  <c r="BU23" i="7"/>
  <c r="H24" i="27"/>
  <c r="HL40" i="24"/>
  <c r="HM41" i="24"/>
  <c r="AI30" i="7"/>
  <c r="CF30" i="24"/>
  <c r="Q26" i="24"/>
  <c r="BC26" i="24"/>
  <c r="R26" i="24"/>
  <c r="BH26" i="24"/>
  <c r="AX27" i="24"/>
  <c r="AY26" i="24"/>
  <c r="FW26" i="24"/>
  <c r="FV26" i="24"/>
  <c r="BK26" i="24"/>
  <c r="BL26" i="24"/>
  <c r="E26" i="7"/>
  <c r="EK26" i="7"/>
  <c r="AW27" i="7"/>
  <c r="EC26" i="7"/>
  <c r="AZ26" i="7"/>
  <c r="EL26" i="7"/>
  <c r="HJ129" i="7"/>
  <c r="HK128" i="7"/>
  <c r="AM25" i="7"/>
  <c r="AK25" i="7"/>
  <c r="BH25" i="7"/>
  <c r="FO25" i="7"/>
  <c r="AM25" i="24"/>
  <c r="FQ25" i="7"/>
  <c r="AO25" i="24"/>
  <c r="AO25" i="7"/>
  <c r="AP25" i="7"/>
  <c r="AJ25" i="24"/>
  <c r="BV25" i="7"/>
  <c r="AN25" i="7"/>
  <c r="FP25" i="7"/>
  <c r="AN25" i="24"/>
  <c r="BL25" i="7"/>
  <c r="FW25" i="7"/>
  <c r="BK25" i="7"/>
  <c r="FR25" i="7"/>
  <c r="AP25" i="24"/>
  <c r="BF25" i="7"/>
  <c r="FV25" i="7"/>
  <c r="FN25" i="7"/>
  <c r="BD25" i="7"/>
  <c r="CN25" i="7"/>
  <c r="CO25" i="7"/>
  <c r="DT25" i="7"/>
  <c r="BE25" i="7"/>
  <c r="BB25" i="7"/>
  <c r="DB25" i="7"/>
  <c r="AW32" i="24"/>
  <c r="EL31" i="24"/>
  <c r="E31" i="24"/>
  <c r="EC31" i="24"/>
  <c r="AZ31" i="24"/>
  <c r="EK31" i="24"/>
  <c r="X25" i="24"/>
  <c r="GA25" i="24"/>
  <c r="BJ25" i="32"/>
  <c r="FZ25" i="24"/>
  <c r="BI25" i="32"/>
  <c r="BP22" i="24"/>
  <c r="BU22" i="24"/>
  <c r="AI25" i="24"/>
  <c r="E25" i="27"/>
  <c r="CF25" i="7"/>
  <c r="CG25" i="7"/>
  <c r="BM24" i="7"/>
  <c r="BO24" i="7"/>
  <c r="DK26" i="24"/>
  <c r="DL26" i="24" s="1"/>
  <c r="CS26" i="24"/>
  <c r="CT26" i="24" s="1"/>
  <c r="CW26" i="24" s="1"/>
  <c r="BB26" i="24"/>
  <c r="DB26" i="24"/>
  <c r="FY24" i="7"/>
  <c r="U24" i="27"/>
  <c r="BI24" i="7"/>
  <c r="GJ26" i="7"/>
  <c r="AF26" i="27"/>
  <c r="T26" i="27"/>
  <c r="S27" i="7"/>
  <c r="T27" i="7"/>
  <c r="GJ26" i="24"/>
  <c r="BS26" i="32"/>
  <c r="BG26" i="32"/>
  <c r="GB24" i="7"/>
  <c r="FS24" i="7"/>
  <c r="AR24" i="24"/>
  <c r="BG24" i="24"/>
  <c r="HK42" i="24"/>
  <c r="HJ43" i="24"/>
  <c r="BV30" i="24"/>
  <c r="BF30" i="24"/>
  <c r="CO30" i="24"/>
  <c r="AK30" i="24"/>
  <c r="CN30" i="24"/>
  <c r="AQ30" i="24"/>
  <c r="AS30" i="24"/>
  <c r="AT30" i="24"/>
  <c r="BD30" i="24"/>
  <c r="AJ30" i="7"/>
  <c r="BE30" i="24"/>
  <c r="DT30" i="24"/>
  <c r="X23" i="27"/>
  <c r="D27" i="7"/>
  <c r="FX27" i="7"/>
  <c r="AV28" i="7"/>
  <c r="D27" i="24"/>
  <c r="AV28" i="24"/>
  <c r="FX27" i="24"/>
  <c r="W24" i="27"/>
  <c r="HM39" i="7"/>
  <c r="HL38" i="7"/>
  <c r="GB23" i="24"/>
  <c r="BK23" i="32"/>
  <c r="BI23" i="24"/>
  <c r="DK26" i="7"/>
  <c r="DL26" i="7" s="1"/>
  <c r="D26" i="27"/>
  <c r="CS26" i="7"/>
  <c r="CT26" i="7" s="1"/>
  <c r="CW26" i="7" s="1"/>
  <c r="CG24" i="7"/>
  <c r="S25" i="24"/>
  <c r="FY25" i="24"/>
  <c r="BH25" i="32"/>
  <c r="R28" i="7"/>
  <c r="BC28" i="7"/>
  <c r="AY28" i="7"/>
  <c r="Q28" i="7"/>
  <c r="AX29" i="7"/>
  <c r="FS29" i="24"/>
  <c r="AR29" i="7"/>
  <c r="BG29" i="7"/>
  <c r="GJ27" i="24"/>
  <c r="BS27" i="32"/>
  <c r="BG27" i="32"/>
  <c r="AV29" i="24"/>
  <c r="FX28" i="24"/>
  <c r="D28" i="24"/>
  <c r="S28" i="7"/>
  <c r="T28" i="7"/>
  <c r="AV29" i="7"/>
  <c r="D28" i="7"/>
  <c r="FX28" i="7"/>
  <c r="GB24" i="24"/>
  <c r="BK24" i="32"/>
  <c r="BI24" i="24"/>
  <c r="GA25" i="7"/>
  <c r="W25" i="27"/>
  <c r="HM40" i="7"/>
  <c r="HL39" i="7"/>
  <c r="T27" i="27"/>
  <c r="GJ27" i="7"/>
  <c r="AF27" i="27"/>
  <c r="X24" i="27"/>
  <c r="BM25" i="7"/>
  <c r="BO25" i="7"/>
  <c r="AI26" i="24"/>
  <c r="E26" i="27"/>
  <c r="CF26" i="7"/>
  <c r="AY27" i="24"/>
  <c r="R27" i="24"/>
  <c r="AX28" i="24"/>
  <c r="BH27" i="24"/>
  <c r="Q27" i="24"/>
  <c r="BC27" i="24"/>
  <c r="FW27" i="24"/>
  <c r="BL27" i="24"/>
  <c r="BK27" i="24"/>
  <c r="FV27" i="24"/>
  <c r="D27" i="27"/>
  <c r="CS27" i="7"/>
  <c r="CT27" i="7" s="1"/>
  <c r="CW27" i="7" s="1"/>
  <c r="DK27" i="7"/>
  <c r="DL27" i="7" s="1"/>
  <c r="FS30" i="24"/>
  <c r="AR30" i="7"/>
  <c r="BG30" i="7"/>
  <c r="AQ31" i="24"/>
  <c r="AS31" i="24"/>
  <c r="CO31" i="24"/>
  <c r="BV31" i="24"/>
  <c r="BF31" i="24"/>
  <c r="DT31" i="24"/>
  <c r="AK31" i="24"/>
  <c r="BE31" i="24"/>
  <c r="AJ31" i="7"/>
  <c r="AT31" i="24"/>
  <c r="BD31" i="24"/>
  <c r="CN31" i="24"/>
  <c r="AY29" i="7"/>
  <c r="AX30" i="7"/>
  <c r="Q29" i="7"/>
  <c r="R29" i="7"/>
  <c r="BC29" i="7"/>
  <c r="X25" i="7"/>
  <c r="H25" i="27"/>
  <c r="S26" i="24"/>
  <c r="FY26" i="24"/>
  <c r="BH26" i="32"/>
  <c r="CF31" i="24"/>
  <c r="AI31" i="7"/>
  <c r="FZ25" i="7"/>
  <c r="V25" i="27"/>
  <c r="BM26" i="24"/>
  <c r="BO26" i="24"/>
  <c r="FR26" i="7"/>
  <c r="AP26" i="24"/>
  <c r="FO26" i="7"/>
  <c r="AM26" i="24"/>
  <c r="BV26" i="7"/>
  <c r="AP26" i="7"/>
  <c r="AO26" i="7"/>
  <c r="AM26" i="7"/>
  <c r="FP26" i="7"/>
  <c r="AN26" i="24"/>
  <c r="AK26" i="7"/>
  <c r="BH26" i="7"/>
  <c r="AJ26" i="24"/>
  <c r="AN26" i="7"/>
  <c r="BF26" i="7"/>
  <c r="FN26" i="7"/>
  <c r="FQ26" i="7"/>
  <c r="AO26" i="24"/>
  <c r="BL26" i="7"/>
  <c r="FV26" i="7"/>
  <c r="FW26" i="7"/>
  <c r="BD26" i="7"/>
  <c r="BK26" i="7"/>
  <c r="BM26" i="7"/>
  <c r="BO26" i="7"/>
  <c r="CO26" i="7"/>
  <c r="BE26" i="7"/>
  <c r="DT26" i="7"/>
  <c r="CN26" i="7"/>
  <c r="BB26" i="7"/>
  <c r="DB26" i="7"/>
  <c r="X26" i="24"/>
  <c r="FZ26" i="24"/>
  <c r="BI26" i="32"/>
  <c r="GA26" i="24"/>
  <c r="BJ26" i="32"/>
  <c r="HM42" i="24"/>
  <c r="HL41" i="24"/>
  <c r="AW33" i="24"/>
  <c r="EC32" i="24"/>
  <c r="E32" i="24"/>
  <c r="EL32" i="24"/>
  <c r="AZ32" i="24"/>
  <c r="EK32" i="24"/>
  <c r="FY25" i="7"/>
  <c r="U25" i="27"/>
  <c r="BI25" i="7"/>
  <c r="CG26" i="24"/>
  <c r="BP23" i="24"/>
  <c r="BU23" i="24"/>
  <c r="HJ44" i="24"/>
  <c r="HK43" i="24"/>
  <c r="CS27" i="24"/>
  <c r="CT27" i="24" s="1"/>
  <c r="CW27" i="24" s="1"/>
  <c r="DK27" i="24"/>
  <c r="DL27" i="24" s="1"/>
  <c r="DB27" i="24"/>
  <c r="BB27" i="24"/>
  <c r="BP24" i="7"/>
  <c r="BU24" i="7"/>
  <c r="GB25" i="7"/>
  <c r="FS25" i="7"/>
  <c r="AR25" i="24"/>
  <c r="BG25" i="24"/>
  <c r="HJ130" i="7"/>
  <c r="HK129" i="7"/>
  <c r="E27" i="7"/>
  <c r="AW28" i="7"/>
  <c r="EC27" i="7"/>
  <c r="AZ27" i="7"/>
  <c r="EL27" i="7"/>
  <c r="EK27" i="7"/>
  <c r="AI27" i="24"/>
  <c r="E27" i="27"/>
  <c r="CF27" i="7"/>
  <c r="FZ26" i="7"/>
  <c r="V26" i="27"/>
  <c r="S29" i="7"/>
  <c r="T29" i="7"/>
  <c r="BM27" i="24"/>
  <c r="BO27" i="24"/>
  <c r="S27" i="24"/>
  <c r="BP24" i="24"/>
  <c r="BU24" i="24"/>
  <c r="AZ28" i="7"/>
  <c r="EK28" i="7"/>
  <c r="AW29" i="7"/>
  <c r="EC28" i="7"/>
  <c r="E28" i="7"/>
  <c r="EL28" i="7"/>
  <c r="FY27" i="24"/>
  <c r="BH27" i="32"/>
  <c r="BD32" i="24"/>
  <c r="DT32" i="24"/>
  <c r="BE32" i="24"/>
  <c r="AQ32" i="24"/>
  <c r="AK32" i="24"/>
  <c r="BV32" i="24"/>
  <c r="AJ32" i="7"/>
  <c r="CN32" i="24"/>
  <c r="AS32" i="24"/>
  <c r="CO32" i="24"/>
  <c r="BF32" i="24"/>
  <c r="AT32" i="24"/>
  <c r="HL42" i="24"/>
  <c r="HM43" i="24"/>
  <c r="CG27" i="24"/>
  <c r="BC30" i="7"/>
  <c r="R30" i="7"/>
  <c r="Q30" i="7"/>
  <c r="AY30" i="7"/>
  <c r="AX31" i="7"/>
  <c r="T28" i="27"/>
  <c r="GJ28" i="7"/>
  <c r="AF28" i="27"/>
  <c r="CS28" i="24"/>
  <c r="CT28" i="24" s="1"/>
  <c r="CW28" i="24" s="1"/>
  <c r="DK28" i="24"/>
  <c r="DL28" i="24" s="1"/>
  <c r="BB28" i="24"/>
  <c r="DB28" i="24"/>
  <c r="HM41" i="7"/>
  <c r="HL40" i="7"/>
  <c r="D28" i="27"/>
  <c r="DK28" i="7"/>
  <c r="DL28" i="7" s="1"/>
  <c r="CS28" i="7"/>
  <c r="CT28" i="7" s="1"/>
  <c r="CW28" i="7" s="1"/>
  <c r="GJ28" i="24"/>
  <c r="BS28" i="32"/>
  <c r="BG28" i="32"/>
  <c r="FY26" i="7"/>
  <c r="U26" i="27"/>
  <c r="BI26" i="7"/>
  <c r="FX29" i="7"/>
  <c r="AV30" i="7"/>
  <c r="D29" i="7"/>
  <c r="FX29" i="24"/>
  <c r="AV30" i="24"/>
  <c r="D29" i="24"/>
  <c r="HJ131" i="7"/>
  <c r="HK130" i="7"/>
  <c r="GB25" i="24"/>
  <c r="BK25" i="32"/>
  <c r="BI25" i="24"/>
  <c r="CF32" i="24"/>
  <c r="AI32" i="7"/>
  <c r="X26" i="7"/>
  <c r="H26" i="27"/>
  <c r="BP25" i="7"/>
  <c r="BU25" i="7"/>
  <c r="AJ27" i="24"/>
  <c r="AM27" i="7"/>
  <c r="BD27" i="7"/>
  <c r="FZ27" i="7"/>
  <c r="V27" i="27"/>
  <c r="AN27" i="7"/>
  <c r="FR27" i="7"/>
  <c r="AP27" i="24"/>
  <c r="BF27" i="7"/>
  <c r="FO27" i="7"/>
  <c r="AM27" i="24"/>
  <c r="DT27" i="7"/>
  <c r="FQ27" i="7"/>
  <c r="AO27" i="24"/>
  <c r="BL27" i="7"/>
  <c r="CN27" i="7"/>
  <c r="X27" i="7"/>
  <c r="H27" i="27"/>
  <c r="FV27" i="7"/>
  <c r="FP27" i="7"/>
  <c r="AN27" i="24"/>
  <c r="BK27" i="7"/>
  <c r="FN27" i="7"/>
  <c r="BE27" i="7"/>
  <c r="GA27" i="7"/>
  <c r="AP27" i="7"/>
  <c r="BV27" i="7"/>
  <c r="AK27" i="7"/>
  <c r="BH27" i="7"/>
  <c r="CO27" i="7"/>
  <c r="FW27" i="7"/>
  <c r="AO27" i="7"/>
  <c r="DB27" i="7"/>
  <c r="BB27" i="7"/>
  <c r="CG27" i="7"/>
  <c r="EC33" i="24"/>
  <c r="E33" i="24"/>
  <c r="AZ33" i="24"/>
  <c r="AW34" i="24"/>
  <c r="EK33" i="24"/>
  <c r="EL33" i="24"/>
  <c r="GA26" i="7"/>
  <c r="W26" i="27"/>
  <c r="FS31" i="24"/>
  <c r="AR31" i="7"/>
  <c r="BG31" i="7"/>
  <c r="CG26" i="7"/>
  <c r="HK44" i="24"/>
  <c r="HJ45" i="24"/>
  <c r="GB26" i="7"/>
  <c r="FS26" i="7"/>
  <c r="AR26" i="24"/>
  <c r="BG26" i="24"/>
  <c r="X27" i="24"/>
  <c r="FZ27" i="24"/>
  <c r="BI27" i="32"/>
  <c r="GA27" i="24"/>
  <c r="BJ27" i="32"/>
  <c r="AX29" i="24"/>
  <c r="BC28" i="24"/>
  <c r="R28" i="24"/>
  <c r="Q28" i="24"/>
  <c r="BH28" i="24"/>
  <c r="AY28" i="24"/>
  <c r="BK28" i="24"/>
  <c r="BL28" i="24"/>
  <c r="FW28" i="24"/>
  <c r="CG28" i="24"/>
  <c r="FV28" i="24"/>
  <c r="GB26" i="24"/>
  <c r="BK26" i="32"/>
  <c r="BI26" i="24"/>
  <c r="AK33" i="24"/>
  <c r="BE33" i="24"/>
  <c r="CN33" i="24"/>
  <c r="AT33" i="24"/>
  <c r="BF33" i="24"/>
  <c r="AQ33" i="24"/>
  <c r="BD33" i="24"/>
  <c r="AS33" i="24"/>
  <c r="DT33" i="24"/>
  <c r="BV33" i="24"/>
  <c r="CO33" i="24"/>
  <c r="AJ33" i="7"/>
  <c r="HJ132" i="7"/>
  <c r="HK131" i="7"/>
  <c r="EC29" i="7"/>
  <c r="AW30" i="7"/>
  <c r="EK29" i="7"/>
  <c r="AZ29" i="7"/>
  <c r="EL29" i="7"/>
  <c r="E29" i="7"/>
  <c r="FZ28" i="24"/>
  <c r="BI28" i="32"/>
  <c r="GA28" i="24"/>
  <c r="BJ28" i="32"/>
  <c r="X28" i="24"/>
  <c r="S28" i="24"/>
  <c r="X26" i="27"/>
  <c r="CF33" i="24"/>
  <c r="AI33" i="7"/>
  <c r="BM27" i="7"/>
  <c r="BO27" i="7"/>
  <c r="FS27" i="7"/>
  <c r="AR27" i="24"/>
  <c r="BG27" i="24"/>
  <c r="GB27" i="7"/>
  <c r="CS29" i="24"/>
  <c r="CT29" i="24" s="1"/>
  <c r="CW29" i="24" s="1"/>
  <c r="DK29" i="24"/>
  <c r="DL29" i="24" s="1"/>
  <c r="BB29" i="24"/>
  <c r="DB29" i="24"/>
  <c r="AX32" i="7"/>
  <c r="BC31" i="7"/>
  <c r="Q31" i="7"/>
  <c r="R31" i="7"/>
  <c r="AY31" i="7"/>
  <c r="HM44" i="24"/>
  <c r="HL43" i="24"/>
  <c r="FS32" i="24"/>
  <c r="AR32" i="7"/>
  <c r="BG32" i="7"/>
  <c r="AN28" i="7"/>
  <c r="FQ28" i="7"/>
  <c r="AO28" i="24"/>
  <c r="BV28" i="7"/>
  <c r="BF28" i="7"/>
  <c r="FO28" i="7"/>
  <c r="AM28" i="24"/>
  <c r="AJ28" i="24"/>
  <c r="AK28" i="7"/>
  <c r="BH28" i="7"/>
  <c r="FV28" i="7"/>
  <c r="BD28" i="7"/>
  <c r="FN28" i="7"/>
  <c r="AO28" i="7"/>
  <c r="BE28" i="7"/>
  <c r="FR28" i="7"/>
  <c r="AP28" i="24"/>
  <c r="CN28" i="7"/>
  <c r="BK28" i="7"/>
  <c r="BM28" i="7"/>
  <c r="BO28" i="7"/>
  <c r="BL28" i="7"/>
  <c r="DT28" i="7"/>
  <c r="CO28" i="7"/>
  <c r="AM28" i="7"/>
  <c r="AP28" i="7"/>
  <c r="FP28" i="7"/>
  <c r="AN28" i="24"/>
  <c r="FW28" i="7"/>
  <c r="BB28" i="7"/>
  <c r="DB28" i="7"/>
  <c r="HK45" i="24"/>
  <c r="HJ46" i="24"/>
  <c r="D30" i="24"/>
  <c r="FX30" i="24"/>
  <c r="AV31" i="24"/>
  <c r="AX30" i="24"/>
  <c r="Q29" i="24"/>
  <c r="BC29" i="24"/>
  <c r="R29" i="24"/>
  <c r="BH29" i="24"/>
  <c r="AY29" i="24"/>
  <c r="FW29" i="24"/>
  <c r="CG29" i="24"/>
  <c r="FV29" i="24"/>
  <c r="BL29" i="24"/>
  <c r="BK29" i="24"/>
  <c r="BM29" i="24"/>
  <c r="BO29" i="24"/>
  <c r="BG29" i="32"/>
  <c r="GJ29" i="24"/>
  <c r="BS29" i="32"/>
  <c r="D29" i="27"/>
  <c r="DK29" i="7"/>
  <c r="DL29" i="7" s="1"/>
  <c r="CS29" i="7"/>
  <c r="CT29" i="7" s="1"/>
  <c r="CW29" i="7" s="1"/>
  <c r="FY28" i="24"/>
  <c r="BH28" i="32"/>
  <c r="BM28" i="24"/>
  <c r="BO28" i="24"/>
  <c r="BP25" i="24"/>
  <c r="BU25" i="24"/>
  <c r="FX30" i="7"/>
  <c r="D30" i="7"/>
  <c r="AV31" i="7"/>
  <c r="BP26" i="7"/>
  <c r="BU26" i="7"/>
  <c r="S30" i="7"/>
  <c r="T30" i="7"/>
  <c r="AI28" i="24"/>
  <c r="E28" i="27"/>
  <c r="CF28" i="7"/>
  <c r="BI27" i="7"/>
  <c r="FY27" i="7"/>
  <c r="U27" i="27"/>
  <c r="T29" i="27"/>
  <c r="GJ29" i="7"/>
  <c r="AF29" i="27"/>
  <c r="EC34" i="24"/>
  <c r="EL34" i="24"/>
  <c r="AZ34" i="24"/>
  <c r="EK34" i="24"/>
  <c r="AW35" i="24"/>
  <c r="E34" i="24"/>
  <c r="W27" i="27"/>
  <c r="X25" i="27"/>
  <c r="HM42" i="7"/>
  <c r="HL41" i="7"/>
  <c r="BI28" i="7"/>
  <c r="FY28" i="7"/>
  <c r="U28" i="27"/>
  <c r="AZ35" i="24"/>
  <c r="AW36" i="24"/>
  <c r="EC35" i="24"/>
  <c r="EL35" i="24"/>
  <c r="EK35" i="24"/>
  <c r="E35" i="24"/>
  <c r="X29" i="24"/>
  <c r="GA29" i="24"/>
  <c r="BJ29" i="32"/>
  <c r="FZ29" i="24"/>
  <c r="BI29" i="32"/>
  <c r="AX31" i="24"/>
  <c r="BC30" i="24"/>
  <c r="BH30" i="24"/>
  <c r="Q30" i="24"/>
  <c r="AY30" i="24"/>
  <c r="R30" i="24"/>
  <c r="FV30" i="24"/>
  <c r="BK30" i="24"/>
  <c r="FW30" i="24"/>
  <c r="BL30" i="24"/>
  <c r="S31" i="7"/>
  <c r="T31" i="7"/>
  <c r="AI29" i="24"/>
  <c r="E29" i="27"/>
  <c r="CF29" i="7"/>
  <c r="BP27" i="7"/>
  <c r="BU27" i="7"/>
  <c r="CG28" i="7"/>
  <c r="AV32" i="7"/>
  <c r="D31" i="7"/>
  <c r="FX31" i="7"/>
  <c r="FX31" i="24"/>
  <c r="D31" i="24"/>
  <c r="AV32" i="24"/>
  <c r="BD34" i="24"/>
  <c r="AK34" i="24"/>
  <c r="AJ34" i="7"/>
  <c r="CO34" i="24"/>
  <c r="AS34" i="24"/>
  <c r="BV34" i="24"/>
  <c r="BE34" i="24"/>
  <c r="AQ34" i="24"/>
  <c r="DT34" i="24"/>
  <c r="CN34" i="24"/>
  <c r="BF34" i="24"/>
  <c r="AT34" i="24"/>
  <c r="DK30" i="7"/>
  <c r="DL30" i="7" s="1"/>
  <c r="D30" i="27"/>
  <c r="CS30" i="7"/>
  <c r="CT30" i="7" s="1"/>
  <c r="CW30" i="7" s="1"/>
  <c r="BG30" i="32"/>
  <c r="GJ30" i="24"/>
  <c r="BS30" i="32"/>
  <c r="FZ28" i="7"/>
  <c r="V28" i="27"/>
  <c r="FQ29" i="7"/>
  <c r="AO29" i="24"/>
  <c r="AO29" i="7"/>
  <c r="AK29" i="7"/>
  <c r="BH29" i="7"/>
  <c r="FN29" i="7"/>
  <c r="BF29" i="7"/>
  <c r="DT29" i="7"/>
  <c r="AN29" i="7"/>
  <c r="FR29" i="7"/>
  <c r="AP29" i="24"/>
  <c r="BD29" i="7"/>
  <c r="FV29" i="7"/>
  <c r="BL29" i="7"/>
  <c r="AJ29" i="24"/>
  <c r="AP29" i="7"/>
  <c r="CO29" i="7"/>
  <c r="CN29" i="7"/>
  <c r="X29" i="7"/>
  <c r="H29" i="27"/>
  <c r="BK29" i="7"/>
  <c r="BV29" i="7"/>
  <c r="AM29" i="7"/>
  <c r="FP29" i="7"/>
  <c r="AN29" i="24"/>
  <c r="FO29" i="7"/>
  <c r="AM29" i="24"/>
  <c r="FW29" i="7"/>
  <c r="BE29" i="7"/>
  <c r="GA29" i="7"/>
  <c r="W29" i="27"/>
  <c r="BB29" i="7"/>
  <c r="DB29" i="7"/>
  <c r="HJ133" i="7"/>
  <c r="HK132" i="7"/>
  <c r="GJ30" i="7"/>
  <c r="AF30" i="27"/>
  <c r="T30" i="27"/>
  <c r="CS30" i="24"/>
  <c r="CT30" i="24" s="1"/>
  <c r="CW30" i="24" s="1"/>
  <c r="DK30" i="24"/>
  <c r="DL30" i="24" s="1"/>
  <c r="BB30" i="24"/>
  <c r="CG30" i="24"/>
  <c r="DB30" i="24"/>
  <c r="R32" i="7"/>
  <c r="BC32" i="7"/>
  <c r="Q32" i="7"/>
  <c r="AY32" i="7"/>
  <c r="AX33" i="7"/>
  <c r="X27" i="27"/>
  <c r="AZ30" i="7"/>
  <c r="EL30" i="7"/>
  <c r="EK30" i="7"/>
  <c r="AW31" i="7"/>
  <c r="EC30" i="7"/>
  <c r="E30" i="7"/>
  <c r="S29" i="24"/>
  <c r="HJ47" i="24"/>
  <c r="HK46" i="24"/>
  <c r="X28" i="7"/>
  <c r="H28" i="27"/>
  <c r="HL44" i="24"/>
  <c r="HM45" i="24"/>
  <c r="FY29" i="24"/>
  <c r="BH29" i="32"/>
  <c r="GB27" i="24"/>
  <c r="BK27" i="32"/>
  <c r="BI27" i="24"/>
  <c r="HM43" i="7"/>
  <c r="HL42" i="7"/>
  <c r="FS33" i="24"/>
  <c r="AR33" i="7"/>
  <c r="BG33" i="7"/>
  <c r="BP26" i="24"/>
  <c r="BU26" i="24"/>
  <c r="CF34" i="24"/>
  <c r="AI34" i="7"/>
  <c r="GA28" i="7"/>
  <c r="W28" i="27"/>
  <c r="FS28" i="7"/>
  <c r="AR28" i="24"/>
  <c r="BG28" i="24"/>
  <c r="GB28" i="7"/>
  <c r="S32" i="7"/>
  <c r="T32" i="7"/>
  <c r="HM44" i="7"/>
  <c r="HL43" i="7"/>
  <c r="HL45" i="24"/>
  <c r="HM46" i="24"/>
  <c r="AJ30" i="24"/>
  <c r="FP30" i="7"/>
  <c r="AN30" i="24"/>
  <c r="FQ30" i="7"/>
  <c r="AO30" i="24"/>
  <c r="FO30" i="7"/>
  <c r="AM30" i="24"/>
  <c r="CO30" i="7"/>
  <c r="DT30" i="7"/>
  <c r="FR30" i="7"/>
  <c r="AP30" i="24"/>
  <c r="CN30" i="7"/>
  <c r="X30" i="7"/>
  <c r="AP30" i="7"/>
  <c r="BE30" i="7"/>
  <c r="GA30" i="7"/>
  <c r="W30" i="27"/>
  <c r="AO30" i="7"/>
  <c r="AK30" i="7"/>
  <c r="BH30" i="7"/>
  <c r="FV30" i="7"/>
  <c r="BD30" i="7"/>
  <c r="FZ30" i="7"/>
  <c r="AN30" i="7"/>
  <c r="BF30" i="7"/>
  <c r="AM30" i="7"/>
  <c r="FW30" i="7"/>
  <c r="FN30" i="7"/>
  <c r="BL30" i="7"/>
  <c r="BV30" i="7"/>
  <c r="BK30" i="7"/>
  <c r="BM30" i="7"/>
  <c r="BO30" i="7"/>
  <c r="BB30" i="7"/>
  <c r="DB30" i="7"/>
  <c r="AX34" i="7"/>
  <c r="Q33" i="7"/>
  <c r="BC33" i="7"/>
  <c r="AY33" i="7"/>
  <c r="R33" i="7"/>
  <c r="BM30" i="24"/>
  <c r="BO30" i="24"/>
  <c r="D32" i="24"/>
  <c r="FX32" i="24"/>
  <c r="AV33" i="24"/>
  <c r="FZ30" i="24"/>
  <c r="BI30" i="32"/>
  <c r="X30" i="24"/>
  <c r="GA30" i="24"/>
  <c r="BJ30" i="32"/>
  <c r="EL36" i="24"/>
  <c r="EC36" i="24"/>
  <c r="E36" i="24"/>
  <c r="AZ36" i="24"/>
  <c r="EK36" i="24"/>
  <c r="AW37" i="24"/>
  <c r="HJ48" i="24"/>
  <c r="HK47" i="24"/>
  <c r="BP27" i="24"/>
  <c r="BU27" i="24"/>
  <c r="FZ29" i="7"/>
  <c r="V29" i="27"/>
  <c r="CS31" i="24"/>
  <c r="CT31" i="24" s="1"/>
  <c r="CW31" i="24" s="1"/>
  <c r="DK31" i="24"/>
  <c r="DL31" i="24" s="1"/>
  <c r="DB31" i="24"/>
  <c r="BB31" i="24"/>
  <c r="S30" i="24"/>
  <c r="BE35" i="24"/>
  <c r="AS35" i="24"/>
  <c r="BV35" i="24"/>
  <c r="CO35" i="24"/>
  <c r="CN35" i="24"/>
  <c r="BF35" i="24"/>
  <c r="AT35" i="24"/>
  <c r="BD35" i="24"/>
  <c r="AJ35" i="7"/>
  <c r="AQ35" i="24"/>
  <c r="DT35" i="24"/>
  <c r="AK35" i="24"/>
  <c r="FS34" i="24"/>
  <c r="AR34" i="7"/>
  <c r="BG34" i="7"/>
  <c r="GB28" i="24"/>
  <c r="BK28" i="32"/>
  <c r="BI28" i="24"/>
  <c r="AI30" i="24"/>
  <c r="E30" i="27"/>
  <c r="CF30" i="7"/>
  <c r="CG30" i="7"/>
  <c r="BM29" i="7"/>
  <c r="BO29" i="7"/>
  <c r="BG31" i="32"/>
  <c r="GJ31" i="24"/>
  <c r="BS31" i="32"/>
  <c r="FY29" i="7"/>
  <c r="U29" i="27"/>
  <c r="BI29" i="7"/>
  <c r="T31" i="27"/>
  <c r="GJ31" i="7"/>
  <c r="AF31" i="27"/>
  <c r="BP28" i="7"/>
  <c r="BU28" i="7"/>
  <c r="DK31" i="7"/>
  <c r="DL31" i="7" s="1"/>
  <c r="D31" i="27"/>
  <c r="CS31" i="7"/>
  <c r="CT31" i="7" s="1"/>
  <c r="CW31" i="7" s="1"/>
  <c r="CF35" i="24"/>
  <c r="AI35" i="7"/>
  <c r="HJ134" i="7"/>
  <c r="HK133" i="7"/>
  <c r="FS29" i="7"/>
  <c r="AR29" i="24"/>
  <c r="BG29" i="24"/>
  <c r="GB29" i="7"/>
  <c r="D32" i="7"/>
  <c r="FX32" i="7"/>
  <c r="AV33" i="7"/>
  <c r="AZ31" i="7"/>
  <c r="EK31" i="7"/>
  <c r="AW32" i="7"/>
  <c r="EL31" i="7"/>
  <c r="E31" i="7"/>
  <c r="EC31" i="7"/>
  <c r="FY30" i="24"/>
  <c r="BH30" i="32"/>
  <c r="CG29" i="7"/>
  <c r="R31" i="24"/>
  <c r="AX32" i="24"/>
  <c r="BC31" i="24"/>
  <c r="Q31" i="24"/>
  <c r="BH31" i="24"/>
  <c r="AY31" i="24"/>
  <c r="BL31" i="24"/>
  <c r="BK31" i="24"/>
  <c r="FW31" i="24"/>
  <c r="FV31" i="24"/>
  <c r="CG31" i="24"/>
  <c r="D32" i="27"/>
  <c r="CS32" i="7"/>
  <c r="CT32" i="7" s="1"/>
  <c r="CW32" i="7" s="1"/>
  <c r="DK32" i="7"/>
  <c r="DL32" i="7" s="1"/>
  <c r="FS35" i="24"/>
  <c r="AR35" i="7"/>
  <c r="BG35" i="7"/>
  <c r="AV34" i="24"/>
  <c r="D33" i="24"/>
  <c r="FX33" i="24"/>
  <c r="AO31" i="7"/>
  <c r="FR31" i="7"/>
  <c r="AP31" i="24"/>
  <c r="AJ31" i="24"/>
  <c r="AP31" i="7"/>
  <c r="BF31" i="7"/>
  <c r="BE31" i="7"/>
  <c r="BV31" i="7"/>
  <c r="FO31" i="7"/>
  <c r="AM31" i="24"/>
  <c r="CO31" i="7"/>
  <c r="FQ31" i="7"/>
  <c r="AO31" i="24"/>
  <c r="AK31" i="7"/>
  <c r="BH31" i="7"/>
  <c r="AN31" i="7"/>
  <c r="CN31" i="7"/>
  <c r="DT31" i="7"/>
  <c r="FP31" i="7"/>
  <c r="AN31" i="24"/>
  <c r="FW31" i="7"/>
  <c r="AM31" i="7"/>
  <c r="BL31" i="7"/>
  <c r="FN31" i="7"/>
  <c r="FV31" i="7"/>
  <c r="BK31" i="7"/>
  <c r="BD31" i="7"/>
  <c r="BB31" i="7"/>
  <c r="DB31" i="7"/>
  <c r="AS36" i="24"/>
  <c r="CN36" i="24"/>
  <c r="BE36" i="24"/>
  <c r="AQ36" i="24"/>
  <c r="AJ36" i="7"/>
  <c r="DT36" i="24"/>
  <c r="AK36" i="24"/>
  <c r="BF36" i="24"/>
  <c r="CO36" i="24"/>
  <c r="AT36" i="24"/>
  <c r="BV36" i="24"/>
  <c r="BD36" i="24"/>
  <c r="GJ32" i="24"/>
  <c r="BS32" i="32"/>
  <c r="BG32" i="32"/>
  <c r="S33" i="7"/>
  <c r="T33" i="7"/>
  <c r="GB29" i="24"/>
  <c r="BK29" i="32"/>
  <c r="BI29" i="24"/>
  <c r="BP28" i="24"/>
  <c r="BU28" i="24"/>
  <c r="CF36" i="24"/>
  <c r="AI36" i="7"/>
  <c r="DK32" i="24"/>
  <c r="DL32" i="24" s="1"/>
  <c r="CS32" i="24"/>
  <c r="CT32" i="24" s="1"/>
  <c r="CW32" i="24" s="1"/>
  <c r="DB32" i="24"/>
  <c r="BB32" i="24"/>
  <c r="FS30" i="7"/>
  <c r="AR30" i="24"/>
  <c r="BG30" i="24"/>
  <c r="GB30" i="7"/>
  <c r="H30" i="27"/>
  <c r="HL46" i="24"/>
  <c r="HM47" i="24"/>
  <c r="FY31" i="24"/>
  <c r="BH31" i="32"/>
  <c r="X28" i="27"/>
  <c r="BI30" i="7"/>
  <c r="FY30" i="7"/>
  <c r="U30" i="27"/>
  <c r="BC32" i="24"/>
  <c r="Q32" i="24"/>
  <c r="AY32" i="24"/>
  <c r="AX33" i="24"/>
  <c r="BH32" i="24"/>
  <c r="R32" i="24"/>
  <c r="FV32" i="24"/>
  <c r="BK32" i="24"/>
  <c r="BM32" i="24"/>
  <c r="BO32" i="24"/>
  <c r="BL32" i="24"/>
  <c r="FW32" i="24"/>
  <c r="HJ135" i="7"/>
  <c r="HK134" i="7"/>
  <c r="BP29" i="7"/>
  <c r="BU29" i="7"/>
  <c r="V30" i="27"/>
  <c r="S31" i="24"/>
  <c r="AI31" i="24"/>
  <c r="E31" i="27"/>
  <c r="CF31" i="7"/>
  <c r="CG31" i="7"/>
  <c r="AX35" i="7"/>
  <c r="AY34" i="7"/>
  <c r="R34" i="7"/>
  <c r="Q34" i="7"/>
  <c r="BC34" i="7"/>
  <c r="HM45" i="7"/>
  <c r="HL44" i="7"/>
  <c r="BM31" i="24"/>
  <c r="BO31" i="24"/>
  <c r="D33" i="7"/>
  <c r="AV34" i="7"/>
  <c r="FX33" i="7"/>
  <c r="HJ49" i="24"/>
  <c r="HK48" i="24"/>
  <c r="GA31" i="24"/>
  <c r="BJ31" i="32"/>
  <c r="FZ31" i="24"/>
  <c r="BI31" i="32"/>
  <c r="X31" i="24"/>
  <c r="EC32" i="7"/>
  <c r="EK32" i="7"/>
  <c r="E32" i="7"/>
  <c r="AW33" i="7"/>
  <c r="EL32" i="7"/>
  <c r="AZ32" i="7"/>
  <c r="GJ32" i="7"/>
  <c r="AF32" i="27"/>
  <c r="T32" i="27"/>
  <c r="EK37" i="24"/>
  <c r="AW38" i="24"/>
  <c r="EL37" i="24"/>
  <c r="E37" i="24"/>
  <c r="AZ37" i="24"/>
  <c r="EC37" i="24"/>
  <c r="CO32" i="7"/>
  <c r="AM32" i="7"/>
  <c r="FN32" i="7"/>
  <c r="AP32" i="7"/>
  <c r="DT32" i="7"/>
  <c r="AJ32" i="24"/>
  <c r="BV32" i="7"/>
  <c r="FP32" i="7"/>
  <c r="AN32" i="24"/>
  <c r="BF32" i="7"/>
  <c r="AO32" i="7"/>
  <c r="FV32" i="7"/>
  <c r="FQ32" i="7"/>
  <c r="AO32" i="24"/>
  <c r="FO32" i="7"/>
  <c r="AM32" i="24"/>
  <c r="CN32" i="7"/>
  <c r="AN32" i="7"/>
  <c r="FW32" i="7"/>
  <c r="BE32" i="7"/>
  <c r="FR32" i="7"/>
  <c r="AP32" i="24"/>
  <c r="BL32" i="7"/>
  <c r="BD32" i="7"/>
  <c r="AK32" i="7"/>
  <c r="BH32" i="7"/>
  <c r="BK32" i="7"/>
  <c r="BB32" i="7"/>
  <c r="DB32" i="7"/>
  <c r="BP29" i="24"/>
  <c r="BU29" i="24"/>
  <c r="X29" i="27"/>
  <c r="BM31" i="7"/>
  <c r="BO31" i="7"/>
  <c r="X31" i="7"/>
  <c r="H31" i="27"/>
  <c r="GB31" i="7"/>
  <c r="FS31" i="7"/>
  <c r="AR31" i="24"/>
  <c r="BG31" i="24"/>
  <c r="AI37" i="7"/>
  <c r="CF37" i="24"/>
  <c r="AZ33" i="7"/>
  <c r="EK33" i="7"/>
  <c r="AW34" i="7"/>
  <c r="E33" i="7"/>
  <c r="EL33" i="7"/>
  <c r="EC33" i="7"/>
  <c r="HK49" i="24"/>
  <c r="HJ50" i="24"/>
  <c r="HL45" i="7"/>
  <c r="HM46" i="7"/>
  <c r="GB30" i="24"/>
  <c r="BK30" i="32"/>
  <c r="BI30" i="24"/>
  <c r="S32" i="24"/>
  <c r="BP30" i="7"/>
  <c r="BU30" i="7"/>
  <c r="T33" i="27"/>
  <c r="GJ33" i="7"/>
  <c r="AF33" i="27"/>
  <c r="S34" i="7"/>
  <c r="T34" i="7"/>
  <c r="FS36" i="24"/>
  <c r="AR36" i="7"/>
  <c r="BG36" i="7"/>
  <c r="FY31" i="7"/>
  <c r="U31" i="27"/>
  <c r="BI31" i="7"/>
  <c r="BG33" i="32"/>
  <c r="GJ33" i="24"/>
  <c r="BS33" i="32"/>
  <c r="AT37" i="24"/>
  <c r="BV37" i="24"/>
  <c r="AJ37" i="7"/>
  <c r="CO37" i="24"/>
  <c r="BF37" i="24"/>
  <c r="AS37" i="24"/>
  <c r="CN37" i="24"/>
  <c r="DT37" i="24"/>
  <c r="BE37" i="24"/>
  <c r="BD37" i="24"/>
  <c r="AQ37" i="24"/>
  <c r="AK37" i="24"/>
  <c r="AI32" i="24"/>
  <c r="E32" i="27"/>
  <c r="CF32" i="7"/>
  <c r="CG32" i="7"/>
  <c r="FY32" i="24"/>
  <c r="BH32" i="32"/>
  <c r="D34" i="7"/>
  <c r="AV35" i="7"/>
  <c r="FX34" i="7"/>
  <c r="HJ136" i="7"/>
  <c r="HK135" i="7"/>
  <c r="BC33" i="24"/>
  <c r="AX34" i="24"/>
  <c r="BH33" i="24"/>
  <c r="R33" i="24"/>
  <c r="Q33" i="24"/>
  <c r="AY33" i="24"/>
  <c r="FW33" i="24"/>
  <c r="BK33" i="24"/>
  <c r="BM33" i="24"/>
  <c r="BO33" i="24"/>
  <c r="CG33" i="24"/>
  <c r="FV33" i="24"/>
  <c r="BL33" i="24"/>
  <c r="HM48" i="24"/>
  <c r="HL47" i="24"/>
  <c r="DK33" i="24"/>
  <c r="DL33" i="24" s="1"/>
  <c r="CS33" i="24"/>
  <c r="CT33" i="24" s="1"/>
  <c r="CW33" i="24" s="1"/>
  <c r="DB33" i="24"/>
  <c r="BB33" i="24"/>
  <c r="EL38" i="24"/>
  <c r="E38" i="24"/>
  <c r="AW39" i="24"/>
  <c r="EK38" i="24"/>
  <c r="EC38" i="24"/>
  <c r="AZ38" i="24"/>
  <c r="GA32" i="24"/>
  <c r="BJ32" i="32"/>
  <c r="X32" i="24"/>
  <c r="FZ32" i="24"/>
  <c r="BI32" i="32"/>
  <c r="CS33" i="7"/>
  <c r="CT33" i="7" s="1"/>
  <c r="CW33" i="7" s="1"/>
  <c r="D33" i="27"/>
  <c r="DK33" i="7"/>
  <c r="DL33" i="7" s="1"/>
  <c r="AX36" i="7"/>
  <c r="AY35" i="7"/>
  <c r="BC35" i="7"/>
  <c r="R35" i="7"/>
  <c r="Q35" i="7"/>
  <c r="CG32" i="24"/>
  <c r="FZ31" i="7"/>
  <c r="V31" i="27"/>
  <c r="GA31" i="7"/>
  <c r="W31" i="27"/>
  <c r="D34" i="24"/>
  <c r="AV35" i="24"/>
  <c r="FX34" i="24"/>
  <c r="FX35" i="7"/>
  <c r="D35" i="7"/>
  <c r="AV36" i="7"/>
  <c r="X33" i="24"/>
  <c r="FZ33" i="24"/>
  <c r="BI33" i="32"/>
  <c r="GA33" i="24"/>
  <c r="BJ33" i="32"/>
  <c r="AX35" i="24"/>
  <c r="BC34" i="24"/>
  <c r="Q34" i="24"/>
  <c r="AY34" i="24"/>
  <c r="BH34" i="24"/>
  <c r="R34" i="24"/>
  <c r="FV34" i="24"/>
  <c r="BL34" i="24"/>
  <c r="BK34" i="24"/>
  <c r="FW34" i="24"/>
  <c r="BP30" i="24"/>
  <c r="BU30" i="24"/>
  <c r="HJ51" i="24"/>
  <c r="HK50" i="24"/>
  <c r="X30" i="27"/>
  <c r="FY32" i="7"/>
  <c r="U32" i="27"/>
  <c r="BI32" i="7"/>
  <c r="GJ34" i="24"/>
  <c r="BS34" i="32"/>
  <c r="BG34" i="32"/>
  <c r="AX37" i="7"/>
  <c r="R36" i="7"/>
  <c r="BC36" i="7"/>
  <c r="AY36" i="7"/>
  <c r="Q36" i="7"/>
  <c r="GB31" i="24"/>
  <c r="BK31" i="32"/>
  <c r="BI31" i="24"/>
  <c r="BM32" i="7"/>
  <c r="BO32" i="7"/>
  <c r="X32" i="7"/>
  <c r="H32" i="27"/>
  <c r="D35" i="24"/>
  <c r="FX35" i="24"/>
  <c r="AV36" i="24"/>
  <c r="GJ34" i="7"/>
  <c r="AF34" i="27"/>
  <c r="T34" i="27"/>
  <c r="DK34" i="24"/>
  <c r="DL34" i="24" s="1"/>
  <c r="CS34" i="24"/>
  <c r="CT34" i="24" s="1"/>
  <c r="CW34" i="24" s="1"/>
  <c r="DB34" i="24"/>
  <c r="BB34" i="24"/>
  <c r="AQ38" i="24"/>
  <c r="BF38" i="24"/>
  <c r="AT38" i="24"/>
  <c r="BD38" i="24"/>
  <c r="BV38" i="24"/>
  <c r="CO38" i="24"/>
  <c r="BE38" i="24"/>
  <c r="AJ38" i="7"/>
  <c r="CN38" i="24"/>
  <c r="DT38" i="24"/>
  <c r="AS38" i="24"/>
  <c r="AK38" i="24"/>
  <c r="HJ137" i="7"/>
  <c r="HK136" i="7"/>
  <c r="FZ32" i="7"/>
  <c r="V32" i="27"/>
  <c r="AI33" i="24"/>
  <c r="E33" i="27"/>
  <c r="CF33" i="7"/>
  <c r="CG33" i="7"/>
  <c r="BP31" i="7"/>
  <c r="BU31" i="7"/>
  <c r="EL34" i="7"/>
  <c r="E34" i="7"/>
  <c r="EK34" i="7"/>
  <c r="AZ34" i="7"/>
  <c r="AW35" i="7"/>
  <c r="EC34" i="7"/>
  <c r="S35" i="7"/>
  <c r="T35" i="7"/>
  <c r="HM49" i="24"/>
  <c r="HL48" i="24"/>
  <c r="S33" i="24"/>
  <c r="DK34" i="7"/>
  <c r="DL34" i="7" s="1"/>
  <c r="D34" i="27"/>
  <c r="CS34" i="7"/>
  <c r="CT34" i="7" s="1"/>
  <c r="CW34" i="7" s="1"/>
  <c r="HM47" i="7"/>
  <c r="HL46" i="7"/>
  <c r="GA32" i="7"/>
  <c r="W32" i="27"/>
  <c r="FS32" i="7"/>
  <c r="AR32" i="24"/>
  <c r="BG32" i="24"/>
  <c r="GB32" i="7"/>
  <c r="E39" i="24"/>
  <c r="EC39" i="24"/>
  <c r="EK39" i="24"/>
  <c r="EL39" i="24"/>
  <c r="AW40" i="24"/>
  <c r="AZ39" i="24"/>
  <c r="AI38" i="7"/>
  <c r="CF38" i="24"/>
  <c r="FY33" i="24"/>
  <c r="BH33" i="32"/>
  <c r="FS37" i="24"/>
  <c r="AR37" i="7"/>
  <c r="BG37" i="7"/>
  <c r="AP33" i="7"/>
  <c r="CN33" i="7"/>
  <c r="BD33" i="7"/>
  <c r="BV33" i="7"/>
  <c r="CO33" i="7"/>
  <c r="AN33" i="7"/>
  <c r="DT33" i="7"/>
  <c r="BL33" i="7"/>
  <c r="FP33" i="7"/>
  <c r="AN33" i="24"/>
  <c r="BF33" i="7"/>
  <c r="AK33" i="7"/>
  <c r="BH33" i="7"/>
  <c r="AO33" i="7"/>
  <c r="FR33" i="7"/>
  <c r="AP33" i="24"/>
  <c r="FN33" i="7"/>
  <c r="FQ33" i="7"/>
  <c r="AO33" i="24"/>
  <c r="FW33" i="7"/>
  <c r="BE33" i="7"/>
  <c r="GA33" i="7"/>
  <c r="W33" i="27"/>
  <c r="AM33" i="7"/>
  <c r="FV33" i="7"/>
  <c r="BK33" i="7"/>
  <c r="BM33" i="7"/>
  <c r="BO33" i="7"/>
  <c r="AJ33" i="24"/>
  <c r="FO33" i="7"/>
  <c r="AM33" i="24"/>
  <c r="BB33" i="7"/>
  <c r="DB33" i="7"/>
  <c r="BP31" i="24"/>
  <c r="BU31" i="24"/>
  <c r="EK35" i="7"/>
  <c r="EL35" i="7"/>
  <c r="EC35" i="7"/>
  <c r="AZ35" i="7"/>
  <c r="E35" i="7"/>
  <c r="AW36" i="7"/>
  <c r="FY34" i="24"/>
  <c r="BH34" i="32"/>
  <c r="HK51" i="24"/>
  <c r="HJ52" i="24"/>
  <c r="D36" i="7"/>
  <c r="FX36" i="7"/>
  <c r="AV37" i="7"/>
  <c r="HM48" i="7"/>
  <c r="HL47" i="7"/>
  <c r="AO34" i="7"/>
  <c r="BV34" i="7"/>
  <c r="AP34" i="7"/>
  <c r="AJ34" i="24"/>
  <c r="AK34" i="7"/>
  <c r="BH34" i="7"/>
  <c r="BE34" i="7"/>
  <c r="BK34" i="7"/>
  <c r="BM34" i="7"/>
  <c r="BO34" i="7"/>
  <c r="AN34" i="7"/>
  <c r="AM34" i="7"/>
  <c r="CO34" i="7"/>
  <c r="BF34" i="7"/>
  <c r="FO34" i="7"/>
  <c r="AM34" i="24"/>
  <c r="FR34" i="7"/>
  <c r="AP34" i="24"/>
  <c r="FW34" i="7"/>
  <c r="CN34" i="7"/>
  <c r="X34" i="7"/>
  <c r="DT34" i="7"/>
  <c r="BL34" i="7"/>
  <c r="FQ34" i="7"/>
  <c r="AO34" i="24"/>
  <c r="FP34" i="7"/>
  <c r="AN34" i="24"/>
  <c r="FV34" i="7"/>
  <c r="BD34" i="7"/>
  <c r="FN34" i="7"/>
  <c r="DB34" i="7"/>
  <c r="BB34" i="7"/>
  <c r="S36" i="7"/>
  <c r="T36" i="7"/>
  <c r="BP32" i="7"/>
  <c r="BU32" i="7"/>
  <c r="DK35" i="7"/>
  <c r="DL35" i="7" s="1"/>
  <c r="D35" i="27"/>
  <c r="CS35" i="7"/>
  <c r="CT35" i="7" s="1"/>
  <c r="CW35" i="7" s="1"/>
  <c r="FS38" i="24"/>
  <c r="AR38" i="7"/>
  <c r="BG38" i="7"/>
  <c r="BI33" i="7"/>
  <c r="FY33" i="7"/>
  <c r="U33" i="27"/>
  <c r="AI39" i="7"/>
  <c r="CF39" i="24"/>
  <c r="AV37" i="24"/>
  <c r="D36" i="24"/>
  <c r="FX36" i="24"/>
  <c r="R37" i="7"/>
  <c r="Q37" i="7"/>
  <c r="AX38" i="7"/>
  <c r="AY37" i="7"/>
  <c r="BC37" i="7"/>
  <c r="BM34" i="24"/>
  <c r="BO34" i="24"/>
  <c r="T35" i="27"/>
  <c r="GJ35" i="7"/>
  <c r="AF35" i="27"/>
  <c r="AI34" i="24"/>
  <c r="E34" i="27"/>
  <c r="CF34" i="7"/>
  <c r="CG34" i="7"/>
  <c r="GJ35" i="24"/>
  <c r="BS35" i="32"/>
  <c r="BG35" i="32"/>
  <c r="CG34" i="24"/>
  <c r="Q35" i="24"/>
  <c r="AY35" i="24"/>
  <c r="BH35" i="24"/>
  <c r="AX36" i="24"/>
  <c r="BC35" i="24"/>
  <c r="R35" i="24"/>
  <c r="BK35" i="24"/>
  <c r="BM35" i="24"/>
  <c r="BO35" i="24"/>
  <c r="FV35" i="24"/>
  <c r="FW35" i="24"/>
  <c r="BL35" i="24"/>
  <c r="FZ33" i="7"/>
  <c r="V33" i="27"/>
  <c r="X32" i="27"/>
  <c r="FS33" i="7"/>
  <c r="AR33" i="24"/>
  <c r="BG33" i="24"/>
  <c r="GB33" i="7"/>
  <c r="X33" i="7"/>
  <c r="H33" i="27"/>
  <c r="GB32" i="24"/>
  <c r="BK32" i="32"/>
  <c r="BI32" i="24"/>
  <c r="HM50" i="24"/>
  <c r="HL49" i="24"/>
  <c r="CS35" i="24"/>
  <c r="CT35" i="24" s="1"/>
  <c r="CW35" i="24" s="1"/>
  <c r="DK35" i="24"/>
  <c r="DL35" i="24" s="1"/>
  <c r="BB35" i="24"/>
  <c r="DB35" i="24"/>
  <c r="BF39" i="24"/>
  <c r="AT39" i="24"/>
  <c r="AS39" i="24"/>
  <c r="AJ39" i="7"/>
  <c r="BD39" i="24"/>
  <c r="BV39" i="24"/>
  <c r="CO39" i="24"/>
  <c r="DT39" i="24"/>
  <c r="AQ39" i="24"/>
  <c r="CN39" i="24"/>
  <c r="BE39" i="24"/>
  <c r="AK39" i="24"/>
  <c r="HJ138" i="7"/>
  <c r="HK137" i="7"/>
  <c r="GA34" i="24"/>
  <c r="BJ34" i="32"/>
  <c r="FZ34" i="24"/>
  <c r="BI34" i="32"/>
  <c r="X34" i="24"/>
  <c r="AZ40" i="24"/>
  <c r="AW41" i="24"/>
  <c r="EL40" i="24"/>
  <c r="EK40" i="24"/>
  <c r="EC40" i="24"/>
  <c r="E40" i="24"/>
  <c r="X31" i="27"/>
  <c r="S34" i="24"/>
  <c r="T36" i="27"/>
  <c r="GJ36" i="7"/>
  <c r="AF36" i="27"/>
  <c r="AW37" i="7"/>
  <c r="EC36" i="7"/>
  <c r="EK36" i="7"/>
  <c r="E36" i="7"/>
  <c r="AZ36" i="7"/>
  <c r="EL36" i="7"/>
  <c r="AI40" i="7"/>
  <c r="CF40" i="24"/>
  <c r="HL50" i="24"/>
  <c r="HM51" i="24"/>
  <c r="GB33" i="24"/>
  <c r="BK33" i="32"/>
  <c r="BI33" i="24"/>
  <c r="S35" i="24"/>
  <c r="FS34" i="7"/>
  <c r="AR34" i="24"/>
  <c r="BG34" i="24"/>
  <c r="GB34" i="7"/>
  <c r="DK36" i="7"/>
  <c r="DL36" i="7" s="1"/>
  <c r="D36" i="27"/>
  <c r="CS36" i="7"/>
  <c r="CT36" i="7" s="1"/>
  <c r="CW36" i="7" s="1"/>
  <c r="AI35" i="24"/>
  <c r="E35" i="27"/>
  <c r="CF35" i="7"/>
  <c r="HJ139" i="7"/>
  <c r="HK138" i="7"/>
  <c r="HJ53" i="24"/>
  <c r="HK52" i="24"/>
  <c r="FP35" i="7"/>
  <c r="AN35" i="24"/>
  <c r="AK35" i="7"/>
  <c r="BH35" i="7"/>
  <c r="BE35" i="7"/>
  <c r="GA35" i="7"/>
  <c r="AM35" i="7"/>
  <c r="AJ35" i="24"/>
  <c r="AN35" i="7"/>
  <c r="DT35" i="7"/>
  <c r="CN35" i="7"/>
  <c r="X35" i="7"/>
  <c r="BD35" i="7"/>
  <c r="FZ35" i="7"/>
  <c r="CO35" i="7"/>
  <c r="FR35" i="7"/>
  <c r="AP35" i="24"/>
  <c r="BF35" i="7"/>
  <c r="FN35" i="7"/>
  <c r="AO35" i="7"/>
  <c r="FQ35" i="7"/>
  <c r="AO35" i="24"/>
  <c r="BK35" i="7"/>
  <c r="AP35" i="7"/>
  <c r="BV35" i="7"/>
  <c r="FO35" i="7"/>
  <c r="AM35" i="24"/>
  <c r="FW35" i="7"/>
  <c r="FV35" i="7"/>
  <c r="BL35" i="7"/>
  <c r="BB35" i="7"/>
  <c r="DB35" i="7"/>
  <c r="Q36" i="24"/>
  <c r="BH36" i="24"/>
  <c r="AX37" i="24"/>
  <c r="R36" i="24"/>
  <c r="AY36" i="24"/>
  <c r="BC36" i="24"/>
  <c r="FW36" i="24"/>
  <c r="FV36" i="24"/>
  <c r="BK36" i="24"/>
  <c r="BM36" i="24"/>
  <c r="BO36" i="24"/>
  <c r="BL36" i="24"/>
  <c r="BG36" i="32"/>
  <c r="GJ36" i="24"/>
  <c r="BS36" i="32"/>
  <c r="BP32" i="24"/>
  <c r="BU32" i="24"/>
  <c r="EL41" i="24"/>
  <c r="EK41" i="24"/>
  <c r="AW42" i="24"/>
  <c r="AZ41" i="24"/>
  <c r="E41" i="24"/>
  <c r="EC41" i="24"/>
  <c r="FS39" i="24"/>
  <c r="AR39" i="7"/>
  <c r="BG39" i="7"/>
  <c r="DK36" i="24"/>
  <c r="DL36" i="24" s="1"/>
  <c r="CS36" i="24"/>
  <c r="CT36" i="24" s="1"/>
  <c r="CW36" i="24" s="1"/>
  <c r="BB36" i="24"/>
  <c r="CG36" i="24"/>
  <c r="DB36" i="24"/>
  <c r="BP33" i="7"/>
  <c r="BU33" i="7"/>
  <c r="BI34" i="7"/>
  <c r="FY34" i="7"/>
  <c r="U34" i="27"/>
  <c r="AK40" i="24"/>
  <c r="BE40" i="24"/>
  <c r="DT40" i="24"/>
  <c r="AJ40" i="7"/>
  <c r="CN40" i="24"/>
  <c r="AT40" i="24"/>
  <c r="BD40" i="24"/>
  <c r="AQ40" i="24"/>
  <c r="BF40" i="24"/>
  <c r="AS40" i="24"/>
  <c r="CO40" i="24"/>
  <c r="BV40" i="24"/>
  <c r="FY35" i="24"/>
  <c r="BH35" i="32"/>
  <c r="AX39" i="7"/>
  <c r="AY38" i="7"/>
  <c r="R38" i="7"/>
  <c r="Q38" i="7"/>
  <c r="BC38" i="7"/>
  <c r="AV38" i="24"/>
  <c r="D37" i="24"/>
  <c r="FX37" i="24"/>
  <c r="H34" i="27"/>
  <c r="HL48" i="7"/>
  <c r="HM49" i="7"/>
  <c r="FZ35" i="24"/>
  <c r="BI35" i="32"/>
  <c r="GA35" i="24"/>
  <c r="BJ35" i="32"/>
  <c r="X35" i="24"/>
  <c r="GA34" i="7"/>
  <c r="W34" i="27"/>
  <c r="CG35" i="24"/>
  <c r="S37" i="7"/>
  <c r="T37" i="7"/>
  <c r="FZ34" i="7"/>
  <c r="V34" i="27"/>
  <c r="FX37" i="7"/>
  <c r="AV38" i="7"/>
  <c r="D37" i="7"/>
  <c r="CS37" i="24"/>
  <c r="CT37" i="24" s="1"/>
  <c r="CW37" i="24" s="1"/>
  <c r="DK37" i="24"/>
  <c r="DL37" i="24" s="1"/>
  <c r="DB37" i="24"/>
  <c r="BB37" i="24"/>
  <c r="AZ42" i="24"/>
  <c r="EC42" i="24"/>
  <c r="AW43" i="24"/>
  <c r="EL42" i="24"/>
  <c r="E42" i="24"/>
  <c r="EK42" i="24"/>
  <c r="W35" i="27"/>
  <c r="BP33" i="24"/>
  <c r="BU33" i="24"/>
  <c r="E36" i="27"/>
  <c r="AI36" i="24"/>
  <c r="CF36" i="7"/>
  <c r="D38" i="24"/>
  <c r="FX38" i="24"/>
  <c r="AV39" i="24"/>
  <c r="S36" i="24"/>
  <c r="BI35" i="7"/>
  <c r="FY35" i="7"/>
  <c r="U35" i="27"/>
  <c r="DK37" i="7"/>
  <c r="DL37" i="7" s="1"/>
  <c r="CS37" i="7"/>
  <c r="CT37" i="7" s="1"/>
  <c r="CW37" i="7" s="1"/>
  <c r="D37" i="27"/>
  <c r="BP34" i="7"/>
  <c r="BU34" i="7"/>
  <c r="AX38" i="24"/>
  <c r="BC37" i="24"/>
  <c r="AY37" i="24"/>
  <c r="R37" i="24"/>
  <c r="Q37" i="24"/>
  <c r="BH37" i="24"/>
  <c r="BL37" i="24"/>
  <c r="CG37" i="24"/>
  <c r="FV37" i="24"/>
  <c r="BK37" i="24"/>
  <c r="FW37" i="24"/>
  <c r="V35" i="27"/>
  <c r="HM52" i="24"/>
  <c r="HL51" i="24"/>
  <c r="HL49" i="7"/>
  <c r="HM50" i="7"/>
  <c r="D38" i="7"/>
  <c r="AV39" i="7"/>
  <c r="FX38" i="7"/>
  <c r="BM35" i="7"/>
  <c r="BO35" i="7"/>
  <c r="H35" i="27"/>
  <c r="EC37" i="7"/>
  <c r="EK37" i="7"/>
  <c r="AW38" i="7"/>
  <c r="AZ37" i="7"/>
  <c r="E37" i="7"/>
  <c r="EL37" i="7"/>
  <c r="HK53" i="24"/>
  <c r="HJ54" i="24"/>
  <c r="CG35" i="7"/>
  <c r="X34" i="27"/>
  <c r="GJ37" i="7"/>
  <c r="AF37" i="27"/>
  <c r="T37" i="27"/>
  <c r="GA36" i="24"/>
  <c r="BJ36" i="32"/>
  <c r="X36" i="24"/>
  <c r="FZ36" i="24"/>
  <c r="BI36" i="32"/>
  <c r="GB34" i="24"/>
  <c r="BK34" i="32"/>
  <c r="BI34" i="24"/>
  <c r="S38" i="7"/>
  <c r="T38" i="7"/>
  <c r="FS40" i="24"/>
  <c r="AR40" i="7"/>
  <c r="BG40" i="7"/>
  <c r="AI41" i="7"/>
  <c r="CF41" i="24"/>
  <c r="HJ140" i="7"/>
  <c r="HK139" i="7"/>
  <c r="X33" i="27"/>
  <c r="BG37" i="32"/>
  <c r="GJ37" i="24"/>
  <c r="BS37" i="32"/>
  <c r="R39" i="7"/>
  <c r="Q39" i="7"/>
  <c r="BC39" i="7"/>
  <c r="AY39" i="7"/>
  <c r="AX40" i="7"/>
  <c r="FY36" i="24"/>
  <c r="BH36" i="32"/>
  <c r="BE41" i="24"/>
  <c r="AK41" i="24"/>
  <c r="AJ41" i="7"/>
  <c r="DT41" i="24"/>
  <c r="CO41" i="24"/>
  <c r="BF41" i="24"/>
  <c r="AS41" i="24"/>
  <c r="BV41" i="24"/>
  <c r="AT41" i="24"/>
  <c r="BD41" i="24"/>
  <c r="CN41" i="24"/>
  <c r="AQ41" i="24"/>
  <c r="FS35" i="7"/>
  <c r="AR35" i="24"/>
  <c r="BG35" i="24"/>
  <c r="GB35" i="7"/>
  <c r="AN36" i="7"/>
  <c r="BD36" i="7"/>
  <c r="AP36" i="7"/>
  <c r="BV36" i="7"/>
  <c r="BE36" i="7"/>
  <c r="GA36" i="7"/>
  <c r="W36" i="27"/>
  <c r="FN36" i="7"/>
  <c r="FR36" i="7"/>
  <c r="AP36" i="24"/>
  <c r="AM36" i="7"/>
  <c r="FO36" i="7"/>
  <c r="AM36" i="24"/>
  <c r="AJ36" i="24"/>
  <c r="AO36" i="7"/>
  <c r="CO36" i="7"/>
  <c r="DT36" i="7"/>
  <c r="BF36" i="7"/>
  <c r="CN36" i="7"/>
  <c r="X36" i="7"/>
  <c r="H36" i="27"/>
  <c r="FQ36" i="7"/>
  <c r="AO36" i="24"/>
  <c r="FP36" i="7"/>
  <c r="AN36" i="24"/>
  <c r="BK36" i="7"/>
  <c r="FV36" i="7"/>
  <c r="FW36" i="7"/>
  <c r="BL36" i="7"/>
  <c r="AK36" i="7"/>
  <c r="BH36" i="7"/>
  <c r="BB36" i="7"/>
  <c r="CG36" i="7"/>
  <c r="DB36" i="7"/>
  <c r="FS41" i="24"/>
  <c r="AR41" i="7"/>
  <c r="BG41" i="7"/>
  <c r="HJ141" i="7"/>
  <c r="HK140" i="7"/>
  <c r="D38" i="27"/>
  <c r="DK38" i="7"/>
  <c r="DL38" i="7" s="1"/>
  <c r="CS38" i="7"/>
  <c r="CT38" i="7" s="1"/>
  <c r="CW38" i="7" s="1"/>
  <c r="BP35" i="7"/>
  <c r="BU35" i="7"/>
  <c r="BM36" i="7"/>
  <c r="BO36" i="7"/>
  <c r="FZ36" i="7"/>
  <c r="V36" i="27"/>
  <c r="BM37" i="24"/>
  <c r="BO37" i="24"/>
  <c r="AK42" i="24"/>
  <c r="BE42" i="24"/>
  <c r="AQ42" i="24"/>
  <c r="AT42" i="24"/>
  <c r="AJ42" i="7"/>
  <c r="BD42" i="24"/>
  <c r="AS42" i="24"/>
  <c r="BV42" i="24"/>
  <c r="BF42" i="24"/>
  <c r="DT42" i="24"/>
  <c r="CN42" i="24"/>
  <c r="CO42" i="24"/>
  <c r="EL38" i="7"/>
  <c r="E38" i="7"/>
  <c r="EK38" i="7"/>
  <c r="AZ38" i="7"/>
  <c r="EC38" i="7"/>
  <c r="AW39" i="7"/>
  <c r="R40" i="7"/>
  <c r="AX41" i="7"/>
  <c r="AY40" i="7"/>
  <c r="BC40" i="7"/>
  <c r="Q40" i="7"/>
  <c r="S39" i="7"/>
  <c r="T39" i="7"/>
  <c r="AI37" i="24"/>
  <c r="E37" i="27"/>
  <c r="CF37" i="7"/>
  <c r="HL50" i="7"/>
  <c r="HM51" i="7"/>
  <c r="X37" i="24"/>
  <c r="GA37" i="24"/>
  <c r="BJ37" i="32"/>
  <c r="FZ37" i="24"/>
  <c r="BI37" i="32"/>
  <c r="BC38" i="24"/>
  <c r="Q38" i="24"/>
  <c r="AY38" i="24"/>
  <c r="BH38" i="24"/>
  <c r="AX39" i="24"/>
  <c r="R38" i="24"/>
  <c r="BK38" i="24"/>
  <c r="BL38" i="24"/>
  <c r="FW38" i="24"/>
  <c r="CG38" i="24"/>
  <c r="FV38" i="24"/>
  <c r="D39" i="24"/>
  <c r="FX39" i="24"/>
  <c r="AV40" i="24"/>
  <c r="FY37" i="24"/>
  <c r="BH37" i="32"/>
  <c r="FY36" i="7"/>
  <c r="U36" i="27"/>
  <c r="BI36" i="7"/>
  <c r="HJ55" i="24"/>
  <c r="HK54" i="24"/>
  <c r="AM37" i="7"/>
  <c r="BV37" i="7"/>
  <c r="DT37" i="7"/>
  <c r="BD37" i="7"/>
  <c r="FP37" i="7"/>
  <c r="AN37" i="24"/>
  <c r="CO37" i="7"/>
  <c r="AO37" i="7"/>
  <c r="FR37" i="7"/>
  <c r="AP37" i="24"/>
  <c r="FN37" i="7"/>
  <c r="FQ37" i="7"/>
  <c r="AO37" i="24"/>
  <c r="AP37" i="7"/>
  <c r="BF37" i="7"/>
  <c r="CN37" i="7"/>
  <c r="AK37" i="7"/>
  <c r="BH37" i="7"/>
  <c r="FO37" i="7"/>
  <c r="AM37" i="24"/>
  <c r="BL37" i="7"/>
  <c r="AJ37" i="24"/>
  <c r="AN37" i="7"/>
  <c r="FV37" i="7"/>
  <c r="FW37" i="7"/>
  <c r="BK37" i="7"/>
  <c r="BE37" i="7"/>
  <c r="DB37" i="7"/>
  <c r="BB37" i="7"/>
  <c r="BG38" i="32"/>
  <c r="GJ38" i="24"/>
  <c r="BS38" i="32"/>
  <c r="CS38" i="24"/>
  <c r="CT38" i="24" s="1"/>
  <c r="CW38" i="24" s="1"/>
  <c r="DK38" i="24"/>
  <c r="DL38" i="24" s="1"/>
  <c r="DB38" i="24"/>
  <c r="BB38" i="24"/>
  <c r="CF42" i="24"/>
  <c r="AI42" i="7"/>
  <c r="GB35" i="24"/>
  <c r="BK35" i="32"/>
  <c r="BI35" i="24"/>
  <c r="BP34" i="24"/>
  <c r="BU34" i="24"/>
  <c r="T38" i="27"/>
  <c r="GJ38" i="7"/>
  <c r="AF38" i="27"/>
  <c r="HL52" i="24"/>
  <c r="HM53" i="24"/>
  <c r="FS36" i="7"/>
  <c r="AR36" i="24"/>
  <c r="BG36" i="24"/>
  <c r="GB36" i="7"/>
  <c r="FX39" i="7"/>
  <c r="AV40" i="7"/>
  <c r="D39" i="7"/>
  <c r="S37" i="24"/>
  <c r="EC43" i="24"/>
  <c r="AW44" i="24"/>
  <c r="EK43" i="24"/>
  <c r="EL43" i="24"/>
  <c r="AZ43" i="24"/>
  <c r="E43" i="24"/>
  <c r="D40" i="7"/>
  <c r="AV41" i="7"/>
  <c r="FX40" i="7"/>
  <c r="FS37" i="7"/>
  <c r="AR37" i="24"/>
  <c r="BG37" i="24"/>
  <c r="GB37" i="7"/>
  <c r="FZ37" i="7"/>
  <c r="V37" i="27"/>
  <c r="D40" i="24"/>
  <c r="AV41" i="24"/>
  <c r="FX40" i="24"/>
  <c r="S38" i="24"/>
  <c r="AK43" i="24"/>
  <c r="BF43" i="24"/>
  <c r="AS43" i="24"/>
  <c r="BV43" i="24"/>
  <c r="AQ43" i="24"/>
  <c r="AJ43" i="7"/>
  <c r="BE43" i="24"/>
  <c r="AT43" i="24"/>
  <c r="BD43" i="24"/>
  <c r="DT43" i="24"/>
  <c r="CN43" i="24"/>
  <c r="CO43" i="24"/>
  <c r="GJ39" i="7"/>
  <c r="AF39" i="27"/>
  <c r="T39" i="27"/>
  <c r="GB36" i="24"/>
  <c r="BK36" i="32"/>
  <c r="BI36" i="24"/>
  <c r="BG39" i="32"/>
  <c r="GJ39" i="24"/>
  <c r="BS39" i="32"/>
  <c r="AX40" i="24"/>
  <c r="AY39" i="24"/>
  <c r="BC39" i="24"/>
  <c r="R39" i="24"/>
  <c r="Q39" i="24"/>
  <c r="BH39" i="24"/>
  <c r="FV39" i="24"/>
  <c r="FW39" i="24"/>
  <c r="BL39" i="24"/>
  <c r="BK39" i="24"/>
  <c r="BM39" i="24"/>
  <c r="BO39" i="24"/>
  <c r="HM52" i="7"/>
  <c r="HL51" i="7"/>
  <c r="BV38" i="7"/>
  <c r="FR38" i="7"/>
  <c r="AP38" i="24"/>
  <c r="BF38" i="7"/>
  <c r="BE38" i="7"/>
  <c r="AO38" i="7"/>
  <c r="DT38" i="7"/>
  <c r="AP38" i="7"/>
  <c r="FP38" i="7"/>
  <c r="AN38" i="24"/>
  <c r="BD38" i="7"/>
  <c r="FQ38" i="7"/>
  <c r="AO38" i="24"/>
  <c r="CO38" i="7"/>
  <c r="FN38" i="7"/>
  <c r="FO38" i="7"/>
  <c r="AM38" i="24"/>
  <c r="AJ38" i="24"/>
  <c r="BK38" i="7"/>
  <c r="AM38" i="7"/>
  <c r="FV38" i="7"/>
  <c r="CN38" i="7"/>
  <c r="X38" i="7"/>
  <c r="FW38" i="7"/>
  <c r="AK38" i="7"/>
  <c r="BH38" i="7"/>
  <c r="BL38" i="7"/>
  <c r="AN38" i="7"/>
  <c r="DB38" i="7"/>
  <c r="BB38" i="7"/>
  <c r="HL53" i="24"/>
  <c r="HM54" i="24"/>
  <c r="BP35" i="24"/>
  <c r="BU35" i="24"/>
  <c r="FY38" i="24"/>
  <c r="BH38" i="32"/>
  <c r="DK39" i="24"/>
  <c r="DL39" i="24" s="1"/>
  <c r="CS39" i="24"/>
  <c r="CT39" i="24" s="1"/>
  <c r="CW39" i="24" s="1"/>
  <c r="DB39" i="24"/>
  <c r="BB39" i="24"/>
  <c r="CF43" i="24"/>
  <c r="AI43" i="7"/>
  <c r="DK39" i="7"/>
  <c r="DL39" i="7" s="1"/>
  <c r="D39" i="27"/>
  <c r="CS39" i="7"/>
  <c r="CT39" i="7" s="1"/>
  <c r="CW39" i="7" s="1"/>
  <c r="FZ38" i="24"/>
  <c r="BI38" i="32"/>
  <c r="X38" i="24"/>
  <c r="GA38" i="24"/>
  <c r="BJ38" i="32"/>
  <c r="AI38" i="24"/>
  <c r="E38" i="27"/>
  <c r="CF38" i="7"/>
  <c r="CG38" i="7"/>
  <c r="R41" i="7"/>
  <c r="AY41" i="7"/>
  <c r="Q41" i="7"/>
  <c r="AX42" i="7"/>
  <c r="BC41" i="7"/>
  <c r="FY37" i="7"/>
  <c r="U37" i="27"/>
  <c r="BI37" i="7"/>
  <c r="GA37" i="7"/>
  <c r="W37" i="27"/>
  <c r="X35" i="27"/>
  <c r="CG37" i="7"/>
  <c r="S40" i="7"/>
  <c r="T40" i="7"/>
  <c r="FS42" i="24"/>
  <c r="AR42" i="7"/>
  <c r="BG42" i="7"/>
  <c r="HJ142" i="7"/>
  <c r="HK141" i="7"/>
  <c r="HJ56" i="24"/>
  <c r="HK55" i="24"/>
  <c r="AZ44" i="24"/>
  <c r="EC44" i="24"/>
  <c r="EL44" i="24"/>
  <c r="AW45" i="24"/>
  <c r="EK44" i="24"/>
  <c r="E44" i="24"/>
  <c r="BM37" i="7"/>
  <c r="BO37" i="7"/>
  <c r="X37" i="7"/>
  <c r="H37" i="27"/>
  <c r="BP36" i="7"/>
  <c r="BU36" i="7"/>
  <c r="BM38" i="24"/>
  <c r="BO38" i="24"/>
  <c r="EC39" i="7"/>
  <c r="AZ39" i="7"/>
  <c r="E39" i="7"/>
  <c r="AW40" i="7"/>
  <c r="EL39" i="7"/>
  <c r="EK39" i="7"/>
  <c r="BP37" i="7"/>
  <c r="BU37" i="7"/>
  <c r="S41" i="7"/>
  <c r="T41" i="7"/>
  <c r="H38" i="27"/>
  <c r="GA39" i="24"/>
  <c r="BJ39" i="32"/>
  <c r="FZ39" i="24"/>
  <c r="BI39" i="32"/>
  <c r="X39" i="24"/>
  <c r="X36" i="27"/>
  <c r="HK56" i="24"/>
  <c r="HJ57" i="24"/>
  <c r="AX43" i="7"/>
  <c r="Q42" i="7"/>
  <c r="AY42" i="7"/>
  <c r="R42" i="7"/>
  <c r="BC42" i="7"/>
  <c r="FZ38" i="7"/>
  <c r="V38" i="27"/>
  <c r="BP36" i="24"/>
  <c r="BU36" i="24"/>
  <c r="AJ44" i="7"/>
  <c r="BV44" i="24"/>
  <c r="BF44" i="24"/>
  <c r="AQ44" i="24"/>
  <c r="BE44" i="24"/>
  <c r="AT44" i="24"/>
  <c r="BD44" i="24"/>
  <c r="AK44" i="24"/>
  <c r="AS44" i="24"/>
  <c r="CN44" i="24"/>
  <c r="CO44" i="24"/>
  <c r="DT44" i="24"/>
  <c r="HM55" i="24"/>
  <c r="HL54" i="24"/>
  <c r="FY38" i="7"/>
  <c r="U38" i="27"/>
  <c r="BI38" i="7"/>
  <c r="BG40" i="32"/>
  <c r="GJ40" i="24"/>
  <c r="BS40" i="32"/>
  <c r="EK40" i="7"/>
  <c r="EC40" i="7"/>
  <c r="AZ40" i="7"/>
  <c r="E40" i="7"/>
  <c r="EL40" i="7"/>
  <c r="AW41" i="7"/>
  <c r="CF44" i="24"/>
  <c r="AI44" i="7"/>
  <c r="BM38" i="7"/>
  <c r="BO38" i="7"/>
  <c r="HM53" i="7"/>
  <c r="HL52" i="7"/>
  <c r="S39" i="24"/>
  <c r="FS43" i="24"/>
  <c r="AR43" i="7"/>
  <c r="BG43" i="7"/>
  <c r="FX41" i="24"/>
  <c r="D41" i="24"/>
  <c r="AV42" i="24"/>
  <c r="T40" i="27"/>
  <c r="GJ40" i="7"/>
  <c r="AF40" i="27"/>
  <c r="DK40" i="24"/>
  <c r="DL40" i="24" s="1"/>
  <c r="CS40" i="24"/>
  <c r="DB40" i="24"/>
  <c r="BB40" i="24"/>
  <c r="FX41" i="7"/>
  <c r="AV42" i="7"/>
  <c r="D41" i="7"/>
  <c r="FY39" i="24"/>
  <c r="BH39" i="32"/>
  <c r="CG39" i="24"/>
  <c r="CS40" i="7"/>
  <c r="CT40" i="7" s="1"/>
  <c r="CW40" i="7" s="1"/>
  <c r="D40" i="27"/>
  <c r="DK40" i="7"/>
  <c r="DL40" i="7" s="1"/>
  <c r="AI39" i="24"/>
  <c r="E39" i="27"/>
  <c r="CF39" i="7"/>
  <c r="CG39" i="7"/>
  <c r="HJ143" i="7"/>
  <c r="HK142" i="7"/>
  <c r="GA38" i="7"/>
  <c r="W38" i="27"/>
  <c r="BC40" i="24"/>
  <c r="BH40" i="24"/>
  <c r="AX41" i="24"/>
  <c r="Q40" i="24"/>
  <c r="AY40" i="24"/>
  <c r="R40" i="24"/>
  <c r="BK40" i="24"/>
  <c r="FV40" i="24"/>
  <c r="FW40" i="24"/>
  <c r="BL40" i="24"/>
  <c r="EK45" i="24"/>
  <c r="AW46" i="24"/>
  <c r="EL45" i="24"/>
  <c r="EC45" i="24"/>
  <c r="AZ45" i="24"/>
  <c r="E45" i="24"/>
  <c r="AP39" i="7"/>
  <c r="FP39" i="7"/>
  <c r="AN39" i="24"/>
  <c r="BE39" i="7"/>
  <c r="AO39" i="7"/>
  <c r="AM39" i="7"/>
  <c r="DT39" i="7"/>
  <c r="AK39" i="7"/>
  <c r="BH39" i="7"/>
  <c r="BD39" i="7"/>
  <c r="BF39" i="7"/>
  <c r="FN39" i="7"/>
  <c r="FR39" i="7"/>
  <c r="AP39" i="24"/>
  <c r="AJ39" i="24"/>
  <c r="AN39" i="7"/>
  <c r="CO39" i="7"/>
  <c r="FW39" i="7"/>
  <c r="CN39" i="7"/>
  <c r="FV39" i="7"/>
  <c r="BL39" i="7"/>
  <c r="FQ39" i="7"/>
  <c r="AO39" i="24"/>
  <c r="FO39" i="7"/>
  <c r="AM39" i="24"/>
  <c r="BV39" i="7"/>
  <c r="BK39" i="7"/>
  <c r="DB39" i="7"/>
  <c r="BB39" i="7"/>
  <c r="GB38" i="7"/>
  <c r="FS38" i="7"/>
  <c r="AR38" i="24"/>
  <c r="BG38" i="24"/>
  <c r="GB37" i="24"/>
  <c r="BK37" i="32"/>
  <c r="BI37" i="24"/>
  <c r="CT40" i="24"/>
  <c r="CW40" i="24" s="1"/>
  <c r="FY40" i="24"/>
  <c r="BH40" i="32"/>
  <c r="FS39" i="7"/>
  <c r="AR39" i="24"/>
  <c r="BG39" i="24"/>
  <c r="GB39" i="7"/>
  <c r="HJ144" i="7"/>
  <c r="HK143" i="7"/>
  <c r="FY39" i="7"/>
  <c r="U39" i="27"/>
  <c r="BI39" i="7"/>
  <c r="X39" i="7"/>
  <c r="H39" i="27"/>
  <c r="FZ39" i="7"/>
  <c r="V39" i="27"/>
  <c r="X37" i="27"/>
  <c r="DK41" i="7"/>
  <c r="DL41" i="7" s="1"/>
  <c r="D41" i="27"/>
  <c r="CS41" i="7"/>
  <c r="CT41" i="7" s="1"/>
  <c r="CW41" i="7" s="1"/>
  <c r="S42" i="7"/>
  <c r="T42" i="7"/>
  <c r="Q41" i="24"/>
  <c r="BH41" i="24"/>
  <c r="AY41" i="24"/>
  <c r="AX42" i="24"/>
  <c r="R41" i="24"/>
  <c r="BC41" i="24"/>
  <c r="FW41" i="24"/>
  <c r="FV41" i="24"/>
  <c r="BL41" i="24"/>
  <c r="BK41" i="24"/>
  <c r="AV43" i="7"/>
  <c r="FX42" i="7"/>
  <c r="D42" i="7"/>
  <c r="HM56" i="24"/>
  <c r="HL55" i="24"/>
  <c r="BM39" i="7"/>
  <c r="BO39" i="7"/>
  <c r="CF45" i="24"/>
  <c r="AI45" i="7"/>
  <c r="CG40" i="24"/>
  <c r="T41" i="27"/>
  <c r="GJ41" i="7"/>
  <c r="AF41" i="27"/>
  <c r="D42" i="24"/>
  <c r="AV43" i="24"/>
  <c r="FX42" i="24"/>
  <c r="HL53" i="7"/>
  <c r="HM54" i="7"/>
  <c r="EK41" i="7"/>
  <c r="EC41" i="7"/>
  <c r="AZ41" i="7"/>
  <c r="AW42" i="7"/>
  <c r="EL41" i="7"/>
  <c r="E41" i="7"/>
  <c r="BP37" i="24"/>
  <c r="BU37" i="24"/>
  <c r="DK41" i="24"/>
  <c r="DL41" i="24" s="1"/>
  <c r="CS41" i="24"/>
  <c r="CT41" i="24" s="1"/>
  <c r="CW41" i="24" s="1"/>
  <c r="DB41" i="24"/>
  <c r="BB41" i="24"/>
  <c r="CG41" i="24"/>
  <c r="Q43" i="7"/>
  <c r="R43" i="7"/>
  <c r="BC43" i="7"/>
  <c r="AX44" i="7"/>
  <c r="AY43" i="7"/>
  <c r="BG41" i="32"/>
  <c r="GJ41" i="24"/>
  <c r="BS41" i="32"/>
  <c r="AI40" i="24"/>
  <c r="E40" i="27"/>
  <c r="CF40" i="7"/>
  <c r="GB38" i="24"/>
  <c r="BK38" i="32"/>
  <c r="BI38" i="24"/>
  <c r="GA39" i="7"/>
  <c r="W39" i="27"/>
  <c r="BM40" i="24"/>
  <c r="BO40" i="24"/>
  <c r="DT40" i="7"/>
  <c r="FR40" i="7"/>
  <c r="AP40" i="24"/>
  <c r="AO40" i="7"/>
  <c r="FN40" i="7"/>
  <c r="BV40" i="7"/>
  <c r="AM40" i="7"/>
  <c r="FQ40" i="7"/>
  <c r="AO40" i="24"/>
  <c r="CN40" i="7"/>
  <c r="FO40" i="7"/>
  <c r="AM40" i="24"/>
  <c r="BK40" i="7"/>
  <c r="BM40" i="7"/>
  <c r="BO40" i="7"/>
  <c r="FW40" i="7"/>
  <c r="BE40" i="7"/>
  <c r="BD40" i="7"/>
  <c r="FZ40" i="7"/>
  <c r="AP40" i="7"/>
  <c r="CO40" i="7"/>
  <c r="FP40" i="7"/>
  <c r="AN40" i="24"/>
  <c r="AK40" i="7"/>
  <c r="BH40" i="7"/>
  <c r="AJ40" i="24"/>
  <c r="AN40" i="7"/>
  <c r="FV40" i="7"/>
  <c r="BF40" i="7"/>
  <c r="BL40" i="7"/>
  <c r="DB40" i="7"/>
  <c r="BB40" i="7"/>
  <c r="FS44" i="24"/>
  <c r="AR44" i="7"/>
  <c r="BG44" i="7"/>
  <c r="HK57" i="24"/>
  <c r="HJ58" i="24"/>
  <c r="BV45" i="24"/>
  <c r="BE45" i="24"/>
  <c r="BB45" i="24"/>
  <c r="DB45" i="24"/>
  <c r="AJ45" i="7"/>
  <c r="AK45" i="24"/>
  <c r="FZ40" i="24"/>
  <c r="BI40" i="32"/>
  <c r="GA40" i="24"/>
  <c r="BJ40" i="32"/>
  <c r="X40" i="24"/>
  <c r="AW47" i="24"/>
  <c r="AZ46" i="24"/>
  <c r="EC46" i="24"/>
  <c r="EK46" i="24"/>
  <c r="E46" i="24"/>
  <c r="EL46" i="24"/>
  <c r="S40" i="24"/>
  <c r="BP38" i="7"/>
  <c r="BU38" i="7"/>
  <c r="BE46" i="24"/>
  <c r="AJ46" i="7"/>
  <c r="BB46" i="24"/>
  <c r="BV46" i="24"/>
  <c r="AK46" i="24"/>
  <c r="DB46" i="24"/>
  <c r="EK47" i="24"/>
  <c r="EC47" i="24"/>
  <c r="AW48" i="24"/>
  <c r="AZ47" i="24"/>
  <c r="EL47" i="24"/>
  <c r="E47" i="24"/>
  <c r="GA40" i="7"/>
  <c r="W40" i="27"/>
  <c r="BP38" i="24"/>
  <c r="BU38" i="24"/>
  <c r="HL54" i="7"/>
  <c r="HM55" i="7"/>
  <c r="HJ145" i="7"/>
  <c r="HK144" i="7"/>
  <c r="X38" i="27"/>
  <c r="FZ41" i="24"/>
  <c r="BI41" i="32"/>
  <c r="GA41" i="24"/>
  <c r="BJ41" i="32"/>
  <c r="X41" i="24"/>
  <c r="AI41" i="24"/>
  <c r="E41" i="27"/>
  <c r="CF41" i="7"/>
  <c r="GJ42" i="24"/>
  <c r="BS42" i="32"/>
  <c r="BG42" i="32"/>
  <c r="HM57" i="24"/>
  <c r="HL56" i="24"/>
  <c r="GB39" i="24"/>
  <c r="BK39" i="32"/>
  <c r="BI39" i="24"/>
  <c r="BI40" i="7"/>
  <c r="FY40" i="7"/>
  <c r="U40" i="27"/>
  <c r="AV44" i="24"/>
  <c r="FX43" i="24"/>
  <c r="D43" i="24"/>
  <c r="X40" i="7"/>
  <c r="H40" i="27"/>
  <c r="EC42" i="7"/>
  <c r="AZ42" i="7"/>
  <c r="AW43" i="7"/>
  <c r="EL42" i="7"/>
  <c r="E42" i="7"/>
  <c r="EK42" i="7"/>
  <c r="CS42" i="24"/>
  <c r="CT42" i="24" s="1"/>
  <c r="CW42" i="24" s="1"/>
  <c r="DK42" i="24"/>
  <c r="DL42" i="24" s="1"/>
  <c r="BB42" i="24"/>
  <c r="DB42" i="24"/>
  <c r="CS42" i="7"/>
  <c r="CT42" i="7" s="1"/>
  <c r="CW42" i="7" s="1"/>
  <c r="D42" i="27"/>
  <c r="DK42" i="7"/>
  <c r="DL42" i="7" s="1"/>
  <c r="CF46" i="24"/>
  <c r="AI46" i="7"/>
  <c r="BC44" i="7"/>
  <c r="AX45" i="7"/>
  <c r="R44" i="7"/>
  <c r="Q44" i="7"/>
  <c r="AY44" i="7"/>
  <c r="AN41" i="7"/>
  <c r="BE41" i="7"/>
  <c r="GA41" i="7"/>
  <c r="W41" i="27"/>
  <c r="AJ41" i="24"/>
  <c r="AM41" i="7"/>
  <c r="BF41" i="7"/>
  <c r="BD41" i="7"/>
  <c r="AO41" i="7"/>
  <c r="DT41" i="7"/>
  <c r="FP41" i="7"/>
  <c r="AN41" i="24"/>
  <c r="AK41" i="7"/>
  <c r="BH41" i="7"/>
  <c r="FQ41" i="7"/>
  <c r="AO41" i="24"/>
  <c r="FN41" i="7"/>
  <c r="FR41" i="7"/>
  <c r="AP41" i="24"/>
  <c r="BV41" i="7"/>
  <c r="FW41" i="7"/>
  <c r="FO41" i="7"/>
  <c r="AM41" i="24"/>
  <c r="CN41" i="7"/>
  <c r="X41" i="7"/>
  <c r="H41" i="27"/>
  <c r="BK41" i="7"/>
  <c r="BM41" i="7"/>
  <c r="BO41" i="7"/>
  <c r="BL41" i="7"/>
  <c r="FV41" i="7"/>
  <c r="CO41" i="7"/>
  <c r="AP41" i="7"/>
  <c r="DB41" i="7"/>
  <c r="BB41" i="7"/>
  <c r="T42" i="27"/>
  <c r="GJ42" i="7"/>
  <c r="AF42" i="27"/>
  <c r="S41" i="24"/>
  <c r="CG40" i="7"/>
  <c r="FY41" i="24"/>
  <c r="BH41" i="32"/>
  <c r="FX43" i="7"/>
  <c r="D43" i="7"/>
  <c r="AV44" i="7"/>
  <c r="BH42" i="24"/>
  <c r="R42" i="24"/>
  <c r="Q42" i="24"/>
  <c r="AX43" i="24"/>
  <c r="AY42" i="24"/>
  <c r="BC42" i="24"/>
  <c r="CG42" i="24"/>
  <c r="BK42" i="24"/>
  <c r="BM42" i="24"/>
  <c r="BO42" i="24"/>
  <c r="FV42" i="24"/>
  <c r="BL42" i="24"/>
  <c r="FW42" i="24"/>
  <c r="BP39" i="7"/>
  <c r="BU39" i="7"/>
  <c r="HK58" i="24"/>
  <c r="HJ59" i="24"/>
  <c r="FS40" i="7"/>
  <c r="AR40" i="24"/>
  <c r="BG40" i="24"/>
  <c r="GB40" i="7"/>
  <c r="V40" i="27"/>
  <c r="S43" i="7"/>
  <c r="T43" i="7"/>
  <c r="BM41" i="24"/>
  <c r="BO41" i="24"/>
  <c r="FZ42" i="24"/>
  <c r="BI42" i="32"/>
  <c r="X42" i="24"/>
  <c r="GA42" i="24"/>
  <c r="BJ42" i="32"/>
  <c r="DK43" i="24"/>
  <c r="DL43" i="24" s="1"/>
  <c r="CS43" i="24"/>
  <c r="CT43" i="24" s="1"/>
  <c r="CW43" i="24" s="1"/>
  <c r="DB43" i="24"/>
  <c r="BB43" i="24"/>
  <c r="HL57" i="24"/>
  <c r="HM58" i="24"/>
  <c r="AI47" i="7"/>
  <c r="CF47" i="24"/>
  <c r="D44" i="7"/>
  <c r="AV45" i="7"/>
  <c r="FX44" i="7"/>
  <c r="GJ43" i="24"/>
  <c r="BS43" i="32"/>
  <c r="BG43" i="32"/>
  <c r="BP40" i="7"/>
  <c r="BU40" i="7"/>
  <c r="HM56" i="7"/>
  <c r="HL55" i="7"/>
  <c r="FY41" i="7"/>
  <c r="U41" i="27"/>
  <c r="BI41" i="7"/>
  <c r="EL48" i="24"/>
  <c r="EK48" i="24"/>
  <c r="AW49" i="24"/>
  <c r="AZ48" i="24"/>
  <c r="EC48" i="24"/>
  <c r="E48" i="24"/>
  <c r="AV45" i="24"/>
  <c r="FX44" i="24"/>
  <c r="D44" i="24"/>
  <c r="FZ41" i="7"/>
  <c r="V41" i="27"/>
  <c r="S44" i="7"/>
  <c r="T44" i="7"/>
  <c r="E43" i="7"/>
  <c r="EK43" i="7"/>
  <c r="AW44" i="7"/>
  <c r="AZ43" i="7"/>
  <c r="EL43" i="7"/>
  <c r="EC43" i="7"/>
  <c r="D43" i="27"/>
  <c r="CS43" i="7"/>
  <c r="CT43" i="7" s="1"/>
  <c r="CW43" i="7" s="1"/>
  <c r="DK43" i="7"/>
  <c r="DL43" i="7" s="1"/>
  <c r="E42" i="27"/>
  <c r="AI42" i="24"/>
  <c r="CF42" i="7"/>
  <c r="CG42" i="7"/>
  <c r="GB40" i="24"/>
  <c r="BK40" i="32"/>
  <c r="BI40" i="24"/>
  <c r="BC43" i="24"/>
  <c r="Q43" i="24"/>
  <c r="BH43" i="24"/>
  <c r="R43" i="24"/>
  <c r="AX44" i="24"/>
  <c r="AY43" i="24"/>
  <c r="FV43" i="24"/>
  <c r="CG43" i="24"/>
  <c r="BK43" i="24"/>
  <c r="BL43" i="24"/>
  <c r="FW43" i="24"/>
  <c r="FS41" i="7"/>
  <c r="AR41" i="24"/>
  <c r="BG41" i="24"/>
  <c r="GB41" i="7"/>
  <c r="BC45" i="7"/>
  <c r="R45" i="7"/>
  <c r="Q45" i="7"/>
  <c r="AY45" i="7"/>
  <c r="AX46" i="7"/>
  <c r="FP42" i="7"/>
  <c r="AN42" i="24"/>
  <c r="FQ42" i="7"/>
  <c r="AO42" i="24"/>
  <c r="BD42" i="7"/>
  <c r="BV42" i="7"/>
  <c r="AP42" i="7"/>
  <c r="BK42" i="7"/>
  <c r="BM42" i="7"/>
  <c r="BO42" i="7"/>
  <c r="AJ42" i="24"/>
  <c r="AK42" i="7"/>
  <c r="BH42" i="7"/>
  <c r="FO42" i="7"/>
  <c r="AM42" i="24"/>
  <c r="CN42" i="7"/>
  <c r="X42" i="7"/>
  <c r="H42" i="27"/>
  <c r="AM42" i="7"/>
  <c r="FR42" i="7"/>
  <c r="AP42" i="24"/>
  <c r="BE42" i="7"/>
  <c r="FW42" i="7"/>
  <c r="DT42" i="7"/>
  <c r="AO42" i="7"/>
  <c r="BL42" i="7"/>
  <c r="AN42" i="7"/>
  <c r="BF42" i="7"/>
  <c r="FV42" i="7"/>
  <c r="CO42" i="7"/>
  <c r="FN42" i="7"/>
  <c r="BB42" i="7"/>
  <c r="DB42" i="7"/>
  <c r="BP39" i="24"/>
  <c r="BU39" i="24"/>
  <c r="HJ146" i="7"/>
  <c r="HK145" i="7"/>
  <c r="BB47" i="24"/>
  <c r="AJ47" i="7"/>
  <c r="BV47" i="24"/>
  <c r="DB47" i="24"/>
  <c r="AK47" i="24"/>
  <c r="BE47" i="24"/>
  <c r="GJ43" i="7"/>
  <c r="AF43" i="27"/>
  <c r="T43" i="27"/>
  <c r="HJ60" i="24"/>
  <c r="HK59" i="24"/>
  <c r="FY42" i="24"/>
  <c r="BH42" i="32"/>
  <c r="CG41" i="7"/>
  <c r="X39" i="27"/>
  <c r="S42" i="24"/>
  <c r="HK60" i="24"/>
  <c r="HJ61" i="24"/>
  <c r="Q46" i="7"/>
  <c r="AX47" i="7"/>
  <c r="R46" i="7"/>
  <c r="BC46" i="7"/>
  <c r="AY46" i="7"/>
  <c r="BP41" i="7"/>
  <c r="BU41" i="7"/>
  <c r="GA42" i="7"/>
  <c r="W42" i="27"/>
  <c r="AY44" i="24"/>
  <c r="R44" i="24"/>
  <c r="Q44" i="24"/>
  <c r="AX45" i="24"/>
  <c r="BC44" i="24"/>
  <c r="BH44" i="24"/>
  <c r="BK44" i="24"/>
  <c r="BM44" i="24"/>
  <c r="BO44" i="24"/>
  <c r="FV44" i="24"/>
  <c r="FW44" i="24"/>
  <c r="BL44" i="24"/>
  <c r="X40" i="27"/>
  <c r="AZ49" i="24"/>
  <c r="E49" i="24"/>
  <c r="EK49" i="24"/>
  <c r="EC49" i="24"/>
  <c r="EL49" i="24"/>
  <c r="AW50" i="24"/>
  <c r="HJ147" i="7"/>
  <c r="HK147" i="7"/>
  <c r="HK146" i="7"/>
  <c r="HM59" i="24"/>
  <c r="HL58" i="24"/>
  <c r="S43" i="24"/>
  <c r="DT43" i="7"/>
  <c r="AO43" i="7"/>
  <c r="BF43" i="7"/>
  <c r="FO43" i="7"/>
  <c r="AM43" i="24"/>
  <c r="BK43" i="7"/>
  <c r="AM43" i="7"/>
  <c r="AJ43" i="24"/>
  <c r="BD43" i="7"/>
  <c r="FZ43" i="7"/>
  <c r="BV43" i="7"/>
  <c r="FW43" i="7"/>
  <c r="AP43" i="7"/>
  <c r="FQ43" i="7"/>
  <c r="AO43" i="24"/>
  <c r="FR43" i="7"/>
  <c r="AP43" i="24"/>
  <c r="CO43" i="7"/>
  <c r="FN43" i="7"/>
  <c r="AK43" i="7"/>
  <c r="BH43" i="7"/>
  <c r="FV43" i="7"/>
  <c r="BE43" i="7"/>
  <c r="GA43" i="7"/>
  <c r="BL43" i="7"/>
  <c r="CN43" i="7"/>
  <c r="X43" i="7"/>
  <c r="AN43" i="7"/>
  <c r="FP43" i="7"/>
  <c r="AN43" i="24"/>
  <c r="BB43" i="7"/>
  <c r="DB43" i="7"/>
  <c r="FY43" i="24"/>
  <c r="BH43" i="32"/>
  <c r="DB48" i="24"/>
  <c r="AK48" i="24"/>
  <c r="BV48" i="24"/>
  <c r="BB48" i="24"/>
  <c r="AJ48" i="7"/>
  <c r="BE48" i="24"/>
  <c r="GB42" i="7"/>
  <c r="FS42" i="7"/>
  <c r="AR42" i="24"/>
  <c r="BG42" i="24"/>
  <c r="FZ42" i="7"/>
  <c r="V42" i="27"/>
  <c r="S45" i="7"/>
  <c r="T45" i="7"/>
  <c r="E44" i="7"/>
  <c r="EK44" i="7"/>
  <c r="EL44" i="7"/>
  <c r="EC44" i="7"/>
  <c r="AZ44" i="7"/>
  <c r="AW45" i="7"/>
  <c r="DK44" i="24"/>
  <c r="DL44" i="24" s="1"/>
  <c r="CS44" i="24"/>
  <c r="CT44" i="24" s="1"/>
  <c r="CW44" i="24" s="1"/>
  <c r="BB44" i="24"/>
  <c r="DB44" i="24"/>
  <c r="HL56" i="7"/>
  <c r="HM57" i="7"/>
  <c r="T44" i="27"/>
  <c r="GJ44" i="7"/>
  <c r="AF44" i="27"/>
  <c r="GJ44" i="24"/>
  <c r="BS44" i="32"/>
  <c r="BG44" i="32"/>
  <c r="D45" i="7"/>
  <c r="FX45" i="7"/>
  <c r="AV46" i="7"/>
  <c r="BM43" i="24"/>
  <c r="BO43" i="24"/>
  <c r="AI43" i="24"/>
  <c r="E43" i="27"/>
  <c r="CF43" i="7"/>
  <c r="CG43" i="7"/>
  <c r="D45" i="24"/>
  <c r="FX45" i="24"/>
  <c r="AV46" i="24"/>
  <c r="AT45" i="24"/>
  <c r="BD45" i="24"/>
  <c r="AQ45" i="24"/>
  <c r="CS44" i="7"/>
  <c r="CT44" i="7" s="1"/>
  <c r="CW44" i="7" s="1"/>
  <c r="D44" i="27"/>
  <c r="DK44" i="7"/>
  <c r="DL44" i="7" s="1"/>
  <c r="GB41" i="24"/>
  <c r="BK41" i="32"/>
  <c r="BI41" i="24"/>
  <c r="BP40" i="24"/>
  <c r="BU40" i="24"/>
  <c r="AI48" i="7"/>
  <c r="CF48" i="24"/>
  <c r="FY42" i="7"/>
  <c r="U42" i="27"/>
  <c r="BI42" i="7"/>
  <c r="FZ43" i="24"/>
  <c r="BI43" i="32"/>
  <c r="X43" i="24"/>
  <c r="GA43" i="24"/>
  <c r="BJ43" i="32"/>
  <c r="DK45" i="7"/>
  <c r="DL45" i="7" s="1"/>
  <c r="D45" i="27"/>
  <c r="CS45" i="7"/>
  <c r="CT45" i="7" s="1"/>
  <c r="CW45" i="7" s="1"/>
  <c r="W43" i="27"/>
  <c r="S46" i="7"/>
  <c r="T46" i="7"/>
  <c r="T45" i="27"/>
  <c r="GJ45" i="7"/>
  <c r="AF45" i="27"/>
  <c r="BP42" i="7"/>
  <c r="BU42" i="7"/>
  <c r="BP41" i="24"/>
  <c r="BU41" i="24"/>
  <c r="X41" i="27"/>
  <c r="FY44" i="24"/>
  <c r="BH44" i="32"/>
  <c r="AI44" i="24"/>
  <c r="E44" i="27"/>
  <c r="CF44" i="7"/>
  <c r="HM60" i="24"/>
  <c r="HL59" i="24"/>
  <c r="AI49" i="7"/>
  <c r="CF49" i="24"/>
  <c r="BC47" i="7"/>
  <c r="AX48" i="7"/>
  <c r="Q47" i="7"/>
  <c r="R47" i="7"/>
  <c r="AY47" i="7"/>
  <c r="V43" i="27"/>
  <c r="DB49" i="24"/>
  <c r="AJ49" i="7"/>
  <c r="BB49" i="24"/>
  <c r="AK49" i="24"/>
  <c r="BV49" i="24"/>
  <c r="BE49" i="24"/>
  <c r="FS43" i="7"/>
  <c r="AR43" i="24"/>
  <c r="BG43" i="24"/>
  <c r="GB43" i="7"/>
  <c r="X44" i="24"/>
  <c r="GA44" i="24"/>
  <c r="BJ44" i="32"/>
  <c r="FZ44" i="24"/>
  <c r="BI44" i="32"/>
  <c r="FY43" i="7"/>
  <c r="U43" i="27"/>
  <c r="BI43" i="7"/>
  <c r="AY45" i="24"/>
  <c r="Q45" i="24"/>
  <c r="R45" i="24"/>
  <c r="AX46" i="24"/>
  <c r="BC45" i="24"/>
  <c r="BH45" i="24"/>
  <c r="BL45" i="24"/>
  <c r="CG45" i="24"/>
  <c r="FW45" i="24"/>
  <c r="BK45" i="24"/>
  <c r="BM45" i="24"/>
  <c r="FV45" i="24"/>
  <c r="GA45" i="24"/>
  <c r="BJ45" i="32"/>
  <c r="BF45" i="24"/>
  <c r="AW46" i="7"/>
  <c r="EC45" i="7"/>
  <c r="AZ45" i="7"/>
  <c r="E45" i="7"/>
  <c r="EL45" i="7"/>
  <c r="EK45" i="7"/>
  <c r="AS45" i="24"/>
  <c r="CG44" i="24"/>
  <c r="CS45" i="24"/>
  <c r="CT45" i="24" s="1"/>
  <c r="CW45" i="24" s="1"/>
  <c r="DK45" i="24"/>
  <c r="DL45" i="24" s="1"/>
  <c r="AV47" i="24"/>
  <c r="D46" i="24"/>
  <c r="FX46" i="24"/>
  <c r="AT46" i="24"/>
  <c r="BD46" i="24"/>
  <c r="AQ46" i="24"/>
  <c r="FR44" i="7"/>
  <c r="AP44" i="24"/>
  <c r="BE44" i="7"/>
  <c r="GA44" i="7"/>
  <c r="W44" i="27"/>
  <c r="FV44" i="7"/>
  <c r="AP44" i="7"/>
  <c r="AK44" i="7"/>
  <c r="BH44" i="7"/>
  <c r="CO44" i="7"/>
  <c r="AN44" i="7"/>
  <c r="BV44" i="7"/>
  <c r="BD44" i="7"/>
  <c r="FO44" i="7"/>
  <c r="AM44" i="24"/>
  <c r="CN44" i="7"/>
  <c r="X44" i="7"/>
  <c r="H44" i="27"/>
  <c r="BK44" i="7"/>
  <c r="BF44" i="7"/>
  <c r="AJ44" i="24"/>
  <c r="DT44" i="7"/>
  <c r="FW44" i="7"/>
  <c r="AM44" i="7"/>
  <c r="FP44" i="7"/>
  <c r="AN44" i="24"/>
  <c r="BL44" i="7"/>
  <c r="FN44" i="7"/>
  <c r="AO44" i="7"/>
  <c r="FQ44" i="7"/>
  <c r="AO44" i="24"/>
  <c r="BB44" i="7"/>
  <c r="DB44" i="7"/>
  <c r="GB42" i="24"/>
  <c r="BK42" i="32"/>
  <c r="BI42" i="24"/>
  <c r="BM43" i="7"/>
  <c r="BO43" i="7"/>
  <c r="AZ50" i="24"/>
  <c r="EC50" i="24"/>
  <c r="EL50" i="24"/>
  <c r="AW51" i="24"/>
  <c r="EK50" i="24"/>
  <c r="E50" i="24"/>
  <c r="S44" i="24"/>
  <c r="HK61" i="24"/>
  <c r="HJ62" i="24"/>
  <c r="BG45" i="32"/>
  <c r="GJ45" i="24"/>
  <c r="BS45" i="32"/>
  <c r="D46" i="7"/>
  <c r="AV47" i="7"/>
  <c r="FX46" i="7"/>
  <c r="HL57" i="7"/>
  <c r="HM58" i="7"/>
  <c r="X42" i="27"/>
  <c r="H43" i="27"/>
  <c r="AW52" i="24"/>
  <c r="EC51" i="24"/>
  <c r="AZ51" i="24"/>
  <c r="EL51" i="24"/>
  <c r="EK51" i="24"/>
  <c r="E51" i="24"/>
  <c r="AW47" i="7"/>
  <c r="EL46" i="7"/>
  <c r="AZ46" i="7"/>
  <c r="E46" i="7"/>
  <c r="EC46" i="7"/>
  <c r="EK46" i="7"/>
  <c r="AS46" i="24"/>
  <c r="GB44" i="7"/>
  <c r="FS44" i="7"/>
  <c r="AR44" i="24"/>
  <c r="BG44" i="24"/>
  <c r="FS45" i="24"/>
  <c r="AR45" i="7"/>
  <c r="BG45" i="7"/>
  <c r="S45" i="24"/>
  <c r="BP42" i="24"/>
  <c r="BU42" i="24"/>
  <c r="BO45" i="24"/>
  <c r="HM61" i="24"/>
  <c r="HL60" i="24"/>
  <c r="HJ63" i="24"/>
  <c r="HK62" i="24"/>
  <c r="BM44" i="7"/>
  <c r="BO44" i="7"/>
  <c r="FZ46" i="24"/>
  <c r="BI46" i="32"/>
  <c r="BF46" i="24"/>
  <c r="FZ45" i="24"/>
  <c r="BI45" i="32"/>
  <c r="HL58" i="7"/>
  <c r="HM59" i="7"/>
  <c r="AK50" i="24"/>
  <c r="BB50" i="24"/>
  <c r="DB50" i="24"/>
  <c r="BV50" i="24"/>
  <c r="AJ50" i="7"/>
  <c r="BG46" i="32"/>
  <c r="GJ46" i="24"/>
  <c r="BS46" i="32"/>
  <c r="BP43" i="7"/>
  <c r="BU43" i="7"/>
  <c r="S47" i="7"/>
  <c r="T47" i="7"/>
  <c r="D46" i="27"/>
  <c r="DK46" i="7"/>
  <c r="DL46" i="7" s="1"/>
  <c r="CS46" i="7"/>
  <c r="CT46" i="7" s="1"/>
  <c r="CW46" i="7" s="1"/>
  <c r="BI44" i="7"/>
  <c r="FY44" i="7"/>
  <c r="U44" i="27"/>
  <c r="CS46" i="24"/>
  <c r="CT46" i="24" s="1"/>
  <c r="CW46" i="24" s="1"/>
  <c r="DK46" i="24"/>
  <c r="DL46" i="24" s="1"/>
  <c r="GB43" i="24"/>
  <c r="BK43" i="32"/>
  <c r="BI43" i="24"/>
  <c r="T46" i="27"/>
  <c r="GJ46" i="7"/>
  <c r="AF46" i="27"/>
  <c r="FZ44" i="7"/>
  <c r="V44" i="27"/>
  <c r="FX47" i="24"/>
  <c r="AV48" i="24"/>
  <c r="D47" i="24"/>
  <c r="AQ47" i="24"/>
  <c r="AT47" i="24"/>
  <c r="BD47" i="24"/>
  <c r="AI45" i="24"/>
  <c r="E45" i="27"/>
  <c r="CF45" i="7"/>
  <c r="FY45" i="24"/>
  <c r="BH45" i="32"/>
  <c r="BC48" i="7"/>
  <c r="Q48" i="7"/>
  <c r="AX49" i="7"/>
  <c r="R48" i="7"/>
  <c r="AY48" i="7"/>
  <c r="D47" i="7"/>
  <c r="FX47" i="7"/>
  <c r="AV48" i="7"/>
  <c r="AI50" i="7"/>
  <c r="BV45" i="7"/>
  <c r="DB45" i="7"/>
  <c r="AO45" i="7"/>
  <c r="AK45" i="7"/>
  <c r="BH45" i="7"/>
  <c r="BK45" i="7"/>
  <c r="BM45" i="7"/>
  <c r="BO45" i="7"/>
  <c r="BE45" i="7"/>
  <c r="GA45" i="7"/>
  <c r="W45" i="27"/>
  <c r="FQ45" i="7"/>
  <c r="AO45" i="24"/>
  <c r="FO45" i="7"/>
  <c r="AM45" i="24"/>
  <c r="AN45" i="7"/>
  <c r="AJ45" i="24"/>
  <c r="AP45" i="7"/>
  <c r="AM45" i="7"/>
  <c r="FP45" i="7"/>
  <c r="AN45" i="24"/>
  <c r="FW45" i="7"/>
  <c r="FV45" i="7"/>
  <c r="BD45" i="7"/>
  <c r="FZ45" i="7"/>
  <c r="V45" i="27"/>
  <c r="FR45" i="7"/>
  <c r="AP45" i="24"/>
  <c r="BL45" i="7"/>
  <c r="FN45" i="7"/>
  <c r="BB45" i="7"/>
  <c r="CG45" i="7"/>
  <c r="R46" i="24"/>
  <c r="AX47" i="24"/>
  <c r="AY46" i="24"/>
  <c r="Q46" i="24"/>
  <c r="BH46" i="24"/>
  <c r="BC46" i="24"/>
  <c r="FV46" i="24"/>
  <c r="GA46" i="24"/>
  <c r="BJ46" i="32"/>
  <c r="BL46" i="24"/>
  <c r="CG46" i="24"/>
  <c r="FW46" i="24"/>
  <c r="BK46" i="24"/>
  <c r="BM46" i="24"/>
  <c r="X43" i="27"/>
  <c r="CG44" i="7"/>
  <c r="S48" i="7"/>
  <c r="T48" i="7"/>
  <c r="D48" i="24"/>
  <c r="AV49" i="24"/>
  <c r="FX48" i="24"/>
  <c r="AQ48" i="24"/>
  <c r="AT48" i="24"/>
  <c r="BD48" i="24"/>
  <c r="HL61" i="24"/>
  <c r="HM62" i="24"/>
  <c r="BV51" i="24"/>
  <c r="BB51" i="24"/>
  <c r="AJ51" i="7"/>
  <c r="DB51" i="24"/>
  <c r="AK51" i="24"/>
  <c r="AX50" i="7"/>
  <c r="R49" i="7"/>
  <c r="Q49" i="7"/>
  <c r="BC49" i="7"/>
  <c r="AY49" i="7"/>
  <c r="BG47" i="32"/>
  <c r="GJ47" i="24"/>
  <c r="BS47" i="32"/>
  <c r="AI46" i="24"/>
  <c r="E46" i="27"/>
  <c r="CF46" i="7"/>
  <c r="CG46" i="7"/>
  <c r="BP44" i="7"/>
  <c r="BU44" i="7"/>
  <c r="AZ52" i="24"/>
  <c r="EK52" i="24"/>
  <c r="E52" i="24"/>
  <c r="AW53" i="24"/>
  <c r="EC52" i="24"/>
  <c r="EL52" i="24"/>
  <c r="R47" i="24"/>
  <c r="Q47" i="24"/>
  <c r="AX48" i="24"/>
  <c r="AY47" i="24"/>
  <c r="BC47" i="24"/>
  <c r="BH47" i="24"/>
  <c r="FV47" i="24"/>
  <c r="GA47" i="24"/>
  <c r="BJ47" i="32"/>
  <c r="CG47" i="24"/>
  <c r="BL47" i="24"/>
  <c r="BK47" i="24"/>
  <c r="BM47" i="24"/>
  <c r="FW47" i="24"/>
  <c r="BV46" i="7"/>
  <c r="AN46" i="7"/>
  <c r="FW46" i="7"/>
  <c r="FO46" i="7"/>
  <c r="AM46" i="24"/>
  <c r="BE46" i="7"/>
  <c r="FR46" i="7"/>
  <c r="AP46" i="24"/>
  <c r="FQ46" i="7"/>
  <c r="AO46" i="24"/>
  <c r="AJ46" i="24"/>
  <c r="BB46" i="7"/>
  <c r="FV46" i="7"/>
  <c r="AK46" i="7"/>
  <c r="BH46" i="7"/>
  <c r="DB46" i="7"/>
  <c r="BD46" i="7"/>
  <c r="FP46" i="7"/>
  <c r="AN46" i="24"/>
  <c r="BK46" i="7"/>
  <c r="BM46" i="7"/>
  <c r="BO46" i="7"/>
  <c r="BL46" i="7"/>
  <c r="AM46" i="7"/>
  <c r="AO46" i="7"/>
  <c r="FN46" i="7"/>
  <c r="AP46" i="7"/>
  <c r="BF46" i="7"/>
  <c r="S46" i="24"/>
  <c r="FY45" i="7"/>
  <c r="U45" i="27"/>
  <c r="FX48" i="7"/>
  <c r="D48" i="7"/>
  <c r="AV49" i="7"/>
  <c r="GB44" i="24"/>
  <c r="BK44" i="32"/>
  <c r="BI44" i="24"/>
  <c r="E47" i="7"/>
  <c r="EC47" i="7"/>
  <c r="EK47" i="7"/>
  <c r="EL47" i="7"/>
  <c r="AW48" i="7"/>
  <c r="AZ47" i="7"/>
  <c r="AS47" i="24"/>
  <c r="HL59" i="7"/>
  <c r="HM60" i="7"/>
  <c r="HJ64" i="24"/>
  <c r="HK63" i="24"/>
  <c r="X44" i="27"/>
  <c r="AI51" i="7"/>
  <c r="BO46" i="24"/>
  <c r="GJ47" i="7"/>
  <c r="AF47" i="27"/>
  <c r="T47" i="27"/>
  <c r="FZ47" i="24"/>
  <c r="BI47" i="32"/>
  <c r="BF47" i="24"/>
  <c r="BP43" i="24"/>
  <c r="BU43" i="24"/>
  <c r="BF45" i="7"/>
  <c r="CS47" i="7"/>
  <c r="CT47" i="7" s="1"/>
  <c r="CW47" i="7" s="1"/>
  <c r="D47" i="27"/>
  <c r="DK47" i="7"/>
  <c r="DL47" i="7" s="1"/>
  <c r="FY46" i="24"/>
  <c r="BH46" i="32"/>
  <c r="CS47" i="24"/>
  <c r="CT47" i="24" s="1"/>
  <c r="CW47" i="24" s="1"/>
  <c r="DK47" i="24"/>
  <c r="DL47" i="24" s="1"/>
  <c r="FS46" i="24"/>
  <c r="AR46" i="7"/>
  <c r="BG46" i="7"/>
  <c r="HM63" i="24"/>
  <c r="HL62" i="24"/>
  <c r="BF48" i="24"/>
  <c r="AZ48" i="7"/>
  <c r="EC48" i="7"/>
  <c r="EL48" i="7"/>
  <c r="EK48" i="7"/>
  <c r="AW49" i="7"/>
  <c r="E48" i="7"/>
  <c r="AS48" i="24"/>
  <c r="FY46" i="7"/>
  <c r="U46" i="27"/>
  <c r="BI46" i="7"/>
  <c r="S47" i="24"/>
  <c r="BO47" i="24"/>
  <c r="BG48" i="32"/>
  <c r="GJ48" i="24"/>
  <c r="BS48" i="32"/>
  <c r="S49" i="7"/>
  <c r="T49" i="7"/>
  <c r="AV50" i="24"/>
  <c r="FX49" i="24"/>
  <c r="D49" i="24"/>
  <c r="AT49" i="24"/>
  <c r="BD49" i="24"/>
  <c r="AQ49" i="24"/>
  <c r="FS47" i="24"/>
  <c r="AR47" i="7"/>
  <c r="BG47" i="7"/>
  <c r="HJ65" i="24"/>
  <c r="HK64" i="24"/>
  <c r="D49" i="7"/>
  <c r="AV50" i="7"/>
  <c r="FX49" i="7"/>
  <c r="EK53" i="24"/>
  <c r="AW54" i="24"/>
  <c r="EC53" i="24"/>
  <c r="AZ53" i="24"/>
  <c r="E53" i="24"/>
  <c r="EL53" i="24"/>
  <c r="AX51" i="7"/>
  <c r="AY50" i="7"/>
  <c r="R50" i="7"/>
  <c r="BC50" i="7"/>
  <c r="Q50" i="7"/>
  <c r="DK48" i="24"/>
  <c r="DL48" i="24" s="1"/>
  <c r="CS48" i="24"/>
  <c r="CT48" i="24" s="1"/>
  <c r="CW48" i="24" s="1"/>
  <c r="FS45" i="7"/>
  <c r="AR45" i="24"/>
  <c r="BG45" i="24"/>
  <c r="GB45" i="7"/>
  <c r="HL60" i="7"/>
  <c r="HM61" i="7"/>
  <c r="E47" i="27"/>
  <c r="AI47" i="24"/>
  <c r="CF47" i="7"/>
  <c r="D48" i="27"/>
  <c r="CS48" i="7"/>
  <c r="CT48" i="7" s="1"/>
  <c r="CW48" i="7" s="1"/>
  <c r="DK48" i="7"/>
  <c r="DL48" i="7" s="1"/>
  <c r="FS46" i="7"/>
  <c r="AR46" i="24"/>
  <c r="BG46" i="24"/>
  <c r="GB46" i="7"/>
  <c r="FZ46" i="7"/>
  <c r="V46" i="27"/>
  <c r="GA46" i="7"/>
  <c r="W46" i="27"/>
  <c r="FY47" i="24"/>
  <c r="BH47" i="32"/>
  <c r="AI52" i="7"/>
  <c r="BB47" i="7"/>
  <c r="CG47" i="7"/>
  <c r="AJ47" i="24"/>
  <c r="BV47" i="7"/>
  <c r="AK47" i="7"/>
  <c r="BH47" i="7"/>
  <c r="AP47" i="7"/>
  <c r="FR47" i="7"/>
  <c r="AP47" i="24"/>
  <c r="FW47" i="7"/>
  <c r="DB47" i="7"/>
  <c r="BD47" i="7"/>
  <c r="FQ47" i="7"/>
  <c r="AO47" i="24"/>
  <c r="AM47" i="7"/>
  <c r="BF47" i="7"/>
  <c r="AN47" i="7"/>
  <c r="BE47" i="7"/>
  <c r="GA47" i="7"/>
  <c r="W47" i="27"/>
  <c r="FO47" i="7"/>
  <c r="AM47" i="24"/>
  <c r="BL47" i="7"/>
  <c r="FN47" i="7"/>
  <c r="BK47" i="7"/>
  <c r="AO47" i="7"/>
  <c r="FV47" i="7"/>
  <c r="FP47" i="7"/>
  <c r="AN47" i="24"/>
  <c r="BP44" i="24"/>
  <c r="BU44" i="24"/>
  <c r="T48" i="27"/>
  <c r="GJ48" i="7"/>
  <c r="AF48" i="27"/>
  <c r="BI45" i="7"/>
  <c r="BC48" i="24"/>
  <c r="AY48" i="24"/>
  <c r="Q48" i="24"/>
  <c r="AX49" i="24"/>
  <c r="BH48" i="24"/>
  <c r="R48" i="24"/>
  <c r="BL48" i="24"/>
  <c r="FW48" i="24"/>
  <c r="FV48" i="24"/>
  <c r="GA48" i="24"/>
  <c r="BJ48" i="32"/>
  <c r="BK48" i="24"/>
  <c r="BM48" i="24"/>
  <c r="CG48" i="24"/>
  <c r="BV52" i="24"/>
  <c r="BB52" i="24"/>
  <c r="DB52" i="24"/>
  <c r="AJ52" i="7"/>
  <c r="AK52" i="24"/>
  <c r="AK53" i="24"/>
  <c r="BB53" i="24"/>
  <c r="AJ53" i="7"/>
  <c r="BV53" i="24"/>
  <c r="DB53" i="24"/>
  <c r="HJ66" i="24"/>
  <c r="HK65" i="24"/>
  <c r="AI48" i="24"/>
  <c r="E48" i="27"/>
  <c r="CF48" i="7"/>
  <c r="AI53" i="7"/>
  <c r="AX50" i="24"/>
  <c r="AY49" i="24"/>
  <c r="BC49" i="24"/>
  <c r="R49" i="24"/>
  <c r="BH49" i="24"/>
  <c r="Q49" i="24"/>
  <c r="FV49" i="24"/>
  <c r="GA49" i="24"/>
  <c r="BJ49" i="32"/>
  <c r="CG49" i="24"/>
  <c r="FW49" i="24"/>
  <c r="BL49" i="24"/>
  <c r="BK49" i="24"/>
  <c r="BM49" i="24"/>
  <c r="X46" i="27"/>
  <c r="GB45" i="24"/>
  <c r="BK45" i="32"/>
  <c r="BI45" i="24"/>
  <c r="Q51" i="7"/>
  <c r="AX52" i="7"/>
  <c r="R51" i="7"/>
  <c r="BC51" i="7"/>
  <c r="AY51" i="7"/>
  <c r="AW50" i="7"/>
  <c r="EK49" i="7"/>
  <c r="E49" i="7"/>
  <c r="EL49" i="7"/>
  <c r="AZ49" i="7"/>
  <c r="EC49" i="7"/>
  <c r="AS49" i="24"/>
  <c r="FS47" i="7"/>
  <c r="AR47" i="24"/>
  <c r="BG47" i="24"/>
  <c r="GB47" i="7"/>
  <c r="BI46" i="24"/>
  <c r="GB46" i="24"/>
  <c r="BK46" i="32"/>
  <c r="EK54" i="24"/>
  <c r="EL54" i="24"/>
  <c r="AZ54" i="24"/>
  <c r="EC54" i="24"/>
  <c r="AW55" i="24"/>
  <c r="E54" i="24"/>
  <c r="BP46" i="7"/>
  <c r="BU46" i="7"/>
  <c r="BO48" i="24"/>
  <c r="GJ49" i="7"/>
  <c r="AF49" i="27"/>
  <c r="T49" i="27"/>
  <c r="FS48" i="24"/>
  <c r="AR48" i="7"/>
  <c r="BG48" i="7"/>
  <c r="S48" i="24"/>
  <c r="FY48" i="24"/>
  <c r="BH48" i="32"/>
  <c r="BM47" i="7"/>
  <c r="AV51" i="7"/>
  <c r="FX50" i="7"/>
  <c r="D50" i="7"/>
  <c r="FZ49" i="24"/>
  <c r="BI49" i="32"/>
  <c r="BF49" i="24"/>
  <c r="FZ48" i="24"/>
  <c r="BI48" i="32"/>
  <c r="FZ47" i="7"/>
  <c r="V47" i="27"/>
  <c r="FY47" i="7"/>
  <c r="U47" i="27"/>
  <c r="BI47" i="7"/>
  <c r="CS49" i="7"/>
  <c r="CT49" i="7" s="1"/>
  <c r="CW49" i="7" s="1"/>
  <c r="D49" i="27"/>
  <c r="DK49" i="7"/>
  <c r="DL49" i="7" s="1"/>
  <c r="DK49" i="24"/>
  <c r="DL49" i="24" s="1"/>
  <c r="CS49" i="24"/>
  <c r="CT49" i="24" s="1"/>
  <c r="CW49" i="24" s="1"/>
  <c r="FO48" i="7"/>
  <c r="AM48" i="24"/>
  <c r="AN48" i="7"/>
  <c r="BV48" i="7"/>
  <c r="AK48" i="7"/>
  <c r="BH48" i="7"/>
  <c r="BB48" i="7"/>
  <c r="CG48" i="7"/>
  <c r="FP48" i="7"/>
  <c r="AN48" i="24"/>
  <c r="BD48" i="7"/>
  <c r="FZ48" i="7"/>
  <c r="V48" i="27"/>
  <c r="AP48" i="7"/>
  <c r="AM48" i="7"/>
  <c r="AJ48" i="24"/>
  <c r="BE48" i="7"/>
  <c r="FV48" i="7"/>
  <c r="DB48" i="7"/>
  <c r="FW48" i="7"/>
  <c r="AO48" i="7"/>
  <c r="BL48" i="7"/>
  <c r="FQ48" i="7"/>
  <c r="AO48" i="24"/>
  <c r="FN48" i="7"/>
  <c r="FR48" i="7"/>
  <c r="AP48" i="24"/>
  <c r="BK48" i="7"/>
  <c r="FX50" i="24"/>
  <c r="D50" i="24"/>
  <c r="AV51" i="24"/>
  <c r="AQ50" i="24"/>
  <c r="AT50" i="24"/>
  <c r="BD50" i="24"/>
  <c r="BP45" i="7"/>
  <c r="BU45" i="7"/>
  <c r="HL61" i="7"/>
  <c r="HM62" i="7"/>
  <c r="S50" i="7"/>
  <c r="T50" i="7"/>
  <c r="GJ49" i="24"/>
  <c r="BS49" i="32"/>
  <c r="BG49" i="32"/>
  <c r="HL63" i="24"/>
  <c r="HM64" i="24"/>
  <c r="D51" i="7"/>
  <c r="FX51" i="7"/>
  <c r="AV52" i="7"/>
  <c r="BI47" i="24"/>
  <c r="GB47" i="24"/>
  <c r="BK47" i="32"/>
  <c r="GJ50" i="7"/>
  <c r="AF50" i="27"/>
  <c r="T50" i="27"/>
  <c r="EK50" i="7"/>
  <c r="AZ50" i="7"/>
  <c r="EL50" i="7"/>
  <c r="AW51" i="7"/>
  <c r="EC50" i="7"/>
  <c r="E50" i="7"/>
  <c r="AS50" i="24"/>
  <c r="BF50" i="24"/>
  <c r="BF48" i="7"/>
  <c r="BP45" i="24"/>
  <c r="BU45" i="24"/>
  <c r="BV54" i="24"/>
  <c r="BB54" i="24"/>
  <c r="AJ54" i="7"/>
  <c r="DB54" i="24"/>
  <c r="AK54" i="24"/>
  <c r="X45" i="27"/>
  <c r="D51" i="24"/>
  <c r="FX51" i="24"/>
  <c r="AV52" i="24"/>
  <c r="AT51" i="24"/>
  <c r="AQ51" i="24"/>
  <c r="AO49" i="7"/>
  <c r="FR49" i="7"/>
  <c r="AP49" i="24"/>
  <c r="FO49" i="7"/>
  <c r="AM49" i="24"/>
  <c r="BV49" i="7"/>
  <c r="DB49" i="7"/>
  <c r="FP49" i="7"/>
  <c r="AN49" i="24"/>
  <c r="BD49" i="7"/>
  <c r="FZ49" i="7"/>
  <c r="V49" i="27"/>
  <c r="AM49" i="7"/>
  <c r="FN49" i="7"/>
  <c r="FQ49" i="7"/>
  <c r="AO49" i="24"/>
  <c r="BF49" i="7"/>
  <c r="BB49" i="7"/>
  <c r="AJ49" i="24"/>
  <c r="BL49" i="7"/>
  <c r="AK49" i="7"/>
  <c r="BH49" i="7"/>
  <c r="BK49" i="7"/>
  <c r="BM49" i="7"/>
  <c r="BO49" i="7"/>
  <c r="AP49" i="7"/>
  <c r="FV49" i="7"/>
  <c r="AN49" i="7"/>
  <c r="BE49" i="7"/>
  <c r="FW49" i="7"/>
  <c r="S49" i="24"/>
  <c r="HM63" i="7"/>
  <c r="HL62" i="7"/>
  <c r="FS49" i="24"/>
  <c r="AR49" i="7"/>
  <c r="BG49" i="7"/>
  <c r="AI54" i="7"/>
  <c r="BO49" i="24"/>
  <c r="FY49" i="24"/>
  <c r="BH49" i="32"/>
  <c r="X47" i="27"/>
  <c r="HJ67" i="24"/>
  <c r="HK66" i="24"/>
  <c r="DK50" i="24"/>
  <c r="DL50" i="24" s="1"/>
  <c r="CS50" i="24"/>
  <c r="CT50" i="24" s="1"/>
  <c r="CW50" i="24" s="1"/>
  <c r="GJ50" i="24"/>
  <c r="BS50" i="32"/>
  <c r="BG50" i="32"/>
  <c r="BM48" i="7"/>
  <c r="FY48" i="7"/>
  <c r="U48" i="27"/>
  <c r="BI48" i="7"/>
  <c r="EK55" i="24"/>
  <c r="E55" i="24"/>
  <c r="EC55" i="24"/>
  <c r="EL55" i="24"/>
  <c r="AZ55" i="24"/>
  <c r="AW56" i="24"/>
  <c r="AI49" i="24"/>
  <c r="E49" i="27"/>
  <c r="CF49" i="7"/>
  <c r="CG49" i="7"/>
  <c r="S51" i="7"/>
  <c r="T51" i="7"/>
  <c r="HM65" i="24"/>
  <c r="HL64" i="24"/>
  <c r="GA48" i="7"/>
  <c r="W48" i="27"/>
  <c r="DK50" i="7"/>
  <c r="CS50" i="7"/>
  <c r="CT50" i="7" s="1"/>
  <c r="CW50" i="7" s="1"/>
  <c r="D50" i="27"/>
  <c r="BO47" i="7"/>
  <c r="BP47" i="7"/>
  <c r="BU47" i="7"/>
  <c r="BP46" i="24"/>
  <c r="BU46" i="24"/>
  <c r="AX53" i="7"/>
  <c r="Q52" i="7"/>
  <c r="AY52" i="7"/>
  <c r="R52" i="7"/>
  <c r="BC52" i="7"/>
  <c r="AX51" i="24"/>
  <c r="Q50" i="24"/>
  <c r="AY50" i="24"/>
  <c r="BH50" i="24"/>
  <c r="BC50" i="24"/>
  <c r="R50" i="24"/>
  <c r="BL50" i="24"/>
  <c r="BK50" i="24"/>
  <c r="BM50" i="24"/>
  <c r="CG50" i="24"/>
  <c r="FW50" i="24"/>
  <c r="FV50" i="24"/>
  <c r="FZ50" i="24"/>
  <c r="BI50" i="32"/>
  <c r="FS48" i="7"/>
  <c r="AR48" i="24"/>
  <c r="BG48" i="24"/>
  <c r="GB48" i="7"/>
  <c r="FP50" i="7"/>
  <c r="AN50" i="24"/>
  <c r="AN50" i="7"/>
  <c r="AM50" i="7"/>
  <c r="AK50" i="7"/>
  <c r="BH50" i="7"/>
  <c r="BB50" i="7"/>
  <c r="FN50" i="7"/>
  <c r="BV50" i="7"/>
  <c r="DB50" i="7"/>
  <c r="FV50" i="7"/>
  <c r="BL50" i="7"/>
  <c r="AO50" i="7"/>
  <c r="BK50" i="7"/>
  <c r="BM50" i="7"/>
  <c r="BO50" i="7"/>
  <c r="AJ50" i="24"/>
  <c r="AP50" i="7"/>
  <c r="FQ50" i="7"/>
  <c r="AO50" i="24"/>
  <c r="FW50" i="7"/>
  <c r="FR50" i="7"/>
  <c r="AP50" i="24"/>
  <c r="BD50" i="7"/>
  <c r="FO50" i="7"/>
  <c r="AM50" i="24"/>
  <c r="Q53" i="7"/>
  <c r="AX54" i="7"/>
  <c r="BC53" i="7"/>
  <c r="AY53" i="7"/>
  <c r="R53" i="7"/>
  <c r="E56" i="24"/>
  <c r="EC56" i="24"/>
  <c r="AZ56" i="24"/>
  <c r="EK56" i="24"/>
  <c r="AW57" i="24"/>
  <c r="HJ68" i="24"/>
  <c r="HK67" i="24"/>
  <c r="HM64" i="7"/>
  <c r="HL63" i="7"/>
  <c r="BD51" i="24"/>
  <c r="FS50" i="24"/>
  <c r="AR50" i="7"/>
  <c r="BG50" i="7"/>
  <c r="FX52" i="24"/>
  <c r="D52" i="24"/>
  <c r="AV53" i="24"/>
  <c r="AT52" i="24"/>
  <c r="AQ52" i="24"/>
  <c r="AV53" i="7"/>
  <c r="FX52" i="7"/>
  <c r="D52" i="7"/>
  <c r="FY50" i="24"/>
  <c r="BH50" i="32"/>
  <c r="HL65" i="24"/>
  <c r="HM66" i="24"/>
  <c r="BO48" i="7"/>
  <c r="BG51" i="32"/>
  <c r="GJ51" i="24"/>
  <c r="BS51" i="32"/>
  <c r="GJ51" i="7"/>
  <c r="AF51" i="27"/>
  <c r="T51" i="27"/>
  <c r="BV55" i="24"/>
  <c r="BB55" i="24"/>
  <c r="AK55" i="24"/>
  <c r="AJ55" i="7"/>
  <c r="DB55" i="24"/>
  <c r="R51" i="24"/>
  <c r="AY51" i="24"/>
  <c r="BC51" i="24"/>
  <c r="Q51" i="24"/>
  <c r="AX52" i="24"/>
  <c r="BH51" i="24"/>
  <c r="FV51" i="24"/>
  <c r="BL51" i="24"/>
  <c r="BK51" i="24"/>
  <c r="FW51" i="24"/>
  <c r="CG51" i="24"/>
  <c r="GA49" i="7"/>
  <c r="W49" i="27"/>
  <c r="FY49" i="7"/>
  <c r="U49" i="27"/>
  <c r="BI49" i="7"/>
  <c r="DK51" i="24"/>
  <c r="DL51" i="24" s="1"/>
  <c r="CS51" i="24"/>
  <c r="CT51" i="24" s="1"/>
  <c r="CW51" i="24" s="1"/>
  <c r="AI50" i="24"/>
  <c r="E50" i="27"/>
  <c r="CG50" i="7"/>
  <c r="DL50" i="7"/>
  <c r="D51" i="27"/>
  <c r="DK51" i="7"/>
  <c r="DL51" i="7" s="1"/>
  <c r="CS51" i="7"/>
  <c r="CT51" i="7" s="1"/>
  <c r="CW51" i="7" s="1"/>
  <c r="BO50" i="24"/>
  <c r="AI55" i="7"/>
  <c r="FS49" i="7"/>
  <c r="AR49" i="24"/>
  <c r="BG49" i="24"/>
  <c r="GB49" i="7"/>
  <c r="BP47" i="24"/>
  <c r="BU47" i="24"/>
  <c r="S52" i="7"/>
  <c r="T52" i="7"/>
  <c r="AW52" i="7"/>
  <c r="EC51" i="7"/>
  <c r="AZ51" i="7"/>
  <c r="EL51" i="7"/>
  <c r="EK51" i="7"/>
  <c r="E51" i="7"/>
  <c r="AS51" i="24"/>
  <c r="S50" i="24"/>
  <c r="BP48" i="7"/>
  <c r="BU48" i="7"/>
  <c r="BV51" i="7"/>
  <c r="FP51" i="7"/>
  <c r="AN51" i="24"/>
  <c r="FO51" i="7"/>
  <c r="AM51" i="24"/>
  <c r="DB51" i="7"/>
  <c r="AN51" i="7"/>
  <c r="BB51" i="7"/>
  <c r="AM51" i="7"/>
  <c r="FN51" i="7"/>
  <c r="AK51" i="7"/>
  <c r="BH51" i="7"/>
  <c r="FV51" i="7"/>
  <c r="FQ51" i="7"/>
  <c r="AO51" i="24"/>
  <c r="BD51" i="7"/>
  <c r="FR51" i="7"/>
  <c r="AP51" i="24"/>
  <c r="BK51" i="7"/>
  <c r="AP51" i="7"/>
  <c r="AJ51" i="24"/>
  <c r="AO51" i="7"/>
  <c r="FW51" i="7"/>
  <c r="BL51" i="7"/>
  <c r="R52" i="24"/>
  <c r="AY52" i="24"/>
  <c r="BC52" i="24"/>
  <c r="Q52" i="24"/>
  <c r="BH52" i="24"/>
  <c r="AX53" i="24"/>
  <c r="BK52" i="24"/>
  <c r="CG52" i="24"/>
  <c r="FW52" i="24"/>
  <c r="BL52" i="24"/>
  <c r="FV52" i="24"/>
  <c r="HK68" i="24"/>
  <c r="HJ69" i="24"/>
  <c r="AI56" i="7"/>
  <c r="FZ50" i="7"/>
  <c r="V50" i="27"/>
  <c r="AW53" i="7"/>
  <c r="EC52" i="7"/>
  <c r="E52" i="7"/>
  <c r="AZ52" i="7"/>
  <c r="EK52" i="7"/>
  <c r="EL52" i="7"/>
  <c r="AS52" i="24"/>
  <c r="CS52" i="7"/>
  <c r="CT52" i="7" s="1"/>
  <c r="CW52" i="7" s="1"/>
  <c r="D52" i="27"/>
  <c r="DK52" i="7"/>
  <c r="DL52" i="7" s="1"/>
  <c r="BD52" i="24"/>
  <c r="FY51" i="24"/>
  <c r="BH51" i="32"/>
  <c r="T52" i="27"/>
  <c r="GJ52" i="7"/>
  <c r="AF52" i="27"/>
  <c r="AV54" i="24"/>
  <c r="D53" i="24"/>
  <c r="FX53" i="24"/>
  <c r="AQ53" i="24"/>
  <c r="AT53" i="24"/>
  <c r="BD53" i="24"/>
  <c r="FZ51" i="24"/>
  <c r="BI51" i="32"/>
  <c r="BF51" i="24"/>
  <c r="S53" i="7"/>
  <c r="T53" i="7"/>
  <c r="AV54" i="7"/>
  <c r="D53" i="7"/>
  <c r="FX53" i="7"/>
  <c r="CS52" i="24"/>
  <c r="CT52" i="24" s="1"/>
  <c r="CW52" i="24" s="1"/>
  <c r="DK52" i="24"/>
  <c r="DL52" i="24" s="1"/>
  <c r="AI51" i="24"/>
  <c r="E51" i="27"/>
  <c r="CG51" i="7"/>
  <c r="BP49" i="7"/>
  <c r="BU49" i="7"/>
  <c r="BM51" i="24"/>
  <c r="S51" i="24"/>
  <c r="BG52" i="32"/>
  <c r="GJ52" i="24"/>
  <c r="BS52" i="32"/>
  <c r="E57" i="24"/>
  <c r="AZ57" i="24"/>
  <c r="EK57" i="24"/>
  <c r="AW58" i="24"/>
  <c r="EL57" i="24"/>
  <c r="EC57" i="24"/>
  <c r="BI48" i="24"/>
  <c r="GB48" i="24"/>
  <c r="BK48" i="32"/>
  <c r="HL66" i="24"/>
  <c r="HM67" i="24"/>
  <c r="AY54" i="7"/>
  <c r="R54" i="7"/>
  <c r="BC54" i="7"/>
  <c r="AX55" i="7"/>
  <c r="Q54" i="7"/>
  <c r="GB49" i="24"/>
  <c r="BK49" i="32"/>
  <c r="BI49" i="24"/>
  <c r="HL64" i="7"/>
  <c r="HM65" i="7"/>
  <c r="BB56" i="24"/>
  <c r="AJ56" i="7"/>
  <c r="AK56" i="24"/>
  <c r="DB56" i="24"/>
  <c r="BV56" i="24"/>
  <c r="BF50" i="7"/>
  <c r="FY50" i="7"/>
  <c r="U50" i="27"/>
  <c r="HL65" i="7"/>
  <c r="HM66" i="7"/>
  <c r="S54" i="7"/>
  <c r="T54" i="7"/>
  <c r="AI57" i="7"/>
  <c r="DD57" i="24"/>
  <c r="CX57" i="24"/>
  <c r="GJ53" i="24"/>
  <c r="BS53" i="32"/>
  <c r="BG53" i="32"/>
  <c r="FZ52" i="24"/>
  <c r="BI52" i="32"/>
  <c r="BF52" i="24"/>
  <c r="AI52" i="24"/>
  <c r="E52" i="27"/>
  <c r="CS53" i="24"/>
  <c r="CT53" i="24" s="1"/>
  <c r="CW53" i="24" s="1"/>
  <c r="DK53" i="24"/>
  <c r="DL53" i="24" s="1"/>
  <c r="S52" i="24"/>
  <c r="FZ51" i="7"/>
  <c r="V51" i="27"/>
  <c r="BP48" i="24"/>
  <c r="BU48" i="24"/>
  <c r="X49" i="27"/>
  <c r="AV55" i="24"/>
  <c r="D54" i="24"/>
  <c r="FX54" i="24"/>
  <c r="AQ54" i="24"/>
  <c r="AT54" i="24"/>
  <c r="AZ53" i="7"/>
  <c r="AW54" i="7"/>
  <c r="EK53" i="7"/>
  <c r="EL53" i="7"/>
  <c r="E53" i="7"/>
  <c r="EC53" i="7"/>
  <c r="AS53" i="24"/>
  <c r="X48" i="27"/>
  <c r="GJ53" i="7"/>
  <c r="AF53" i="27"/>
  <c r="T53" i="27"/>
  <c r="DH56" i="7"/>
  <c r="FT56" i="7"/>
  <c r="BM52" i="24"/>
  <c r="HL67" i="24"/>
  <c r="HM68" i="24"/>
  <c r="DK53" i="7"/>
  <c r="DL53" i="7" s="1"/>
  <c r="D53" i="27"/>
  <c r="CS53" i="7"/>
  <c r="CT53" i="7" s="1"/>
  <c r="CW53" i="7" s="1"/>
  <c r="FS51" i="24"/>
  <c r="AR51" i="7"/>
  <c r="BG51" i="7"/>
  <c r="HK69" i="24"/>
  <c r="HJ70" i="24"/>
  <c r="AX54" i="24"/>
  <c r="BC53" i="24"/>
  <c r="R53" i="24"/>
  <c r="Q53" i="24"/>
  <c r="BH53" i="24"/>
  <c r="AY53" i="24"/>
  <c r="BK53" i="24"/>
  <c r="BM53" i="24"/>
  <c r="FW53" i="24"/>
  <c r="CG53" i="24"/>
  <c r="FV53" i="24"/>
  <c r="BL53" i="24"/>
  <c r="BF51" i="7"/>
  <c r="FS50" i="7"/>
  <c r="AR50" i="24"/>
  <c r="BG50" i="24"/>
  <c r="GB50" i="24"/>
  <c r="BK50" i="32"/>
  <c r="GB50" i="7"/>
  <c r="EK58" i="24"/>
  <c r="EL58" i="24"/>
  <c r="EC58" i="24"/>
  <c r="AZ58" i="24"/>
  <c r="E58" i="24"/>
  <c r="AW59" i="24"/>
  <c r="FX54" i="7"/>
  <c r="AV55" i="7"/>
  <c r="D54" i="7"/>
  <c r="AX56" i="7"/>
  <c r="R55" i="7"/>
  <c r="Q55" i="7"/>
  <c r="AY55" i="7"/>
  <c r="BC55" i="7"/>
  <c r="BO51" i="24"/>
  <c r="FZ53" i="24"/>
  <c r="BI53" i="32"/>
  <c r="BF53" i="24"/>
  <c r="BP49" i="24"/>
  <c r="BU49" i="24"/>
  <c r="BB57" i="24"/>
  <c r="BV57" i="24"/>
  <c r="DB57" i="24"/>
  <c r="AK57" i="24"/>
  <c r="AJ57" i="7"/>
  <c r="AO52" i="7"/>
  <c r="BB52" i="7"/>
  <c r="FQ52" i="7"/>
  <c r="AO52" i="24"/>
  <c r="FN52" i="7"/>
  <c r="AN52" i="7"/>
  <c r="AM52" i="7"/>
  <c r="AJ52" i="24"/>
  <c r="FO52" i="7"/>
  <c r="AM52" i="24"/>
  <c r="FW52" i="7"/>
  <c r="BV52" i="7"/>
  <c r="BL52" i="7"/>
  <c r="BF52" i="7"/>
  <c r="AK52" i="7"/>
  <c r="BH52" i="7"/>
  <c r="AP52" i="7"/>
  <c r="BD52" i="7"/>
  <c r="FZ52" i="7"/>
  <c r="V52" i="27"/>
  <c r="FR52" i="7"/>
  <c r="AP52" i="24"/>
  <c r="FV52" i="7"/>
  <c r="DB52" i="7"/>
  <c r="FP52" i="7"/>
  <c r="AN52" i="24"/>
  <c r="BK52" i="7"/>
  <c r="BM52" i="7"/>
  <c r="BO52" i="7"/>
  <c r="FY52" i="24"/>
  <c r="BH52" i="32"/>
  <c r="BM51" i="7"/>
  <c r="FY51" i="7"/>
  <c r="U51" i="27"/>
  <c r="AI58" i="7"/>
  <c r="CX58" i="24"/>
  <c r="DD58" i="24"/>
  <c r="BC54" i="24"/>
  <c r="BH54" i="24"/>
  <c r="R54" i="24"/>
  <c r="Q54" i="24"/>
  <c r="AY54" i="24"/>
  <c r="AX55" i="24"/>
  <c r="BK54" i="24"/>
  <c r="BL54" i="24"/>
  <c r="CG54" i="24"/>
  <c r="FV54" i="24"/>
  <c r="FW54" i="24"/>
  <c r="HM69" i="24"/>
  <c r="HL68" i="24"/>
  <c r="FX55" i="24"/>
  <c r="D55" i="24"/>
  <c r="AV56" i="24"/>
  <c r="AQ55" i="24"/>
  <c r="AT55" i="24"/>
  <c r="FS52" i="24"/>
  <c r="AR52" i="7"/>
  <c r="BG52" i="7"/>
  <c r="CS54" i="7"/>
  <c r="CT54" i="7" s="1"/>
  <c r="CW54" i="7" s="1"/>
  <c r="DK54" i="7"/>
  <c r="DL54" i="7" s="1"/>
  <c r="D54" i="27"/>
  <c r="DB58" i="24"/>
  <c r="AK58" i="24"/>
  <c r="BB58" i="24"/>
  <c r="AJ58" i="7"/>
  <c r="BV58" i="24"/>
  <c r="HJ71" i="24"/>
  <c r="HK70" i="24"/>
  <c r="FS52" i="7"/>
  <c r="AR52" i="24"/>
  <c r="BG52" i="24"/>
  <c r="GB52" i="24"/>
  <c r="BK52" i="32"/>
  <c r="GB52" i="7"/>
  <c r="FS53" i="24"/>
  <c r="AR53" i="7"/>
  <c r="BG53" i="7"/>
  <c r="FX55" i="7"/>
  <c r="AV56" i="7"/>
  <c r="D55" i="7"/>
  <c r="BO53" i="24"/>
  <c r="EC54" i="7"/>
  <c r="AZ54" i="7"/>
  <c r="AW55" i="7"/>
  <c r="E54" i="7"/>
  <c r="EL54" i="7"/>
  <c r="EK54" i="7"/>
  <c r="AS54" i="24"/>
  <c r="GJ54" i="7"/>
  <c r="AF54" i="27"/>
  <c r="T54" i="27"/>
  <c r="FS51" i="7"/>
  <c r="AR51" i="24"/>
  <c r="BG51" i="24"/>
  <c r="GB51" i="24"/>
  <c r="BK51" i="32"/>
  <c r="GB51" i="7"/>
  <c r="X51" i="27"/>
  <c r="AM53" i="7"/>
  <c r="DB53" i="7"/>
  <c r="AJ53" i="24"/>
  <c r="FP53" i="7"/>
  <c r="AN53" i="24"/>
  <c r="FR53" i="7"/>
  <c r="AP53" i="24"/>
  <c r="AP53" i="7"/>
  <c r="FV53" i="7"/>
  <c r="BL53" i="7"/>
  <c r="BB53" i="7"/>
  <c r="BD53" i="7"/>
  <c r="FZ53" i="7"/>
  <c r="V53" i="27"/>
  <c r="BV53" i="7"/>
  <c r="FO53" i="7"/>
  <c r="AM53" i="24"/>
  <c r="BK53" i="7"/>
  <c r="AO53" i="7"/>
  <c r="AK53" i="7"/>
  <c r="BH53" i="7"/>
  <c r="FN53" i="7"/>
  <c r="FQ53" i="7"/>
  <c r="AO53" i="24"/>
  <c r="BF53" i="7"/>
  <c r="FW53" i="7"/>
  <c r="AN53" i="7"/>
  <c r="DC57" i="24"/>
  <c r="HM67" i="7"/>
  <c r="HL66" i="7"/>
  <c r="FY52" i="7"/>
  <c r="U52" i="27"/>
  <c r="S55" i="7"/>
  <c r="T55" i="7"/>
  <c r="BD54" i="24"/>
  <c r="BC56" i="7"/>
  <c r="R56" i="7"/>
  <c r="AY56" i="7"/>
  <c r="Q56" i="7"/>
  <c r="AX57" i="7"/>
  <c r="X50" i="27"/>
  <c r="BO52" i="24"/>
  <c r="CG52" i="7"/>
  <c r="DH57" i="7"/>
  <c r="FT57" i="7"/>
  <c r="S53" i="24"/>
  <c r="BG54" i="32"/>
  <c r="GJ54" i="24"/>
  <c r="BS54" i="32"/>
  <c r="BO51" i="7"/>
  <c r="EL59" i="24"/>
  <c r="AZ59" i="24"/>
  <c r="EC59" i="24"/>
  <c r="EK59" i="24"/>
  <c r="E59" i="24"/>
  <c r="AW60" i="24"/>
  <c r="FY53" i="24"/>
  <c r="BH53" i="32"/>
  <c r="AI53" i="24"/>
  <c r="E53" i="27"/>
  <c r="CG53" i="7"/>
  <c r="DK54" i="24"/>
  <c r="DL54" i="24" s="1"/>
  <c r="CS54" i="24"/>
  <c r="CT54" i="24" s="1"/>
  <c r="CW54" i="24" s="1"/>
  <c r="FZ54" i="24"/>
  <c r="BI54" i="32"/>
  <c r="BF54" i="24"/>
  <c r="FS53" i="7"/>
  <c r="AR53" i="24"/>
  <c r="BG53" i="24"/>
  <c r="GB53" i="24"/>
  <c r="BK53" i="32"/>
  <c r="GB53" i="7"/>
  <c r="X53" i="27"/>
  <c r="X52" i="27"/>
  <c r="AV57" i="24"/>
  <c r="D56" i="24"/>
  <c r="FX56" i="24"/>
  <c r="AT56" i="24"/>
  <c r="AQ56" i="24"/>
  <c r="FY54" i="24"/>
  <c r="BH54" i="32"/>
  <c r="FY53" i="7"/>
  <c r="U53" i="27"/>
  <c r="CS55" i="24"/>
  <c r="CT55" i="24" s="1"/>
  <c r="CW55" i="24" s="1"/>
  <c r="DK55" i="24"/>
  <c r="DL55" i="24" s="1"/>
  <c r="S56" i="7"/>
  <c r="T56" i="7"/>
  <c r="HL67" i="7"/>
  <c r="HM68" i="7"/>
  <c r="CS55" i="7"/>
  <c r="CT55" i="7" s="1"/>
  <c r="CW55" i="7" s="1"/>
  <c r="DK55" i="7"/>
  <c r="DL55" i="7" s="1"/>
  <c r="D55" i="27"/>
  <c r="BG55" i="32"/>
  <c r="GJ55" i="24"/>
  <c r="BS55" i="32"/>
  <c r="BM54" i="24"/>
  <c r="E54" i="27"/>
  <c r="AI54" i="24"/>
  <c r="D56" i="7"/>
  <c r="FX56" i="7"/>
  <c r="AV57" i="7"/>
  <c r="Q55" i="24"/>
  <c r="BH55" i="24"/>
  <c r="R55" i="24"/>
  <c r="BC55" i="24"/>
  <c r="AX56" i="24"/>
  <c r="AY55" i="24"/>
  <c r="FW55" i="24"/>
  <c r="BL55" i="24"/>
  <c r="FV55" i="24"/>
  <c r="CG55" i="24"/>
  <c r="BK55" i="24"/>
  <c r="AZ60" i="24"/>
  <c r="EC60" i="24"/>
  <c r="E60" i="24"/>
  <c r="EK60" i="24"/>
  <c r="EL60" i="24"/>
  <c r="AW61" i="24"/>
  <c r="AI59" i="7"/>
  <c r="DD59" i="24"/>
  <c r="CX59" i="24"/>
  <c r="EL55" i="7"/>
  <c r="EK55" i="7"/>
  <c r="EC55" i="7"/>
  <c r="AZ55" i="7"/>
  <c r="AW56" i="7"/>
  <c r="E55" i="7"/>
  <c r="AS55" i="24"/>
  <c r="T55" i="27"/>
  <c r="GJ55" i="7"/>
  <c r="AF55" i="27"/>
  <c r="HL69" i="24"/>
  <c r="HM70" i="24"/>
  <c r="BM53" i="7"/>
  <c r="FP54" i="7"/>
  <c r="AN54" i="24"/>
  <c r="AN54" i="7"/>
  <c r="FN54" i="7"/>
  <c r="BK54" i="7"/>
  <c r="BM54" i="7"/>
  <c r="BO54" i="7"/>
  <c r="BD54" i="7"/>
  <c r="AM54" i="7"/>
  <c r="FV54" i="7"/>
  <c r="BF54" i="7"/>
  <c r="AO54" i="7"/>
  <c r="BV54" i="7"/>
  <c r="FQ54" i="7"/>
  <c r="AO54" i="24"/>
  <c r="AJ54" i="24"/>
  <c r="BB54" i="7"/>
  <c r="CG54" i="7"/>
  <c r="BL54" i="7"/>
  <c r="FR54" i="7"/>
  <c r="AP54" i="24"/>
  <c r="AK54" i="7"/>
  <c r="BH54" i="7"/>
  <c r="AP54" i="7"/>
  <c r="FO54" i="7"/>
  <c r="AM54" i="24"/>
  <c r="FW54" i="7"/>
  <c r="DB54" i="7"/>
  <c r="HJ72" i="24"/>
  <c r="HK71" i="24"/>
  <c r="DC58" i="24"/>
  <c r="BD55" i="24"/>
  <c r="S54" i="24"/>
  <c r="AJ59" i="7"/>
  <c r="AK59" i="24"/>
  <c r="BB59" i="24"/>
  <c r="BV59" i="24"/>
  <c r="DB59" i="24"/>
  <c r="BC57" i="7"/>
  <c r="AY57" i="7"/>
  <c r="Q57" i="7"/>
  <c r="R57" i="7"/>
  <c r="AX58" i="7"/>
  <c r="DH58" i="7"/>
  <c r="FT58" i="7"/>
  <c r="FZ55" i="24"/>
  <c r="BI55" i="32"/>
  <c r="BF55" i="24"/>
  <c r="FS54" i="7"/>
  <c r="AR54" i="24"/>
  <c r="BG54" i="24"/>
  <c r="BO53" i="7"/>
  <c r="EL61" i="24"/>
  <c r="AW62" i="24"/>
  <c r="EK61" i="24"/>
  <c r="E61" i="24"/>
  <c r="EC61" i="24"/>
  <c r="AZ61" i="24"/>
  <c r="S55" i="24"/>
  <c r="FX57" i="7"/>
  <c r="D57" i="7"/>
  <c r="AV58" i="7"/>
  <c r="DK56" i="24"/>
  <c r="DL56" i="24" s="1"/>
  <c r="CS56" i="24"/>
  <c r="CT56" i="24" s="1"/>
  <c r="CW56" i="24" s="1"/>
  <c r="GJ56" i="7"/>
  <c r="AF56" i="27"/>
  <c r="T56" i="27"/>
  <c r="AV58" i="24"/>
  <c r="D57" i="24"/>
  <c r="FX57" i="24"/>
  <c r="AT57" i="24"/>
  <c r="AQ57" i="24"/>
  <c r="AI55" i="24"/>
  <c r="E55" i="27"/>
  <c r="D56" i="27"/>
  <c r="DK56" i="7"/>
  <c r="DL56" i="7" s="1"/>
  <c r="CS56" i="7"/>
  <c r="CT56" i="7" s="1"/>
  <c r="CW56" i="7" s="1"/>
  <c r="HM69" i="7"/>
  <c r="HL68" i="7"/>
  <c r="HJ73" i="24"/>
  <c r="HK72" i="24"/>
  <c r="FY54" i="7"/>
  <c r="U54" i="27"/>
  <c r="FZ54" i="7"/>
  <c r="V54" i="27"/>
  <c r="EC56" i="7"/>
  <c r="AW57" i="7"/>
  <c r="AZ56" i="7"/>
  <c r="EK56" i="7"/>
  <c r="E56" i="7"/>
  <c r="AS56" i="24"/>
  <c r="AI60" i="7"/>
  <c r="CX60" i="24"/>
  <c r="DD60" i="24"/>
  <c r="BO54" i="24"/>
  <c r="AX59" i="7"/>
  <c r="R58" i="7"/>
  <c r="AY58" i="7"/>
  <c r="BC58" i="7"/>
  <c r="Q58" i="7"/>
  <c r="FN55" i="7"/>
  <c r="AJ55" i="24"/>
  <c r="FV55" i="7"/>
  <c r="AP55" i="7"/>
  <c r="DB55" i="7"/>
  <c r="AK55" i="7"/>
  <c r="BH55" i="7"/>
  <c r="FP55" i="7"/>
  <c r="AN55" i="24"/>
  <c r="FO55" i="7"/>
  <c r="AM55" i="24"/>
  <c r="FQ55" i="7"/>
  <c r="AO55" i="24"/>
  <c r="BD55" i="7"/>
  <c r="AN55" i="7"/>
  <c r="FW55" i="7"/>
  <c r="AO55" i="7"/>
  <c r="AM55" i="7"/>
  <c r="BV55" i="7"/>
  <c r="BF55" i="7"/>
  <c r="BK55" i="7"/>
  <c r="BM55" i="7"/>
  <c r="BO55" i="7"/>
  <c r="BB55" i="7"/>
  <c r="FR55" i="7"/>
  <c r="AP55" i="24"/>
  <c r="BL55" i="7"/>
  <c r="DC59" i="24"/>
  <c r="S57" i="7"/>
  <c r="T57" i="7"/>
  <c r="HL70" i="24"/>
  <c r="HM71" i="24"/>
  <c r="AJ60" i="7"/>
  <c r="AK60" i="24"/>
  <c r="BV60" i="24"/>
  <c r="BB60" i="24"/>
  <c r="DB60" i="24"/>
  <c r="FS54" i="24"/>
  <c r="AR54" i="7"/>
  <c r="BG54" i="7"/>
  <c r="GB54" i="7"/>
  <c r="X54" i="27"/>
  <c r="GB54" i="24"/>
  <c r="BK54" i="32"/>
  <c r="Q56" i="24"/>
  <c r="BC56" i="24"/>
  <c r="AY56" i="24"/>
  <c r="AX57" i="24"/>
  <c r="R56" i="24"/>
  <c r="BH56" i="24"/>
  <c r="BL56" i="24"/>
  <c r="FV56" i="24"/>
  <c r="CG56" i="24"/>
  <c r="FW56" i="24"/>
  <c r="BK56" i="24"/>
  <c r="BM56" i="24"/>
  <c r="BD56" i="24"/>
  <c r="DH59" i="7"/>
  <c r="FT59" i="7"/>
  <c r="BM55" i="24"/>
  <c r="FY55" i="24"/>
  <c r="BH55" i="32"/>
  <c r="GJ56" i="24"/>
  <c r="BS56" i="32"/>
  <c r="BG56" i="32"/>
  <c r="AJ56" i="24"/>
  <c r="DB56" i="7"/>
  <c r="FN56" i="7"/>
  <c r="AL56" i="24"/>
  <c r="BV56" i="7"/>
  <c r="BL56" i="7"/>
  <c r="BB56" i="7"/>
  <c r="AO56" i="7"/>
  <c r="FP56" i="7"/>
  <c r="AN56" i="24"/>
  <c r="BK56" i="7"/>
  <c r="BF56" i="7"/>
  <c r="AK56" i="7"/>
  <c r="BH56" i="7"/>
  <c r="FO56" i="7"/>
  <c r="AM56" i="24"/>
  <c r="FR56" i="7"/>
  <c r="AP56" i="24"/>
  <c r="AN56" i="7"/>
  <c r="AM56" i="7"/>
  <c r="FW56" i="7"/>
  <c r="FQ56" i="7"/>
  <c r="AO56" i="24"/>
  <c r="AP56" i="7"/>
  <c r="BD56" i="7"/>
  <c r="FV56" i="7"/>
  <c r="BD57" i="24"/>
  <c r="BV61" i="24"/>
  <c r="DB61" i="24"/>
  <c r="AK61" i="24"/>
  <c r="BB61" i="24"/>
  <c r="AJ61" i="7"/>
  <c r="BC59" i="7"/>
  <c r="R59" i="7"/>
  <c r="AX60" i="7"/>
  <c r="Q59" i="7"/>
  <c r="AY59" i="7"/>
  <c r="BO55" i="24"/>
  <c r="FY55" i="7"/>
  <c r="U55" i="27"/>
  <c r="FZ55" i="7"/>
  <c r="V55" i="27"/>
  <c r="DC60" i="24"/>
  <c r="E57" i="7"/>
  <c r="AZ57" i="7"/>
  <c r="EL57" i="7"/>
  <c r="AW58" i="7"/>
  <c r="EK57" i="7"/>
  <c r="EC57" i="7"/>
  <c r="AS57" i="24"/>
  <c r="HJ74" i="24"/>
  <c r="HK73" i="24"/>
  <c r="HL69" i="7"/>
  <c r="HM70" i="7"/>
  <c r="BG57" i="32"/>
  <c r="GJ57" i="24"/>
  <c r="BS57" i="32"/>
  <c r="DK57" i="24"/>
  <c r="DL57" i="24" s="1"/>
  <c r="CS57" i="24"/>
  <c r="CT57" i="24" s="1"/>
  <c r="CW57" i="24" s="1"/>
  <c r="AI61" i="7"/>
  <c r="DH61" i="7"/>
  <c r="FT61" i="7"/>
  <c r="DD61" i="24"/>
  <c r="CX61" i="24"/>
  <c r="FS55" i="7"/>
  <c r="AR55" i="24"/>
  <c r="BG55" i="24"/>
  <c r="DH60" i="7"/>
  <c r="FT60" i="7"/>
  <c r="CG55" i="7"/>
  <c r="AV59" i="24"/>
  <c r="FX58" i="24"/>
  <c r="D58" i="24"/>
  <c r="AQ58" i="24"/>
  <c r="AT58" i="24"/>
  <c r="D58" i="7"/>
  <c r="FX58" i="7"/>
  <c r="AV59" i="7"/>
  <c r="CS57" i="7"/>
  <c r="CT57" i="7" s="1"/>
  <c r="CW57" i="7" s="1"/>
  <c r="DK57" i="7"/>
  <c r="DL57" i="7" s="1"/>
  <c r="D57" i="27"/>
  <c r="EK62" i="24"/>
  <c r="AZ62" i="24"/>
  <c r="EC62" i="24"/>
  <c r="AW63" i="24"/>
  <c r="E62" i="24"/>
  <c r="EL62" i="24"/>
  <c r="T57" i="27"/>
  <c r="GJ57" i="7"/>
  <c r="AF57" i="27"/>
  <c r="S56" i="24"/>
  <c r="HM72" i="24"/>
  <c r="HL71" i="24"/>
  <c r="Q57" i="24"/>
  <c r="BC57" i="24"/>
  <c r="R57" i="24"/>
  <c r="AY57" i="24"/>
  <c r="BH57" i="24"/>
  <c r="AX58" i="24"/>
  <c r="CG57" i="24"/>
  <c r="BK57" i="24"/>
  <c r="BM57" i="24"/>
  <c r="FW57" i="24"/>
  <c r="FV57" i="24"/>
  <c r="BL57" i="24"/>
  <c r="E56" i="27"/>
  <c r="AI56" i="24"/>
  <c r="DH56" i="24"/>
  <c r="FT56" i="24"/>
  <c r="AL56" i="7"/>
  <c r="CG56" i="7"/>
  <c r="FS55" i="24"/>
  <c r="AR55" i="7"/>
  <c r="BG55" i="7"/>
  <c r="GB55" i="7"/>
  <c r="X55" i="27"/>
  <c r="GB55" i="24"/>
  <c r="BK55" i="32"/>
  <c r="FZ56" i="24"/>
  <c r="BI56" i="32"/>
  <c r="BF56" i="24"/>
  <c r="BO56" i="24"/>
  <c r="FY56" i="24"/>
  <c r="BH56" i="32"/>
  <c r="S58" i="7"/>
  <c r="T58" i="7"/>
  <c r="S57" i="24"/>
  <c r="CS58" i="24"/>
  <c r="CT58" i="24" s="1"/>
  <c r="CW58" i="24" s="1"/>
  <c r="DK58" i="24"/>
  <c r="DL58" i="24" s="1"/>
  <c r="AP57" i="7"/>
  <c r="FV57" i="7"/>
  <c r="BL57" i="7"/>
  <c r="AJ57" i="24"/>
  <c r="AK57" i="7"/>
  <c r="BH57" i="7"/>
  <c r="AN57" i="7"/>
  <c r="FO57" i="7"/>
  <c r="AM57" i="24"/>
  <c r="EF57" i="24"/>
  <c r="FP57" i="7"/>
  <c r="AN57" i="24"/>
  <c r="FR57" i="7"/>
  <c r="AP57" i="24"/>
  <c r="BK57" i="7"/>
  <c r="BM57" i="7"/>
  <c r="BO57" i="7"/>
  <c r="BV57" i="7"/>
  <c r="AO57" i="7"/>
  <c r="BD57" i="7"/>
  <c r="FZ57" i="7"/>
  <c r="DB57" i="7"/>
  <c r="AM57" i="7"/>
  <c r="BB57" i="7"/>
  <c r="FQ57" i="7"/>
  <c r="AO57" i="24"/>
  <c r="FN57" i="7"/>
  <c r="AL57" i="24"/>
  <c r="FW57" i="7"/>
  <c r="FY57" i="24"/>
  <c r="BH57" i="32"/>
  <c r="DB62" i="24"/>
  <c r="AJ62" i="7"/>
  <c r="AK62" i="24"/>
  <c r="BV62" i="24"/>
  <c r="BB62" i="24"/>
  <c r="GJ58" i="24"/>
  <c r="BS58" i="32"/>
  <c r="BG58" i="32"/>
  <c r="E57" i="27"/>
  <c r="AI57" i="24"/>
  <c r="DH57" i="24"/>
  <c r="FT57" i="24"/>
  <c r="AL57" i="7"/>
  <c r="CG57" i="7"/>
  <c r="CX57" i="7"/>
  <c r="DD57" i="7"/>
  <c r="FZ57" i="24"/>
  <c r="BI57" i="32"/>
  <c r="BF57" i="24"/>
  <c r="D59" i="24"/>
  <c r="AV60" i="24"/>
  <c r="FX59" i="24"/>
  <c r="AT59" i="24"/>
  <c r="AQ59" i="24"/>
  <c r="DC61" i="24"/>
  <c r="HK74" i="24"/>
  <c r="HJ75" i="24"/>
  <c r="FZ56" i="7"/>
  <c r="V56" i="27"/>
  <c r="BO57" i="24"/>
  <c r="AV60" i="7"/>
  <c r="D59" i="7"/>
  <c r="FX59" i="7"/>
  <c r="FS56" i="7"/>
  <c r="AR56" i="24"/>
  <c r="BG56" i="24"/>
  <c r="HL72" i="24"/>
  <c r="HM73" i="24"/>
  <c r="GJ58" i="7"/>
  <c r="AF58" i="27"/>
  <c r="T58" i="27"/>
  <c r="BM56" i="7"/>
  <c r="FS56" i="24"/>
  <c r="AR56" i="7"/>
  <c r="BG56" i="7"/>
  <c r="GB56" i="7"/>
  <c r="X56" i="27"/>
  <c r="GB56" i="24"/>
  <c r="BK56" i="32"/>
  <c r="BC58" i="24"/>
  <c r="Q58" i="24"/>
  <c r="R58" i="24"/>
  <c r="AY58" i="24"/>
  <c r="BH58" i="24"/>
  <c r="AX59" i="24"/>
  <c r="FV58" i="24"/>
  <c r="CG58" i="24"/>
  <c r="BL58" i="24"/>
  <c r="BK58" i="24"/>
  <c r="FW58" i="24"/>
  <c r="D58" i="27"/>
  <c r="DK58" i="7"/>
  <c r="DL58" i="7" s="1"/>
  <c r="CS58" i="7"/>
  <c r="CT58" i="7" s="1"/>
  <c r="CW58" i="7" s="1"/>
  <c r="AI62" i="7"/>
  <c r="DH62" i="7"/>
  <c r="FT62" i="7"/>
  <c r="CX62" i="24"/>
  <c r="DD62" i="24"/>
  <c r="BD58" i="24"/>
  <c r="EC58" i="7"/>
  <c r="AW59" i="7"/>
  <c r="E58" i="7"/>
  <c r="EK58" i="7"/>
  <c r="AZ58" i="7"/>
  <c r="EL58" i="7"/>
  <c r="AS58" i="24"/>
  <c r="BC60" i="7"/>
  <c r="Q60" i="7"/>
  <c r="AY60" i="7"/>
  <c r="R60" i="7"/>
  <c r="AX61" i="7"/>
  <c r="EL63" i="24"/>
  <c r="EC63" i="24"/>
  <c r="E63" i="24"/>
  <c r="AZ63" i="24"/>
  <c r="AW64" i="24"/>
  <c r="EK63" i="24"/>
  <c r="HL70" i="7"/>
  <c r="HM71" i="7"/>
  <c r="S59" i="7"/>
  <c r="T59" i="7"/>
  <c r="FY56" i="7"/>
  <c r="U56" i="27"/>
  <c r="T60" i="7"/>
  <c r="S60" i="7"/>
  <c r="FY58" i="24"/>
  <c r="BH58" i="32"/>
  <c r="EF57" i="7"/>
  <c r="DC57" i="7"/>
  <c r="E64" i="24"/>
  <c r="AW65" i="24"/>
  <c r="EC64" i="24"/>
  <c r="EL64" i="24"/>
  <c r="EK64" i="24"/>
  <c r="AZ64" i="24"/>
  <c r="E59" i="7"/>
  <c r="AZ59" i="7"/>
  <c r="AW60" i="7"/>
  <c r="EC59" i="7"/>
  <c r="EL59" i="7"/>
  <c r="EK59" i="7"/>
  <c r="AS59" i="24"/>
  <c r="HJ76" i="24"/>
  <c r="HK75" i="24"/>
  <c r="FS57" i="24"/>
  <c r="AR57" i="7"/>
  <c r="BG57" i="7"/>
  <c r="V57" i="27"/>
  <c r="DC62" i="24"/>
  <c r="AX60" i="24"/>
  <c r="AY59" i="24"/>
  <c r="Q59" i="24"/>
  <c r="BC59" i="24"/>
  <c r="BH59" i="24"/>
  <c r="R59" i="24"/>
  <c r="BK59" i="24"/>
  <c r="BM59" i="24"/>
  <c r="FV59" i="24"/>
  <c r="CG59" i="24"/>
  <c r="FW59" i="24"/>
  <c r="BL59" i="24"/>
  <c r="BO56" i="7"/>
  <c r="HL71" i="7"/>
  <c r="HM72" i="7"/>
  <c r="E58" i="27"/>
  <c r="AI58" i="24"/>
  <c r="CX58" i="7"/>
  <c r="DD58" i="7"/>
  <c r="BV63" i="24"/>
  <c r="DB63" i="24"/>
  <c r="AK63" i="24"/>
  <c r="AJ63" i="7"/>
  <c r="BB63" i="24"/>
  <c r="AI63" i="7"/>
  <c r="DH63" i="7"/>
  <c r="FT63" i="7"/>
  <c r="CX63" i="24"/>
  <c r="DD63" i="24"/>
  <c r="FZ58" i="24"/>
  <c r="BI58" i="32"/>
  <c r="BF58" i="24"/>
  <c r="BD59" i="24"/>
  <c r="BF57" i="7"/>
  <c r="GJ59" i="7"/>
  <c r="AF59" i="27"/>
  <c r="T59" i="27"/>
  <c r="BG59" i="32"/>
  <c r="GJ59" i="24"/>
  <c r="BS59" i="32"/>
  <c r="S58" i="24"/>
  <c r="D59" i="27"/>
  <c r="CS59" i="7"/>
  <c r="CT59" i="7" s="1"/>
  <c r="CW59" i="7" s="1"/>
  <c r="DK59" i="7"/>
  <c r="DL59" i="7" s="1"/>
  <c r="AV61" i="24"/>
  <c r="FX60" i="24"/>
  <c r="D60" i="24"/>
  <c r="AT60" i="24"/>
  <c r="BD60" i="24"/>
  <c r="AQ60" i="24"/>
  <c r="Q61" i="7"/>
  <c r="R61" i="7"/>
  <c r="AY61" i="7"/>
  <c r="AX62" i="7"/>
  <c r="BC61" i="7"/>
  <c r="AM58" i="7"/>
  <c r="FQ58" i="7"/>
  <c r="AO58" i="24"/>
  <c r="FW58" i="7"/>
  <c r="FO58" i="7"/>
  <c r="AM58" i="24"/>
  <c r="EF58" i="24"/>
  <c r="AO58" i="7"/>
  <c r="AK58" i="7"/>
  <c r="BH58" i="7"/>
  <c r="DB58" i="7"/>
  <c r="BD58" i="7"/>
  <c r="BV58" i="7"/>
  <c r="FR58" i="7"/>
  <c r="AP58" i="24"/>
  <c r="FN58" i="7"/>
  <c r="AL58" i="24"/>
  <c r="FP58" i="7"/>
  <c r="AN58" i="24"/>
  <c r="BB58" i="7"/>
  <c r="AJ58" i="24"/>
  <c r="FV58" i="7"/>
  <c r="BF58" i="7"/>
  <c r="AN58" i="7"/>
  <c r="AP58" i="7"/>
  <c r="BL58" i="7"/>
  <c r="BK58" i="7"/>
  <c r="BM58" i="7"/>
  <c r="BO58" i="7"/>
  <c r="BM58" i="24"/>
  <c r="HL73" i="24"/>
  <c r="HM74" i="24"/>
  <c r="FX60" i="7"/>
  <c r="AV61" i="7"/>
  <c r="D60" i="7"/>
  <c r="CS59" i="24"/>
  <c r="CT59" i="24" s="1"/>
  <c r="CW59" i="24" s="1"/>
  <c r="DK59" i="24"/>
  <c r="DL59" i="24" s="1"/>
  <c r="FY57" i="7"/>
  <c r="U57" i="27"/>
  <c r="FZ59" i="24"/>
  <c r="BI59" i="32"/>
  <c r="BF59" i="24"/>
  <c r="EK60" i="7"/>
  <c r="EL60" i="7"/>
  <c r="AZ60" i="7"/>
  <c r="EC60" i="7"/>
  <c r="E60" i="7"/>
  <c r="AW61" i="7"/>
  <c r="AS60" i="24"/>
  <c r="AI64" i="7"/>
  <c r="CX64" i="24"/>
  <c r="DD64" i="24"/>
  <c r="S61" i="7"/>
  <c r="T61" i="7"/>
  <c r="FS58" i="24"/>
  <c r="AR58" i="7"/>
  <c r="BG58" i="7"/>
  <c r="BC60" i="24"/>
  <c r="R60" i="24"/>
  <c r="AY60" i="24"/>
  <c r="AX61" i="24"/>
  <c r="BH60" i="24"/>
  <c r="Q60" i="24"/>
  <c r="FW60" i="24"/>
  <c r="BL60" i="24"/>
  <c r="CG60" i="24"/>
  <c r="BK60" i="24"/>
  <c r="FV60" i="24"/>
  <c r="AM59" i="7"/>
  <c r="FP59" i="7"/>
  <c r="AN59" i="24"/>
  <c r="FN59" i="7"/>
  <c r="AL59" i="24"/>
  <c r="BL59" i="7"/>
  <c r="DB59" i="7"/>
  <c r="FV59" i="7"/>
  <c r="BF59" i="7"/>
  <c r="AJ59" i="24"/>
  <c r="AK59" i="7"/>
  <c r="BH59" i="7"/>
  <c r="AO59" i="7"/>
  <c r="FO59" i="7"/>
  <c r="AM59" i="24"/>
  <c r="EF59" i="24"/>
  <c r="FR59" i="7"/>
  <c r="AP59" i="24"/>
  <c r="AP59" i="7"/>
  <c r="FQ59" i="7"/>
  <c r="AO59" i="24"/>
  <c r="BV59" i="7"/>
  <c r="BD59" i="7"/>
  <c r="FZ59" i="7"/>
  <c r="V59" i="27"/>
  <c r="FW59" i="7"/>
  <c r="BB59" i="7"/>
  <c r="BK59" i="7"/>
  <c r="BM59" i="7"/>
  <c r="BO59" i="7"/>
  <c r="AN59" i="7"/>
  <c r="AI59" i="24"/>
  <c r="DH59" i="24"/>
  <c r="FT59" i="24"/>
  <c r="AL59" i="7"/>
  <c r="CG59" i="7"/>
  <c r="E59" i="27"/>
  <c r="CX59" i="7"/>
  <c r="DD59" i="7"/>
  <c r="FS57" i="7"/>
  <c r="AR57" i="24"/>
  <c r="BG57" i="24"/>
  <c r="GB57" i="24"/>
  <c r="BK57" i="32"/>
  <c r="GB57" i="7"/>
  <c r="X57" i="27"/>
  <c r="EF58" i="7"/>
  <c r="DC58" i="7"/>
  <c r="BO59" i="24"/>
  <c r="HK76" i="24"/>
  <c r="HJ77" i="24"/>
  <c r="AJ64" i="7"/>
  <c r="AK64" i="24"/>
  <c r="BB64" i="24"/>
  <c r="BV64" i="24"/>
  <c r="DB64" i="24"/>
  <c r="FY58" i="7"/>
  <c r="U58" i="27"/>
  <c r="CS60" i="7"/>
  <c r="CT60" i="7" s="1"/>
  <c r="CW60" i="7" s="1"/>
  <c r="DK60" i="7"/>
  <c r="DL60" i="7" s="1"/>
  <c r="D60" i="27"/>
  <c r="FX61" i="7"/>
  <c r="D61" i="7"/>
  <c r="AV62" i="7"/>
  <c r="FS58" i="7"/>
  <c r="AR58" i="24"/>
  <c r="BG58" i="24"/>
  <c r="GB58" i="24"/>
  <c r="BK58" i="32"/>
  <c r="GB58" i="7"/>
  <c r="FZ60" i="24"/>
  <c r="BI60" i="32"/>
  <c r="BF60" i="24"/>
  <c r="DH58" i="24"/>
  <c r="FT58" i="24"/>
  <c r="AL58" i="7"/>
  <c r="S59" i="24"/>
  <c r="T60" i="27"/>
  <c r="GJ60" i="7"/>
  <c r="AF60" i="27"/>
  <c r="FZ58" i="7"/>
  <c r="V58" i="27"/>
  <c r="DK60" i="24"/>
  <c r="DL60" i="24" s="1"/>
  <c r="CS60" i="24"/>
  <c r="CT60" i="24" s="1"/>
  <c r="CW60" i="24" s="1"/>
  <c r="CG58" i="7"/>
  <c r="HL74" i="24"/>
  <c r="HM75" i="24"/>
  <c r="AX63" i="7"/>
  <c r="BC62" i="7"/>
  <c r="R62" i="7"/>
  <c r="AY62" i="7"/>
  <c r="Q62" i="7"/>
  <c r="BG60" i="32"/>
  <c r="GJ60" i="24"/>
  <c r="BS60" i="32"/>
  <c r="FY59" i="24"/>
  <c r="BH59" i="32"/>
  <c r="BO58" i="24"/>
  <c r="FX61" i="24"/>
  <c r="AV62" i="24"/>
  <c r="D61" i="24"/>
  <c r="AQ61" i="24"/>
  <c r="AT61" i="24"/>
  <c r="BD61" i="24"/>
  <c r="DC63" i="24"/>
  <c r="HM73" i="7"/>
  <c r="HL72" i="7"/>
  <c r="AW66" i="24"/>
  <c r="E65" i="24"/>
  <c r="EK65" i="24"/>
  <c r="EL65" i="24"/>
  <c r="EC65" i="24"/>
  <c r="AZ65" i="24"/>
  <c r="DC64" i="24"/>
  <c r="AI65" i="7"/>
  <c r="CX65" i="24"/>
  <c r="DD65" i="24"/>
  <c r="FS60" i="24"/>
  <c r="AR60" i="7"/>
  <c r="BG60" i="7"/>
  <c r="E66" i="24"/>
  <c r="EL66" i="24"/>
  <c r="AZ66" i="24"/>
  <c r="EK66" i="24"/>
  <c r="AW67" i="24"/>
  <c r="EC66" i="24"/>
  <c r="BF61" i="24"/>
  <c r="HK77" i="24"/>
  <c r="HJ78" i="24"/>
  <c r="EF59" i="7"/>
  <c r="DC59" i="7"/>
  <c r="AX62" i="24"/>
  <c r="Q61" i="24"/>
  <c r="BC61" i="24"/>
  <c r="R61" i="24"/>
  <c r="BH61" i="24"/>
  <c r="AY61" i="24"/>
  <c r="BL61" i="24"/>
  <c r="FV61" i="24"/>
  <c r="FZ61" i="24"/>
  <c r="BI61" i="32"/>
  <c r="CG61" i="24"/>
  <c r="FW61" i="24"/>
  <c r="BK61" i="24"/>
  <c r="DH64" i="7"/>
  <c r="FT64" i="7"/>
  <c r="FS59" i="7"/>
  <c r="AR59" i="24"/>
  <c r="BG59" i="24"/>
  <c r="BM60" i="24"/>
  <c r="S62" i="7"/>
  <c r="T62" i="7"/>
  <c r="DK61" i="24"/>
  <c r="DL61" i="24" s="1"/>
  <c r="CS61" i="24"/>
  <c r="CT61" i="24" s="1"/>
  <c r="CW61" i="24" s="1"/>
  <c r="S60" i="24"/>
  <c r="EL61" i="7"/>
  <c r="EC61" i="7"/>
  <c r="AZ61" i="7"/>
  <c r="EK61" i="7"/>
  <c r="AW62" i="7"/>
  <c r="E61" i="7"/>
  <c r="AS61" i="24"/>
  <c r="X58" i="27"/>
  <c r="BV65" i="24"/>
  <c r="DB65" i="24"/>
  <c r="AJ65" i="7"/>
  <c r="AK65" i="24"/>
  <c r="BB65" i="24"/>
  <c r="HM74" i="7"/>
  <c r="HL73" i="7"/>
  <c r="D62" i="24"/>
  <c r="FX62" i="24"/>
  <c r="AV63" i="24"/>
  <c r="AQ62" i="24"/>
  <c r="AT62" i="24"/>
  <c r="BD62" i="24"/>
  <c r="R63" i="7"/>
  <c r="AX64" i="7"/>
  <c r="AY63" i="7"/>
  <c r="BC63" i="7"/>
  <c r="Q63" i="7"/>
  <c r="D62" i="7"/>
  <c r="AV63" i="7"/>
  <c r="FX62" i="7"/>
  <c r="FY60" i="24"/>
  <c r="BH60" i="32"/>
  <c r="AI60" i="24"/>
  <c r="E60" i="27"/>
  <c r="DD60" i="7"/>
  <c r="CX60" i="7"/>
  <c r="BG61" i="32"/>
  <c r="GJ61" i="24"/>
  <c r="BS61" i="32"/>
  <c r="D61" i="27"/>
  <c r="DK61" i="7"/>
  <c r="DL61" i="7" s="1"/>
  <c r="CS61" i="7"/>
  <c r="CT61" i="7" s="1"/>
  <c r="CW61" i="7" s="1"/>
  <c r="FS59" i="24"/>
  <c r="AR59" i="7"/>
  <c r="BG59" i="7"/>
  <c r="GB59" i="7"/>
  <c r="X59" i="27"/>
  <c r="GB59" i="24"/>
  <c r="BK59" i="32"/>
  <c r="HM76" i="24"/>
  <c r="HL75" i="24"/>
  <c r="GJ61" i="7"/>
  <c r="AF61" i="27"/>
  <c r="T61" i="27"/>
  <c r="FY59" i="7"/>
  <c r="U59" i="27"/>
  <c r="AO60" i="7"/>
  <c r="FQ60" i="7"/>
  <c r="AO60" i="24"/>
  <c r="FR60" i="7"/>
  <c r="AP60" i="24"/>
  <c r="BB60" i="7"/>
  <c r="CG60" i="7"/>
  <c r="BK60" i="7"/>
  <c r="FV60" i="7"/>
  <c r="FN60" i="7"/>
  <c r="AL60" i="24"/>
  <c r="AK60" i="7"/>
  <c r="BH60" i="7"/>
  <c r="AP60" i="7"/>
  <c r="AJ60" i="24"/>
  <c r="FO60" i="7"/>
  <c r="AM60" i="24"/>
  <c r="EF60" i="24"/>
  <c r="DB60" i="7"/>
  <c r="FW60" i="7"/>
  <c r="AN60" i="7"/>
  <c r="FP60" i="7"/>
  <c r="AN60" i="24"/>
  <c r="BL60" i="7"/>
  <c r="BF60" i="7"/>
  <c r="AM60" i="7"/>
  <c r="BV60" i="7"/>
  <c r="BD60" i="7"/>
  <c r="DH60" i="24"/>
  <c r="FT60" i="24"/>
  <c r="AL60" i="7"/>
  <c r="CS62" i="7"/>
  <c r="CT62" i="7" s="1"/>
  <c r="CW62" i="7" s="1"/>
  <c r="D62" i="27"/>
  <c r="DK62" i="7"/>
  <c r="DL62" i="7" s="1"/>
  <c r="AZ67" i="24"/>
  <c r="EK67" i="24"/>
  <c r="AW68" i="24"/>
  <c r="EL67" i="24"/>
  <c r="EC67" i="24"/>
  <c r="E67" i="24"/>
  <c r="FS60" i="7"/>
  <c r="AR60" i="24"/>
  <c r="BG60" i="24"/>
  <c r="GB60" i="24"/>
  <c r="BK60" i="32"/>
  <c r="GB60" i="7"/>
  <c r="D63" i="24"/>
  <c r="FX63" i="24"/>
  <c r="AV64" i="24"/>
  <c r="AQ63" i="24"/>
  <c r="AT63" i="24"/>
  <c r="GJ62" i="24"/>
  <c r="BS62" i="32"/>
  <c r="BG62" i="32"/>
  <c r="AI61" i="24"/>
  <c r="E61" i="27"/>
  <c r="CX61" i="7"/>
  <c r="DD61" i="7"/>
  <c r="BB66" i="24"/>
  <c r="AK66" i="24"/>
  <c r="AJ66" i="7"/>
  <c r="BV66" i="24"/>
  <c r="DB66" i="24"/>
  <c r="HM77" i="24"/>
  <c r="HL76" i="24"/>
  <c r="DK62" i="24"/>
  <c r="DL62" i="24" s="1"/>
  <c r="CS62" i="24"/>
  <c r="CT62" i="24" s="1"/>
  <c r="CW62" i="24" s="1"/>
  <c r="EC62" i="7"/>
  <c r="EK62" i="7"/>
  <c r="AZ62" i="7"/>
  <c r="AW63" i="7"/>
  <c r="E62" i="7"/>
  <c r="EL62" i="7"/>
  <c r="AS62" i="24"/>
  <c r="BM61" i="24"/>
  <c r="S61" i="24"/>
  <c r="HJ79" i="24"/>
  <c r="HK78" i="24"/>
  <c r="DC65" i="24"/>
  <c r="FZ60" i="7"/>
  <c r="V60" i="27"/>
  <c r="BM60" i="7"/>
  <c r="BC64" i="7"/>
  <c r="Q64" i="7"/>
  <c r="AX65" i="7"/>
  <c r="R64" i="7"/>
  <c r="AY64" i="7"/>
  <c r="FY61" i="24"/>
  <c r="BH61" i="32"/>
  <c r="AI66" i="7"/>
  <c r="DH66" i="7"/>
  <c r="FT66" i="7"/>
  <c r="CX66" i="24"/>
  <c r="DD66" i="24"/>
  <c r="FY60" i="7"/>
  <c r="U60" i="27"/>
  <c r="DC60" i="7"/>
  <c r="EF60" i="7"/>
  <c r="HL74" i="7"/>
  <c r="HM75" i="7"/>
  <c r="AM61" i="7"/>
  <c r="BV61" i="7"/>
  <c r="AK61" i="7"/>
  <c r="BH61" i="7"/>
  <c r="AO61" i="7"/>
  <c r="DB61" i="7"/>
  <c r="FO61" i="7"/>
  <c r="AM61" i="24"/>
  <c r="EF61" i="24"/>
  <c r="FQ61" i="7"/>
  <c r="AO61" i="24"/>
  <c r="BB61" i="7"/>
  <c r="CG61" i="7"/>
  <c r="AP61" i="7"/>
  <c r="FW61" i="7"/>
  <c r="AJ61" i="24"/>
  <c r="FP61" i="7"/>
  <c r="AN61" i="24"/>
  <c r="FN61" i="7"/>
  <c r="AL61" i="24"/>
  <c r="BD61" i="7"/>
  <c r="FZ61" i="7"/>
  <c r="V61" i="27"/>
  <c r="AN61" i="7"/>
  <c r="BL61" i="7"/>
  <c r="FR61" i="7"/>
  <c r="AP61" i="24"/>
  <c r="BK61" i="7"/>
  <c r="BM61" i="7"/>
  <c r="BO61" i="7"/>
  <c r="BF61" i="7"/>
  <c r="FV61" i="7"/>
  <c r="FS61" i="24"/>
  <c r="AR61" i="7"/>
  <c r="BG61" i="7"/>
  <c r="DH65" i="7"/>
  <c r="FT65" i="7"/>
  <c r="GJ62" i="7"/>
  <c r="AF62" i="27"/>
  <c r="T62" i="27"/>
  <c r="S63" i="7"/>
  <c r="T63" i="7"/>
  <c r="Q62" i="24"/>
  <c r="AX63" i="24"/>
  <c r="BH62" i="24"/>
  <c r="BC62" i="24"/>
  <c r="R62" i="24"/>
  <c r="AY62" i="24"/>
  <c r="FW62" i="24"/>
  <c r="BL62" i="24"/>
  <c r="FV62" i="24"/>
  <c r="FZ62" i="24"/>
  <c r="BI62" i="32"/>
  <c r="BK62" i="24"/>
  <c r="BM62" i="24"/>
  <c r="CG62" i="24"/>
  <c r="D63" i="7"/>
  <c r="FX63" i="7"/>
  <c r="AV64" i="7"/>
  <c r="BF62" i="24"/>
  <c r="BO60" i="24"/>
  <c r="S62" i="24"/>
  <c r="AI62" i="24"/>
  <c r="E62" i="27"/>
  <c r="CX62" i="7"/>
  <c r="DD62" i="7"/>
  <c r="HM78" i="24"/>
  <c r="HL77" i="24"/>
  <c r="D64" i="24"/>
  <c r="FX64" i="24"/>
  <c r="AV65" i="24"/>
  <c r="AT64" i="24"/>
  <c r="AQ64" i="24"/>
  <c r="DK63" i="7"/>
  <c r="DL63" i="7" s="1"/>
  <c r="D63" i="27"/>
  <c r="CS63" i="7"/>
  <c r="CT63" i="7" s="1"/>
  <c r="CW63" i="7" s="1"/>
  <c r="HK79" i="24"/>
  <c r="HJ80" i="24"/>
  <c r="E63" i="7"/>
  <c r="AZ63" i="7"/>
  <c r="EL63" i="7"/>
  <c r="EC63" i="7"/>
  <c r="AW64" i="7"/>
  <c r="EK63" i="7"/>
  <c r="AS63" i="24"/>
  <c r="DH61" i="24"/>
  <c r="FT61" i="24"/>
  <c r="AL61" i="7"/>
  <c r="BG63" i="32"/>
  <c r="GJ63" i="24"/>
  <c r="BS63" i="32"/>
  <c r="EL68" i="24"/>
  <c r="EK68" i="24"/>
  <c r="AW69" i="24"/>
  <c r="EC68" i="24"/>
  <c r="E68" i="24"/>
  <c r="AZ68" i="24"/>
  <c r="FY62" i="24"/>
  <c r="BH62" i="32"/>
  <c r="BO62" i="24"/>
  <c r="BO60" i="7"/>
  <c r="FO62" i="7"/>
  <c r="AM62" i="24"/>
  <c r="EF62" i="24"/>
  <c r="BV62" i="7"/>
  <c r="AJ62" i="24"/>
  <c r="FR62" i="7"/>
  <c r="AP62" i="24"/>
  <c r="BB62" i="7"/>
  <c r="DB62" i="7"/>
  <c r="AK62" i="7"/>
  <c r="BH62" i="7"/>
  <c r="AP62" i="7"/>
  <c r="FP62" i="7"/>
  <c r="AN62" i="24"/>
  <c r="FV62" i="7"/>
  <c r="AO62" i="7"/>
  <c r="FN62" i="7"/>
  <c r="AL62" i="24"/>
  <c r="AN62" i="7"/>
  <c r="BD62" i="7"/>
  <c r="BF62" i="7"/>
  <c r="BK62" i="7"/>
  <c r="FQ62" i="7"/>
  <c r="AO62" i="24"/>
  <c r="FW62" i="7"/>
  <c r="BL62" i="7"/>
  <c r="AM62" i="7"/>
  <c r="DK63" i="24"/>
  <c r="DL63" i="24" s="1"/>
  <c r="CS63" i="24"/>
  <c r="CT63" i="24" s="1"/>
  <c r="CW63" i="24" s="1"/>
  <c r="BC63" i="24"/>
  <c r="R63" i="24"/>
  <c r="AX64" i="24"/>
  <c r="Q63" i="24"/>
  <c r="BH63" i="24"/>
  <c r="AY63" i="24"/>
  <c r="BL63" i="24"/>
  <c r="BK63" i="24"/>
  <c r="BM63" i="24"/>
  <c r="FW63" i="24"/>
  <c r="CG63" i="24"/>
  <c r="FV63" i="24"/>
  <c r="X60" i="27"/>
  <c r="AJ67" i="7"/>
  <c r="BV67" i="24"/>
  <c r="BB67" i="24"/>
  <c r="AK67" i="24"/>
  <c r="DB67" i="24"/>
  <c r="FS62" i="24"/>
  <c r="AR62" i="7"/>
  <c r="BG62" i="7"/>
  <c r="BO61" i="24"/>
  <c r="FS61" i="7"/>
  <c r="AR61" i="24"/>
  <c r="BG61" i="24"/>
  <c r="GB61" i="24"/>
  <c r="BK61" i="32"/>
  <c r="GB61" i="7"/>
  <c r="DC66" i="24"/>
  <c r="S64" i="7"/>
  <c r="T64" i="7"/>
  <c r="AV65" i="7"/>
  <c r="D64" i="7"/>
  <c r="FX64" i="7"/>
  <c r="Q65" i="7"/>
  <c r="AX66" i="7"/>
  <c r="BC65" i="7"/>
  <c r="AY65" i="7"/>
  <c r="R65" i="7"/>
  <c r="DC61" i="7"/>
  <c r="EF61" i="7"/>
  <c r="BD63" i="24"/>
  <c r="AI67" i="7"/>
  <c r="DH67" i="7"/>
  <c r="FT67" i="7"/>
  <c r="DD67" i="24"/>
  <c r="CX67" i="24"/>
  <c r="GJ63" i="7"/>
  <c r="AF63" i="27"/>
  <c r="T63" i="27"/>
  <c r="FY61" i="7"/>
  <c r="U61" i="27"/>
  <c r="HL75" i="7"/>
  <c r="HM76" i="7"/>
  <c r="FS62" i="7"/>
  <c r="AR62" i="24"/>
  <c r="BG62" i="24"/>
  <c r="GB62" i="24"/>
  <c r="BK62" i="32"/>
  <c r="GB62" i="7"/>
  <c r="X62" i="27"/>
  <c r="HM77" i="7"/>
  <c r="HL76" i="7"/>
  <c r="DB63" i="7"/>
  <c r="FP63" i="7"/>
  <c r="AN63" i="24"/>
  <c r="AM63" i="7"/>
  <c r="AK63" i="7"/>
  <c r="BH63" i="7"/>
  <c r="BB63" i="7"/>
  <c r="FN63" i="7"/>
  <c r="AL63" i="24"/>
  <c r="FQ63" i="7"/>
  <c r="AO63" i="24"/>
  <c r="AP63" i="7"/>
  <c r="BV63" i="7"/>
  <c r="AO63" i="7"/>
  <c r="FW63" i="7"/>
  <c r="FO63" i="7"/>
  <c r="AM63" i="24"/>
  <c r="EF63" i="24"/>
  <c r="BD63" i="7"/>
  <c r="FZ63" i="7"/>
  <c r="BF63" i="7"/>
  <c r="AJ63" i="24"/>
  <c r="BK63" i="7"/>
  <c r="BM63" i="7"/>
  <c r="BO63" i="7"/>
  <c r="FR63" i="7"/>
  <c r="AP63" i="24"/>
  <c r="BL63" i="7"/>
  <c r="AN63" i="7"/>
  <c r="FV63" i="7"/>
  <c r="BD64" i="24"/>
  <c r="FZ63" i="24"/>
  <c r="BI63" i="32"/>
  <c r="BF63" i="24"/>
  <c r="AX65" i="24"/>
  <c r="AQ65" i="24"/>
  <c r="BC64" i="24"/>
  <c r="BH64" i="24"/>
  <c r="R64" i="24"/>
  <c r="Q64" i="24"/>
  <c r="AY64" i="24"/>
  <c r="FV64" i="24"/>
  <c r="CG64" i="24"/>
  <c r="BK64" i="24"/>
  <c r="FW64" i="24"/>
  <c r="BL64" i="24"/>
  <c r="FY62" i="7"/>
  <c r="U62" i="27"/>
  <c r="AI63" i="24"/>
  <c r="DH63" i="24"/>
  <c r="FT63" i="24"/>
  <c r="AL63" i="7"/>
  <c r="E63" i="27"/>
  <c r="CX63" i="7"/>
  <c r="DD63" i="7"/>
  <c r="FX65" i="24"/>
  <c r="D65" i="24"/>
  <c r="AV66" i="24"/>
  <c r="AX67" i="7"/>
  <c r="BC66" i="7"/>
  <c r="Q66" i="7"/>
  <c r="AY66" i="7"/>
  <c r="R66" i="7"/>
  <c r="S63" i="24"/>
  <c r="HJ81" i="24"/>
  <c r="HK80" i="24"/>
  <c r="BG64" i="32"/>
  <c r="GJ64" i="24"/>
  <c r="BS64" i="32"/>
  <c r="DC62" i="7"/>
  <c r="EF62" i="7"/>
  <c r="BO63" i="24"/>
  <c r="FY63" i="24"/>
  <c r="BH63" i="32"/>
  <c r="DK64" i="24"/>
  <c r="DL64" i="24" s="1"/>
  <c r="CS64" i="24"/>
  <c r="CT64" i="24" s="1"/>
  <c r="CW64" i="24" s="1"/>
  <c r="T64" i="27"/>
  <c r="GJ64" i="7"/>
  <c r="AF64" i="27"/>
  <c r="DB68" i="24"/>
  <c r="AJ68" i="7"/>
  <c r="BV68" i="24"/>
  <c r="AK68" i="24"/>
  <c r="BB68" i="24"/>
  <c r="CG62" i="7"/>
  <c r="DC67" i="24"/>
  <c r="D64" i="27"/>
  <c r="DK64" i="7"/>
  <c r="DL64" i="7" s="1"/>
  <c r="CS64" i="7"/>
  <c r="CT64" i="7" s="1"/>
  <c r="CW64" i="7" s="1"/>
  <c r="AI68" i="7"/>
  <c r="CX68" i="24"/>
  <c r="DD68" i="24"/>
  <c r="EC64" i="7"/>
  <c r="EL64" i="7"/>
  <c r="EK64" i="7"/>
  <c r="AZ64" i="7"/>
  <c r="AW65" i="7"/>
  <c r="E64" i="7"/>
  <c r="AS64" i="24"/>
  <c r="HM79" i="24"/>
  <c r="HL78" i="24"/>
  <c r="DH62" i="24"/>
  <c r="FT62" i="24"/>
  <c r="AL62" i="7"/>
  <c r="S65" i="7"/>
  <c r="T65" i="7"/>
  <c r="FX65" i="7"/>
  <c r="AV66" i="7"/>
  <c r="D65" i="7"/>
  <c r="BM62" i="7"/>
  <c r="X61" i="27"/>
  <c r="FZ62" i="7"/>
  <c r="V62" i="27"/>
  <c r="E69" i="24"/>
  <c r="EC69" i="24"/>
  <c r="AW70" i="24"/>
  <c r="EK69" i="24"/>
  <c r="AZ69" i="24"/>
  <c r="EL69" i="24"/>
  <c r="HK81" i="24"/>
  <c r="HJ82" i="24"/>
  <c r="BC67" i="7"/>
  <c r="Q67" i="7"/>
  <c r="AY67" i="7"/>
  <c r="AX68" i="7"/>
  <c r="R67" i="7"/>
  <c r="AV67" i="7"/>
  <c r="D66" i="7"/>
  <c r="FX66" i="7"/>
  <c r="HL79" i="24"/>
  <c r="HM80" i="24"/>
  <c r="FS63" i="24"/>
  <c r="AR63" i="7"/>
  <c r="BG63" i="7"/>
  <c r="GB63" i="7"/>
  <c r="FS63" i="7"/>
  <c r="AR63" i="24"/>
  <c r="BG63" i="24"/>
  <c r="GB63" i="24"/>
  <c r="BK63" i="32"/>
  <c r="BG65" i="32"/>
  <c r="GJ65" i="24"/>
  <c r="BS65" i="32"/>
  <c r="D65" i="27"/>
  <c r="CS65" i="7"/>
  <c r="CT65" i="7" s="1"/>
  <c r="CW65" i="7" s="1"/>
  <c r="DK65" i="7"/>
  <c r="DL65" i="7" s="1"/>
  <c r="BB69" i="24"/>
  <c r="DB69" i="24"/>
  <c r="AJ69" i="7"/>
  <c r="AK69" i="24"/>
  <c r="BV69" i="24"/>
  <c r="T65" i="27"/>
  <c r="GJ65" i="7"/>
  <c r="AF65" i="27"/>
  <c r="AI64" i="24"/>
  <c r="E64" i="27"/>
  <c r="CX64" i="7"/>
  <c r="DD64" i="7"/>
  <c r="T66" i="7"/>
  <c r="S66" i="7"/>
  <c r="AT65" i="24"/>
  <c r="BD65" i="24"/>
  <c r="AS65" i="24"/>
  <c r="V63" i="27"/>
  <c r="FY63" i="7"/>
  <c r="U63" i="27"/>
  <c r="EC70" i="24"/>
  <c r="E70" i="24"/>
  <c r="AZ70" i="24"/>
  <c r="EL70" i="24"/>
  <c r="AW71" i="24"/>
  <c r="EK70" i="24"/>
  <c r="BO62" i="7"/>
  <c r="AZ65" i="7"/>
  <c r="E65" i="7"/>
  <c r="EL65" i="7"/>
  <c r="EC65" i="7"/>
  <c r="EK65" i="7"/>
  <c r="AW66" i="7"/>
  <c r="DC63" i="7"/>
  <c r="EF63" i="7"/>
  <c r="S64" i="24"/>
  <c r="FZ64" i="24"/>
  <c r="BI64" i="32"/>
  <c r="BF64" i="24"/>
  <c r="HL77" i="7"/>
  <c r="HM78" i="7"/>
  <c r="DC68" i="24"/>
  <c r="FX66" i="24"/>
  <c r="D66" i="24"/>
  <c r="AV67" i="24"/>
  <c r="AJ64" i="24"/>
  <c r="FR64" i="7"/>
  <c r="AP64" i="24"/>
  <c r="AP64" i="7"/>
  <c r="FP64" i="7"/>
  <c r="AN64" i="24"/>
  <c r="AK64" i="7"/>
  <c r="BH64" i="7"/>
  <c r="AO64" i="7"/>
  <c r="FW64" i="7"/>
  <c r="FO64" i="7"/>
  <c r="AM64" i="24"/>
  <c r="EF64" i="24"/>
  <c r="FN64" i="7"/>
  <c r="AL64" i="24"/>
  <c r="BK64" i="7"/>
  <c r="BM64" i="7"/>
  <c r="BO64" i="7"/>
  <c r="BL64" i="7"/>
  <c r="BF64" i="7"/>
  <c r="BV64" i="7"/>
  <c r="BD64" i="7"/>
  <c r="FZ64" i="7"/>
  <c r="V64" i="27"/>
  <c r="FQ64" i="7"/>
  <c r="AO64" i="24"/>
  <c r="FV64" i="7"/>
  <c r="DB64" i="7"/>
  <c r="BB64" i="7"/>
  <c r="CG64" i="7"/>
  <c r="AN64" i="7"/>
  <c r="AM64" i="7"/>
  <c r="AI69" i="7"/>
  <c r="DH69" i="7"/>
  <c r="FT69" i="7"/>
  <c r="DD69" i="24"/>
  <c r="CX69" i="24"/>
  <c r="DH68" i="7"/>
  <c r="FT68" i="7"/>
  <c r="CS65" i="24"/>
  <c r="CT65" i="24" s="1"/>
  <c r="CW65" i="24" s="1"/>
  <c r="DK65" i="24"/>
  <c r="DL65" i="24" s="1"/>
  <c r="CG63" i="7"/>
  <c r="BM64" i="24"/>
  <c r="FY64" i="24"/>
  <c r="BH64" i="32"/>
  <c r="BC65" i="24"/>
  <c r="AY65" i="24"/>
  <c r="Q65" i="24"/>
  <c r="R65" i="24"/>
  <c r="AX66" i="24"/>
  <c r="AQ66" i="24"/>
  <c r="BH65" i="24"/>
  <c r="FW65" i="24"/>
  <c r="CG65" i="24"/>
  <c r="BK65" i="24"/>
  <c r="BL65" i="24"/>
  <c r="FV65" i="24"/>
  <c r="X63" i="27"/>
  <c r="AW72" i="24"/>
  <c r="EK71" i="24"/>
  <c r="E71" i="24"/>
  <c r="AZ71" i="24"/>
  <c r="EL71" i="24"/>
  <c r="EC71" i="24"/>
  <c r="S67" i="7"/>
  <c r="T67" i="7"/>
  <c r="DC69" i="24"/>
  <c r="BH66" i="24"/>
  <c r="AY66" i="24"/>
  <c r="Q66" i="24"/>
  <c r="AX67" i="24"/>
  <c r="R66" i="24"/>
  <c r="BC66" i="24"/>
  <c r="CG66" i="24"/>
  <c r="BK66" i="24"/>
  <c r="FW66" i="24"/>
  <c r="FV66" i="24"/>
  <c r="BL66" i="24"/>
  <c r="BO64" i="24"/>
  <c r="AT66" i="24"/>
  <c r="BD66" i="24"/>
  <c r="AJ70" i="7"/>
  <c r="AS70" i="24"/>
  <c r="FV70" i="24"/>
  <c r="CN70" i="24"/>
  <c r="X70" i="24"/>
  <c r="BP70" i="24"/>
  <c r="BU70" i="24"/>
  <c r="AK70" i="24"/>
  <c r="BV70" i="24"/>
  <c r="CO70" i="24"/>
  <c r="BF70" i="24"/>
  <c r="BK70" i="24"/>
  <c r="AQ70" i="24"/>
  <c r="DT70" i="24"/>
  <c r="BE70" i="24"/>
  <c r="AT70" i="24"/>
  <c r="BD70" i="24"/>
  <c r="FZ70" i="24"/>
  <c r="BI70" i="32"/>
  <c r="BL70" i="24"/>
  <c r="DB70" i="24"/>
  <c r="EP70" i="24"/>
  <c r="EW70" i="24"/>
  <c r="BB70" i="24"/>
  <c r="EG70" i="24"/>
  <c r="DY70" i="24"/>
  <c r="DM70" i="24"/>
  <c r="DH64" i="24"/>
  <c r="FT64" i="24"/>
  <c r="AL64" i="7"/>
  <c r="HL80" i="24"/>
  <c r="HM81" i="24"/>
  <c r="BC68" i="7"/>
  <c r="AX69" i="7"/>
  <c r="Q68" i="7"/>
  <c r="R68" i="7"/>
  <c r="AY68" i="7"/>
  <c r="S65" i="24"/>
  <c r="FS64" i="7"/>
  <c r="AR64" i="24"/>
  <c r="BG64" i="24"/>
  <c r="D67" i="24"/>
  <c r="AV68" i="24"/>
  <c r="FX67" i="24"/>
  <c r="AT67" i="24"/>
  <c r="BD67" i="24"/>
  <c r="AQ67" i="24"/>
  <c r="HM79" i="7"/>
  <c r="HL78" i="7"/>
  <c r="AI65" i="24"/>
  <c r="E65" i="27"/>
  <c r="DD65" i="7"/>
  <c r="CX65" i="7"/>
  <c r="AI70" i="7"/>
  <c r="CX70" i="24"/>
  <c r="DD70" i="24"/>
  <c r="CS66" i="24"/>
  <c r="CT66" i="24" s="1"/>
  <c r="CW66" i="24" s="1"/>
  <c r="DK66" i="24"/>
  <c r="DL66" i="24" s="1"/>
  <c r="BL65" i="7"/>
  <c r="BP65" i="7"/>
  <c r="BU65" i="7"/>
  <c r="DT65" i="7"/>
  <c r="BF65" i="7"/>
  <c r="AK65" i="7"/>
  <c r="BH65" i="7"/>
  <c r="AJ65" i="24"/>
  <c r="DY65" i="7"/>
  <c r="CN65" i="7"/>
  <c r="AM65" i="7"/>
  <c r="BE65" i="7"/>
  <c r="DB65" i="7"/>
  <c r="BD65" i="7"/>
  <c r="BB65" i="7"/>
  <c r="CG65" i="7"/>
  <c r="DM65" i="7"/>
  <c r="AN65" i="7"/>
  <c r="EP65" i="7"/>
  <c r="FW65" i="7"/>
  <c r="FV65" i="7"/>
  <c r="AP65" i="7"/>
  <c r="BV65" i="7"/>
  <c r="CO65" i="7"/>
  <c r="AO65" i="7"/>
  <c r="BK65" i="7"/>
  <c r="EW65" i="7"/>
  <c r="EG65" i="7"/>
  <c r="T66" i="27"/>
  <c r="GJ66" i="7"/>
  <c r="AF66" i="27"/>
  <c r="FY64" i="7"/>
  <c r="U64" i="27"/>
  <c r="GJ66" i="24"/>
  <c r="BS66" i="32"/>
  <c r="BG66" i="32"/>
  <c r="GB64" i="24"/>
  <c r="BK64" i="32"/>
  <c r="FS64" i="24"/>
  <c r="AR64" i="7"/>
  <c r="BG64" i="7"/>
  <c r="GB64" i="7"/>
  <c r="X64" i="27"/>
  <c r="CS66" i="7"/>
  <c r="CT66" i="7" s="1"/>
  <c r="CW66" i="7" s="1"/>
  <c r="DK66" i="7"/>
  <c r="DL66" i="7" s="1"/>
  <c r="D66" i="27"/>
  <c r="BM65" i="24"/>
  <c r="FY65" i="24"/>
  <c r="BH65" i="32"/>
  <c r="FX67" i="7"/>
  <c r="D67" i="7"/>
  <c r="AV68" i="7"/>
  <c r="EK66" i="7"/>
  <c r="EC66" i="7"/>
  <c r="AZ66" i="7"/>
  <c r="EL66" i="7"/>
  <c r="E66" i="7"/>
  <c r="AW67" i="7"/>
  <c r="AS66" i="24"/>
  <c r="FZ65" i="24"/>
  <c r="BI65" i="32"/>
  <c r="BF65" i="24"/>
  <c r="EF64" i="7"/>
  <c r="DC64" i="7"/>
  <c r="HJ83" i="24"/>
  <c r="HK82" i="24"/>
  <c r="FX68" i="7"/>
  <c r="D68" i="7"/>
  <c r="AV69" i="7"/>
  <c r="FS65" i="7"/>
  <c r="AR65" i="24"/>
  <c r="BG65" i="24"/>
  <c r="BT70" i="24"/>
  <c r="FZ66" i="24"/>
  <c r="BI66" i="32"/>
  <c r="BF66" i="24"/>
  <c r="AZ67" i="7"/>
  <c r="EL67" i="7"/>
  <c r="EC67" i="7"/>
  <c r="AW68" i="7"/>
  <c r="EK67" i="7"/>
  <c r="E67" i="7"/>
  <c r="AS67" i="24"/>
  <c r="DK67" i="7"/>
  <c r="DL67" i="7" s="1"/>
  <c r="CS67" i="7"/>
  <c r="CT67" i="7" s="1"/>
  <c r="CW67" i="7" s="1"/>
  <c r="D67" i="27"/>
  <c r="EF65" i="7"/>
  <c r="DC65" i="7"/>
  <c r="BF67" i="24"/>
  <c r="FY66" i="24"/>
  <c r="BH66" i="32"/>
  <c r="AM71" i="24"/>
  <c r="CN71" i="24"/>
  <c r="BB71" i="24"/>
  <c r="AN71" i="24"/>
  <c r="AS71" i="24"/>
  <c r="AO71" i="24"/>
  <c r="DT71" i="24"/>
  <c r="AL71" i="24"/>
  <c r="BE71" i="24"/>
  <c r="BL71" i="24"/>
  <c r="FW71" i="24"/>
  <c r="DB71" i="24"/>
  <c r="BF71" i="24"/>
  <c r="AJ71" i="7"/>
  <c r="AT71" i="24"/>
  <c r="BD71" i="24"/>
  <c r="FZ71" i="24"/>
  <c r="BI71" i="32"/>
  <c r="BV71" i="24"/>
  <c r="BP71" i="24"/>
  <c r="BU71" i="24"/>
  <c r="AK71" i="24"/>
  <c r="BK71" i="24"/>
  <c r="AP71" i="24"/>
  <c r="FV71" i="24"/>
  <c r="AQ71" i="24"/>
  <c r="CO71" i="24"/>
  <c r="DM71" i="24"/>
  <c r="DY71" i="24"/>
  <c r="CE71" i="24"/>
  <c r="EP71" i="24"/>
  <c r="EW71" i="24"/>
  <c r="EG71" i="24"/>
  <c r="AI66" i="24"/>
  <c r="E66" i="27"/>
  <c r="CX66" i="7"/>
  <c r="DD66" i="7"/>
  <c r="T67" i="27"/>
  <c r="GJ67" i="7"/>
  <c r="AF67" i="27"/>
  <c r="GA65" i="7"/>
  <c r="GJ67" i="24"/>
  <c r="BS67" i="32"/>
  <c r="BG67" i="32"/>
  <c r="S68" i="7"/>
  <c r="T68" i="7"/>
  <c r="GA70" i="24"/>
  <c r="BJ70" i="32"/>
  <c r="S66" i="24"/>
  <c r="AI71" i="7"/>
  <c r="DD71" i="24"/>
  <c r="CX71" i="24"/>
  <c r="FD65" i="7"/>
  <c r="FE65" i="7"/>
  <c r="FC65" i="7"/>
  <c r="DC70" i="24"/>
  <c r="FX68" i="24"/>
  <c r="AV69" i="24"/>
  <c r="D68" i="24"/>
  <c r="AQ68" i="24"/>
  <c r="AT68" i="24"/>
  <c r="BD68" i="24"/>
  <c r="AX68" i="24"/>
  <c r="R67" i="24"/>
  <c r="AY67" i="24"/>
  <c r="BC67" i="24"/>
  <c r="Q67" i="24"/>
  <c r="BH67" i="24"/>
  <c r="FV67" i="24"/>
  <c r="FZ67" i="24"/>
  <c r="BI67" i="32"/>
  <c r="BL67" i="24"/>
  <c r="CG67" i="24"/>
  <c r="FW67" i="24"/>
  <c r="BK67" i="24"/>
  <c r="BM67" i="24"/>
  <c r="HK83" i="24"/>
  <c r="HJ84" i="24"/>
  <c r="FS65" i="24"/>
  <c r="AR65" i="7"/>
  <c r="BG65" i="7"/>
  <c r="GB65" i="7"/>
  <c r="X65" i="27"/>
  <c r="GB65" i="24"/>
  <c r="BK65" i="32"/>
  <c r="FR66" i="7"/>
  <c r="AP66" i="24"/>
  <c r="BV66" i="7"/>
  <c r="FW66" i="7"/>
  <c r="BB66" i="7"/>
  <c r="FQ66" i="7"/>
  <c r="AO66" i="24"/>
  <c r="DY66" i="7"/>
  <c r="CE66" i="7"/>
  <c r="DT66" i="7"/>
  <c r="FP66" i="7"/>
  <c r="AN66" i="24"/>
  <c r="AP66" i="7"/>
  <c r="EW66" i="7"/>
  <c r="CO66" i="7"/>
  <c r="AM66" i="7"/>
  <c r="EP66" i="7"/>
  <c r="AO66" i="7"/>
  <c r="BE66" i="7"/>
  <c r="BK66" i="7"/>
  <c r="BM66" i="7"/>
  <c r="BO66" i="7"/>
  <c r="FO66" i="7"/>
  <c r="AM66" i="24"/>
  <c r="EF66" i="24"/>
  <c r="BP66" i="7"/>
  <c r="BU66" i="7"/>
  <c r="AJ66" i="24"/>
  <c r="BF66" i="7"/>
  <c r="CN66" i="7"/>
  <c r="DM66" i="7"/>
  <c r="AL66" i="7"/>
  <c r="AK66" i="7"/>
  <c r="BH66" i="7"/>
  <c r="FV66" i="7"/>
  <c r="BD66" i="7"/>
  <c r="FN66" i="7"/>
  <c r="AL66" i="24"/>
  <c r="AN66" i="7"/>
  <c r="DB66" i="7"/>
  <c r="BL66" i="7"/>
  <c r="EG66" i="7"/>
  <c r="BM65" i="7"/>
  <c r="BO65" i="7"/>
  <c r="X65" i="7"/>
  <c r="DH65" i="24"/>
  <c r="FT65" i="24"/>
  <c r="AL65" i="7"/>
  <c r="DK67" i="24"/>
  <c r="DL67" i="24" s="1"/>
  <c r="CS67" i="24"/>
  <c r="CT67" i="24" s="1"/>
  <c r="CW67" i="24" s="1"/>
  <c r="AY69" i="7"/>
  <c r="R69" i="7"/>
  <c r="AX70" i="7"/>
  <c r="BC69" i="7"/>
  <c r="Q69" i="7"/>
  <c r="FC70" i="24"/>
  <c r="FE70" i="24"/>
  <c r="FD70" i="24"/>
  <c r="EK72" i="24"/>
  <c r="E72" i="24"/>
  <c r="EL72" i="24"/>
  <c r="AZ72" i="24"/>
  <c r="AW73" i="24"/>
  <c r="EC72" i="24"/>
  <c r="BO65" i="24"/>
  <c r="BT65" i="7"/>
  <c r="DH70" i="7"/>
  <c r="FT70" i="7"/>
  <c r="BM70" i="24"/>
  <c r="BO70" i="24"/>
  <c r="FY65" i="7"/>
  <c r="U65" i="27"/>
  <c r="BI65" i="7"/>
  <c r="FS70" i="24"/>
  <c r="AR70" i="7"/>
  <c r="BG70" i="7"/>
  <c r="FZ65" i="7"/>
  <c r="V65" i="27"/>
  <c r="HM80" i="7"/>
  <c r="HL79" i="7"/>
  <c r="HL81" i="24"/>
  <c r="HM82" i="24"/>
  <c r="BM66" i="24"/>
  <c r="BV72" i="24"/>
  <c r="BF72" i="24"/>
  <c r="DT72" i="24"/>
  <c r="AQ72" i="24"/>
  <c r="AK72" i="24"/>
  <c r="FV72" i="24"/>
  <c r="BB72" i="24"/>
  <c r="BE72" i="24"/>
  <c r="GA72" i="24"/>
  <c r="BJ72" i="32"/>
  <c r="AP72" i="24"/>
  <c r="AM72" i="24"/>
  <c r="BP72" i="24"/>
  <c r="BU72" i="24"/>
  <c r="DB72" i="24"/>
  <c r="AJ72" i="7"/>
  <c r="CN72" i="24"/>
  <c r="X72" i="24"/>
  <c r="BK72" i="24"/>
  <c r="AL72" i="24"/>
  <c r="AN72" i="24"/>
  <c r="BL72" i="24"/>
  <c r="AO72" i="24"/>
  <c r="CO72" i="24"/>
  <c r="FW72" i="24"/>
  <c r="AS72" i="24"/>
  <c r="AT72" i="24"/>
  <c r="BD72" i="24"/>
  <c r="FZ72" i="24"/>
  <c r="BI72" i="32"/>
  <c r="EG72" i="24"/>
  <c r="DY72" i="24"/>
  <c r="DM72" i="24"/>
  <c r="EP72" i="24"/>
  <c r="CE72" i="24"/>
  <c r="EW72" i="24"/>
  <c r="BT66" i="7"/>
  <c r="Q68" i="24"/>
  <c r="AX69" i="24"/>
  <c r="R68" i="24"/>
  <c r="BC68" i="24"/>
  <c r="AY68" i="24"/>
  <c r="BH68" i="24"/>
  <c r="FW68" i="24"/>
  <c r="BK68" i="24"/>
  <c r="BL68" i="24"/>
  <c r="FV68" i="24"/>
  <c r="CG68" i="24"/>
  <c r="FX69" i="24"/>
  <c r="AV70" i="24"/>
  <c r="D69" i="24"/>
  <c r="BT71" i="24"/>
  <c r="GA71" i="24"/>
  <c r="BJ71" i="32"/>
  <c r="X66" i="7"/>
  <c r="HK84" i="24"/>
  <c r="HJ85" i="24"/>
  <c r="GJ68" i="24"/>
  <c r="BS68" i="32"/>
  <c r="BG68" i="32"/>
  <c r="CF66" i="7"/>
  <c r="HM83" i="24"/>
  <c r="HL82" i="24"/>
  <c r="AI72" i="7"/>
  <c r="DH72" i="7"/>
  <c r="FT72" i="7"/>
  <c r="CX72" i="24"/>
  <c r="DD72" i="24"/>
  <c r="R70" i="7"/>
  <c r="BC70" i="7"/>
  <c r="AX71" i="7"/>
  <c r="Q70" i="7"/>
  <c r="AY70" i="7"/>
  <c r="FS66" i="7"/>
  <c r="AR66" i="24"/>
  <c r="BG66" i="24"/>
  <c r="AL67" i="7"/>
  <c r="AP67" i="7"/>
  <c r="AK67" i="7"/>
  <c r="BH67" i="7"/>
  <c r="DM67" i="7"/>
  <c r="AM67" i="7"/>
  <c r="DB67" i="7"/>
  <c r="BK67" i="7"/>
  <c r="BD67" i="7"/>
  <c r="FZ67" i="7"/>
  <c r="V67" i="27"/>
  <c r="FQ67" i="7"/>
  <c r="AO67" i="24"/>
  <c r="CO67" i="7"/>
  <c r="BB67" i="7"/>
  <c r="AJ67" i="24"/>
  <c r="CE67" i="7"/>
  <c r="FN67" i="7"/>
  <c r="AL67" i="24"/>
  <c r="BF67" i="7"/>
  <c r="AO67" i="7"/>
  <c r="FW67" i="7"/>
  <c r="FV67" i="7"/>
  <c r="AN67" i="7"/>
  <c r="EG67" i="7"/>
  <c r="EP67" i="7"/>
  <c r="FR67" i="7"/>
  <c r="AP67" i="24"/>
  <c r="DT67" i="7"/>
  <c r="BL67" i="7"/>
  <c r="CN67" i="7"/>
  <c r="X67" i="7"/>
  <c r="BE67" i="7"/>
  <c r="GA67" i="7"/>
  <c r="EW67" i="7"/>
  <c r="DY67" i="7"/>
  <c r="BV67" i="7"/>
  <c r="FP67" i="7"/>
  <c r="AN67" i="24"/>
  <c r="BP67" i="7"/>
  <c r="BU67" i="7"/>
  <c r="FO67" i="7"/>
  <c r="AM67" i="24"/>
  <c r="EF67" i="24"/>
  <c r="S69" i="7"/>
  <c r="T69" i="7"/>
  <c r="FY66" i="7"/>
  <c r="U66" i="27"/>
  <c r="BI66" i="7"/>
  <c r="EF71" i="24"/>
  <c r="DC71" i="24"/>
  <c r="DC66" i="7"/>
  <c r="EF66" i="7"/>
  <c r="FS67" i="24"/>
  <c r="AR67" i="7"/>
  <c r="BG67" i="7"/>
  <c r="GB66" i="24"/>
  <c r="BK66" i="32"/>
  <c r="FS66" i="24"/>
  <c r="AR66" i="7"/>
  <c r="BG66" i="7"/>
  <c r="GB66" i="7"/>
  <c r="X66" i="27"/>
  <c r="FX69" i="7"/>
  <c r="D69" i="7"/>
  <c r="AV70" i="7"/>
  <c r="BO66" i="24"/>
  <c r="FZ66" i="7"/>
  <c r="V66" i="27"/>
  <c r="FC66" i="7"/>
  <c r="FD66" i="7"/>
  <c r="FE66" i="7"/>
  <c r="CG66" i="7"/>
  <c r="FC71" i="24"/>
  <c r="FD71" i="24"/>
  <c r="FE71" i="24"/>
  <c r="FS71" i="24"/>
  <c r="AR71" i="7"/>
  <c r="BG71" i="7"/>
  <c r="D68" i="27"/>
  <c r="DK68" i="7"/>
  <c r="DL68" i="7" s="1"/>
  <c r="CS68" i="7"/>
  <c r="CT68" i="7" s="1"/>
  <c r="CW68" i="7" s="1"/>
  <c r="HL80" i="7"/>
  <c r="HM81" i="7"/>
  <c r="FF70" i="24"/>
  <c r="FY67" i="24"/>
  <c r="BH67" i="32"/>
  <c r="FZ68" i="24"/>
  <c r="BI68" i="32"/>
  <c r="BF68" i="24"/>
  <c r="E67" i="27"/>
  <c r="CG67" i="7"/>
  <c r="AI67" i="24"/>
  <c r="DH67" i="24"/>
  <c r="FT67" i="24"/>
  <c r="CX67" i="7"/>
  <c r="DD67" i="7"/>
  <c r="CF67" i="7"/>
  <c r="GJ68" i="7"/>
  <c r="AF68" i="27"/>
  <c r="T68" i="27"/>
  <c r="DH66" i="24"/>
  <c r="FT66" i="24"/>
  <c r="BM71" i="24"/>
  <c r="BO71" i="24"/>
  <c r="BO67" i="24"/>
  <c r="FF65" i="7"/>
  <c r="EL73" i="24"/>
  <c r="AZ73" i="24"/>
  <c r="EK73" i="24"/>
  <c r="AW74" i="24"/>
  <c r="EC73" i="24"/>
  <c r="E73" i="24"/>
  <c r="GA66" i="7"/>
  <c r="S67" i="24"/>
  <c r="CS68" i="24"/>
  <c r="CT68" i="24" s="1"/>
  <c r="CW68" i="24" s="1"/>
  <c r="DK68" i="24"/>
  <c r="DL68" i="24" s="1"/>
  <c r="DH71" i="7"/>
  <c r="FT71" i="7"/>
  <c r="X71" i="24"/>
  <c r="EL68" i="7"/>
  <c r="EC68" i="7"/>
  <c r="E68" i="7"/>
  <c r="AZ68" i="7"/>
  <c r="AW69" i="7"/>
  <c r="EK68" i="7"/>
  <c r="AS68" i="24"/>
  <c r="HK85" i="24"/>
  <c r="HJ86" i="24"/>
  <c r="GJ69" i="24"/>
  <c r="BS69" i="32"/>
  <c r="BG69" i="32"/>
  <c r="AW70" i="7"/>
  <c r="EK69" i="7"/>
  <c r="E69" i="7"/>
  <c r="AZ69" i="7"/>
  <c r="EC69" i="7"/>
  <c r="EL69" i="7"/>
  <c r="DT73" i="24"/>
  <c r="AS73" i="24"/>
  <c r="CO73" i="24"/>
  <c r="BK73" i="24"/>
  <c r="AT73" i="24"/>
  <c r="AK73" i="24"/>
  <c r="AL73" i="24"/>
  <c r="BF73" i="24"/>
  <c r="BD73" i="24"/>
  <c r="BE73" i="24"/>
  <c r="AP73" i="24"/>
  <c r="AO73" i="24"/>
  <c r="AN73" i="24"/>
  <c r="BP73" i="24"/>
  <c r="BU73" i="24"/>
  <c r="AQ73" i="24"/>
  <c r="AJ73" i="7"/>
  <c r="AM73" i="24"/>
  <c r="CN73" i="24"/>
  <c r="BV73" i="24"/>
  <c r="BL73" i="24"/>
  <c r="FW73" i="24"/>
  <c r="BB73" i="24"/>
  <c r="DB73" i="24"/>
  <c r="FV73" i="24"/>
  <c r="DY73" i="24"/>
  <c r="EP73" i="24"/>
  <c r="CE73" i="24"/>
  <c r="EW73" i="24"/>
  <c r="EG73" i="24"/>
  <c r="DM73" i="24"/>
  <c r="FS68" i="24"/>
  <c r="AR68" i="7"/>
  <c r="BG68" i="7"/>
  <c r="FF66" i="7"/>
  <c r="D70" i="7"/>
  <c r="FX70" i="7"/>
  <c r="AV71" i="7"/>
  <c r="FY68" i="24"/>
  <c r="BH68" i="32"/>
  <c r="BT72" i="24"/>
  <c r="FS72" i="24"/>
  <c r="AR72" i="7"/>
  <c r="BG72" i="7"/>
  <c r="FS67" i="7"/>
  <c r="AR67" i="24"/>
  <c r="BG67" i="24"/>
  <c r="GB67" i="24"/>
  <c r="BK67" i="32"/>
  <c r="GB67" i="7"/>
  <c r="X67" i="27"/>
  <c r="BM67" i="7"/>
  <c r="BO67" i="7"/>
  <c r="S70" i="7"/>
  <c r="T70" i="7"/>
  <c r="S68" i="24"/>
  <c r="GJ69" i="7"/>
  <c r="AF69" i="27"/>
  <c r="T69" i="27"/>
  <c r="HM84" i="24"/>
  <c r="HL83" i="24"/>
  <c r="AY69" i="24"/>
  <c r="BC69" i="24"/>
  <c r="R69" i="24"/>
  <c r="AX70" i="24"/>
  <c r="Q69" i="24"/>
  <c r="BH69" i="24"/>
  <c r="FW69" i="24"/>
  <c r="BK69" i="24"/>
  <c r="BL69" i="24"/>
  <c r="CG69" i="24"/>
  <c r="FV69" i="24"/>
  <c r="AI68" i="24"/>
  <c r="E68" i="27"/>
  <c r="DD68" i="7"/>
  <c r="CF68" i="7"/>
  <c r="CX68" i="7"/>
  <c r="FF71" i="24"/>
  <c r="AT69" i="24"/>
  <c r="BD69" i="24"/>
  <c r="BM68" i="24"/>
  <c r="BM72" i="24"/>
  <c r="BO72" i="24"/>
  <c r="AM68" i="7"/>
  <c r="FQ68" i="7"/>
  <c r="AO68" i="24"/>
  <c r="BF68" i="7"/>
  <c r="DY68" i="7"/>
  <c r="BD68" i="7"/>
  <c r="FZ68" i="7"/>
  <c r="V68" i="27"/>
  <c r="BV68" i="7"/>
  <c r="AK68" i="7"/>
  <c r="BH68" i="7"/>
  <c r="FO68" i="7"/>
  <c r="AM68" i="24"/>
  <c r="EF68" i="24"/>
  <c r="FW68" i="7"/>
  <c r="DB68" i="7"/>
  <c r="BK68" i="7"/>
  <c r="FV68" i="7"/>
  <c r="AL68" i="7"/>
  <c r="EG68" i="7"/>
  <c r="EP68" i="7"/>
  <c r="CN68" i="7"/>
  <c r="X68" i="7"/>
  <c r="CO68" i="7"/>
  <c r="AN68" i="7"/>
  <c r="BE68" i="7"/>
  <c r="GA68" i="7"/>
  <c r="DM68" i="7"/>
  <c r="FN68" i="7"/>
  <c r="AL68" i="24"/>
  <c r="AO68" i="7"/>
  <c r="CE68" i="7"/>
  <c r="BL68" i="7"/>
  <c r="FP68" i="7"/>
  <c r="AN68" i="24"/>
  <c r="EW68" i="7"/>
  <c r="FR68" i="7"/>
  <c r="AP68" i="24"/>
  <c r="AP68" i="7"/>
  <c r="BP68" i="7"/>
  <c r="BU68" i="7"/>
  <c r="AJ68" i="24"/>
  <c r="BB68" i="7"/>
  <c r="DT68" i="7"/>
  <c r="AI73" i="7"/>
  <c r="DH73" i="7"/>
  <c r="FT73" i="7"/>
  <c r="DD73" i="24"/>
  <c r="CX73" i="24"/>
  <c r="EF67" i="7"/>
  <c r="DC67" i="7"/>
  <c r="HM82" i="7"/>
  <c r="HL81" i="7"/>
  <c r="BT67" i="7"/>
  <c r="AQ69" i="24"/>
  <c r="FE67" i="7"/>
  <c r="FD67" i="7"/>
  <c r="FC67" i="7"/>
  <c r="FY67" i="7"/>
  <c r="U67" i="27"/>
  <c r="BI67" i="7"/>
  <c r="CS69" i="24"/>
  <c r="CT69" i="24" s="1"/>
  <c r="CW69" i="24" s="1"/>
  <c r="DK69" i="24"/>
  <c r="DL69" i="24" s="1"/>
  <c r="FE72" i="24"/>
  <c r="FC72" i="24"/>
  <c r="FD72" i="24"/>
  <c r="DK69" i="7"/>
  <c r="DL69" i="7" s="1"/>
  <c r="D69" i="27"/>
  <c r="CS69" i="7"/>
  <c r="CT69" i="7" s="1"/>
  <c r="CW69" i="7" s="1"/>
  <c r="AZ74" i="24"/>
  <c r="EK74" i="24"/>
  <c r="E74" i="24"/>
  <c r="EC74" i="24"/>
  <c r="EL74" i="24"/>
  <c r="AW75" i="24"/>
  <c r="AX72" i="7"/>
  <c r="BC71" i="7"/>
  <c r="R71" i="7"/>
  <c r="AY71" i="7"/>
  <c r="Q71" i="7"/>
  <c r="DC72" i="24"/>
  <c r="EF72" i="24"/>
  <c r="AV71" i="24"/>
  <c r="FX70" i="24"/>
  <c r="D70" i="24"/>
  <c r="FZ69" i="24"/>
  <c r="BI69" i="32"/>
  <c r="BF69" i="24"/>
  <c r="DC68" i="7"/>
  <c r="EF68" i="7"/>
  <c r="R70" i="24"/>
  <c r="AX71" i="24"/>
  <c r="Q70" i="24"/>
  <c r="BH70" i="24"/>
  <c r="BC70" i="24"/>
  <c r="AY70" i="24"/>
  <c r="FW70" i="24"/>
  <c r="CG70" i="24"/>
  <c r="FC73" i="24"/>
  <c r="FE73" i="24"/>
  <c r="FD73" i="24"/>
  <c r="BM73" i="24"/>
  <c r="BO73" i="24"/>
  <c r="FF72" i="24"/>
  <c r="S69" i="24"/>
  <c r="BF69" i="7"/>
  <c r="FO69" i="7"/>
  <c r="AM69" i="24"/>
  <c r="EF69" i="24"/>
  <c r="AN69" i="7"/>
  <c r="CO69" i="7"/>
  <c r="BK69" i="7"/>
  <c r="BM69" i="7"/>
  <c r="BO69" i="7"/>
  <c r="DY69" i="7"/>
  <c r="FR69" i="7"/>
  <c r="AP69" i="24"/>
  <c r="FP69" i="7"/>
  <c r="AN69" i="24"/>
  <c r="FV69" i="7"/>
  <c r="BB69" i="7"/>
  <c r="DB69" i="7"/>
  <c r="FQ69" i="7"/>
  <c r="AO69" i="24"/>
  <c r="CN69" i="7"/>
  <c r="X69" i="7"/>
  <c r="BV69" i="7"/>
  <c r="DT69" i="7"/>
  <c r="AO69" i="7"/>
  <c r="CE69" i="7"/>
  <c r="DM69" i="7"/>
  <c r="AM69" i="7"/>
  <c r="BD69" i="7"/>
  <c r="AK69" i="7"/>
  <c r="BH69" i="7"/>
  <c r="BL69" i="7"/>
  <c r="FN69" i="7"/>
  <c r="AL69" i="24"/>
  <c r="AL69" i="7"/>
  <c r="EG69" i="7"/>
  <c r="FW69" i="7"/>
  <c r="BE69" i="7"/>
  <c r="AP69" i="7"/>
  <c r="EW69" i="7"/>
  <c r="EP69" i="7"/>
  <c r="AJ69" i="24"/>
  <c r="BP69" i="7"/>
  <c r="BU69" i="7"/>
  <c r="FY68" i="7"/>
  <c r="U68" i="27"/>
  <c r="BI68" i="7"/>
  <c r="FY69" i="24"/>
  <c r="BH69" i="32"/>
  <c r="X73" i="24"/>
  <c r="GA73" i="24"/>
  <c r="BJ73" i="32"/>
  <c r="AI69" i="24"/>
  <c r="E69" i="27"/>
  <c r="CX69" i="7"/>
  <c r="DD69" i="7"/>
  <c r="CF69" i="7"/>
  <c r="BG70" i="32"/>
  <c r="GJ70" i="24"/>
  <c r="BS70" i="32"/>
  <c r="HL82" i="7"/>
  <c r="HM83" i="7"/>
  <c r="FF67" i="7"/>
  <c r="BM69" i="24"/>
  <c r="FX71" i="7"/>
  <c r="D71" i="7"/>
  <c r="AV72" i="7"/>
  <c r="FZ73" i="24"/>
  <c r="BI73" i="32"/>
  <c r="HJ87" i="24"/>
  <c r="HK86" i="24"/>
  <c r="AI74" i="7"/>
  <c r="CX74" i="24"/>
  <c r="DD74" i="24"/>
  <c r="DC73" i="24"/>
  <c r="EF73" i="24"/>
  <c r="DH68" i="24"/>
  <c r="FT68" i="24"/>
  <c r="T70" i="27"/>
  <c r="GJ70" i="7"/>
  <c r="AF70" i="27"/>
  <c r="FS73" i="24"/>
  <c r="AR73" i="7"/>
  <c r="BG73" i="7"/>
  <c r="AZ70" i="7"/>
  <c r="AW71" i="7"/>
  <c r="EK70" i="7"/>
  <c r="EC70" i="7"/>
  <c r="E70" i="7"/>
  <c r="EL70" i="7"/>
  <c r="AM74" i="24"/>
  <c r="BL74" i="24"/>
  <c r="BF74" i="24"/>
  <c r="AL74" i="24"/>
  <c r="FV74" i="24"/>
  <c r="AT74" i="24"/>
  <c r="AQ74" i="24"/>
  <c r="BE74" i="24"/>
  <c r="BD74" i="24"/>
  <c r="FZ74" i="24"/>
  <c r="BI74" i="32"/>
  <c r="BK74" i="24"/>
  <c r="BM74" i="24"/>
  <c r="BO74" i="24"/>
  <c r="DB74" i="24"/>
  <c r="FW74" i="24"/>
  <c r="AP74" i="24"/>
  <c r="AJ74" i="7"/>
  <c r="AK74" i="24"/>
  <c r="AO74" i="24"/>
  <c r="BP74" i="24"/>
  <c r="BU74" i="24"/>
  <c r="AN74" i="24"/>
  <c r="AS74" i="24"/>
  <c r="BB74" i="24"/>
  <c r="BV74" i="24"/>
  <c r="DT74" i="24"/>
  <c r="CO74" i="24"/>
  <c r="CN74" i="24"/>
  <c r="CE74" i="24"/>
  <c r="EG74" i="24"/>
  <c r="DM74" i="24"/>
  <c r="DY74" i="24"/>
  <c r="EP74" i="24"/>
  <c r="EW74" i="24"/>
  <c r="EC75" i="24"/>
  <c r="AZ75" i="24"/>
  <c r="EL75" i="24"/>
  <c r="AW76" i="24"/>
  <c r="E75" i="24"/>
  <c r="EK75" i="24"/>
  <c r="BT68" i="7"/>
  <c r="CG68" i="7"/>
  <c r="HL84" i="24"/>
  <c r="HM85" i="24"/>
  <c r="D70" i="27"/>
  <c r="DK70" i="7"/>
  <c r="DL70" i="7" s="1"/>
  <c r="CS70" i="7"/>
  <c r="CT70" i="7" s="1"/>
  <c r="CW70" i="7" s="1"/>
  <c r="Q72" i="7"/>
  <c r="R72" i="7"/>
  <c r="AY72" i="7"/>
  <c r="BC72" i="7"/>
  <c r="AX73" i="7"/>
  <c r="BM68" i="7"/>
  <c r="BO68" i="7"/>
  <c r="FS68" i="7"/>
  <c r="AR68" i="24"/>
  <c r="BG68" i="24"/>
  <c r="GB68" i="24"/>
  <c r="BK68" i="32"/>
  <c r="GB68" i="7"/>
  <c r="BT73" i="24"/>
  <c r="AS69" i="24"/>
  <c r="AV72" i="24"/>
  <c r="FX71" i="24"/>
  <c r="D71" i="24"/>
  <c r="CS70" i="24"/>
  <c r="CT70" i="24" s="1"/>
  <c r="CW70" i="24" s="1"/>
  <c r="DK70" i="24"/>
  <c r="DL70" i="24" s="1"/>
  <c r="T71" i="7"/>
  <c r="S71" i="7"/>
  <c r="FC68" i="7"/>
  <c r="FD68" i="7"/>
  <c r="FE68" i="7"/>
  <c r="BO68" i="24"/>
  <c r="X68" i="27"/>
  <c r="T72" i="7"/>
  <c r="S72" i="7"/>
  <c r="EL76" i="24"/>
  <c r="EC76" i="24"/>
  <c r="E76" i="24"/>
  <c r="AZ76" i="24"/>
  <c r="EK76" i="24"/>
  <c r="AW77" i="24"/>
  <c r="FE74" i="24"/>
  <c r="FC74" i="24"/>
  <c r="FD74" i="24"/>
  <c r="HJ88" i="24"/>
  <c r="HK87" i="24"/>
  <c r="BO69" i="24"/>
  <c r="BT69" i="7"/>
  <c r="FY69" i="7"/>
  <c r="U69" i="27"/>
  <c r="Q73" i="7"/>
  <c r="BC73" i="7"/>
  <c r="R73" i="7"/>
  <c r="AY73" i="7"/>
  <c r="AX74" i="7"/>
  <c r="FS69" i="7"/>
  <c r="AR69" i="24"/>
  <c r="BG69" i="24"/>
  <c r="FY70" i="24"/>
  <c r="BH70" i="32"/>
  <c r="GB69" i="24"/>
  <c r="BK69" i="32"/>
  <c r="FS69" i="24"/>
  <c r="AR69" i="7"/>
  <c r="BG69" i="7"/>
  <c r="BI69" i="7"/>
  <c r="CS71" i="24"/>
  <c r="CT71" i="24" s="1"/>
  <c r="CW71" i="24" s="1"/>
  <c r="DK71" i="24"/>
  <c r="DL71" i="24" s="1"/>
  <c r="DB75" i="24"/>
  <c r="BL75" i="24"/>
  <c r="BF75" i="24"/>
  <c r="CO75" i="24"/>
  <c r="BV75" i="24"/>
  <c r="AJ75" i="7"/>
  <c r="AM75" i="24"/>
  <c r="AP75" i="24"/>
  <c r="AQ75" i="24"/>
  <c r="BK75" i="24"/>
  <c r="BM75" i="24"/>
  <c r="BO75" i="24"/>
  <c r="AT75" i="24"/>
  <c r="BD75" i="24"/>
  <c r="FZ75" i="24"/>
  <c r="BI75" i="32"/>
  <c r="AN75" i="24"/>
  <c r="BP75" i="24"/>
  <c r="BU75" i="24"/>
  <c r="FW75" i="24"/>
  <c r="AO75" i="24"/>
  <c r="DT75" i="24"/>
  <c r="AL75" i="24"/>
  <c r="AK75" i="24"/>
  <c r="BE75" i="24"/>
  <c r="AS75" i="24"/>
  <c r="BB75" i="24"/>
  <c r="FV75" i="24"/>
  <c r="DY75" i="24"/>
  <c r="EP75" i="24"/>
  <c r="CE75" i="24"/>
  <c r="EW75" i="24"/>
  <c r="EG75" i="24"/>
  <c r="CN75" i="24"/>
  <c r="X75" i="24"/>
  <c r="DM75" i="24"/>
  <c r="AZ71" i="7"/>
  <c r="EL71" i="7"/>
  <c r="EC71" i="7"/>
  <c r="E71" i="7"/>
  <c r="AW72" i="7"/>
  <c r="EK71" i="7"/>
  <c r="BT74" i="24"/>
  <c r="FS74" i="24"/>
  <c r="AR74" i="7"/>
  <c r="BG74" i="7"/>
  <c r="CN70" i="7"/>
  <c r="AO70" i="7"/>
  <c r="FQ70" i="7"/>
  <c r="AO70" i="24"/>
  <c r="DB70" i="7"/>
  <c r="AK70" i="7"/>
  <c r="BH70" i="7"/>
  <c r="DY70" i="7"/>
  <c r="CE70" i="7"/>
  <c r="FV70" i="7"/>
  <c r="BD70" i="7"/>
  <c r="FZ70" i="7"/>
  <c r="V70" i="27"/>
  <c r="FW70" i="7"/>
  <c r="EP70" i="7"/>
  <c r="AP70" i="7"/>
  <c r="BP70" i="7"/>
  <c r="BU70" i="7"/>
  <c r="AM70" i="7"/>
  <c r="AL70" i="7"/>
  <c r="EW70" i="7"/>
  <c r="FR70" i="7"/>
  <c r="AP70" i="24"/>
  <c r="EG70" i="7"/>
  <c r="BV70" i="7"/>
  <c r="BL70" i="7"/>
  <c r="AN70" i="7"/>
  <c r="BB70" i="7"/>
  <c r="BF70" i="7"/>
  <c r="DM70" i="7"/>
  <c r="DT70" i="7"/>
  <c r="FO70" i="7"/>
  <c r="AM70" i="24"/>
  <c r="EF70" i="24"/>
  <c r="BK70" i="7"/>
  <c r="BM70" i="7"/>
  <c r="BO70" i="7"/>
  <c r="CO70" i="7"/>
  <c r="BE70" i="7"/>
  <c r="GA70" i="7"/>
  <c r="W70" i="27"/>
  <c r="FN70" i="7"/>
  <c r="AL70" i="24"/>
  <c r="FP70" i="7"/>
  <c r="AN70" i="24"/>
  <c r="AJ70" i="24"/>
  <c r="HL83" i="7"/>
  <c r="HM84" i="7"/>
  <c r="FF68" i="7"/>
  <c r="DC74" i="24"/>
  <c r="EF74" i="24"/>
  <c r="AV73" i="7"/>
  <c r="FX72" i="7"/>
  <c r="D72" i="7"/>
  <c r="DC69" i="7"/>
  <c r="EF69" i="7"/>
  <c r="FF73" i="24"/>
  <c r="AX72" i="24"/>
  <c r="Q71" i="24"/>
  <c r="R71" i="24"/>
  <c r="BC71" i="24"/>
  <c r="BH71" i="24"/>
  <c r="AY71" i="24"/>
  <c r="CF71" i="24"/>
  <c r="CG71" i="24"/>
  <c r="FD69" i="7"/>
  <c r="FC69" i="7"/>
  <c r="FE69" i="7"/>
  <c r="DK71" i="7"/>
  <c r="DL71" i="7" s="1"/>
  <c r="D71" i="27"/>
  <c r="CS71" i="7"/>
  <c r="CT71" i="7" s="1"/>
  <c r="CW71" i="7" s="1"/>
  <c r="S70" i="24"/>
  <c r="HL85" i="24"/>
  <c r="HM86" i="24"/>
  <c r="X74" i="24"/>
  <c r="GA74" i="24"/>
  <c r="BJ74" i="32"/>
  <c r="DH74" i="7"/>
  <c r="FT74" i="7"/>
  <c r="GJ71" i="7"/>
  <c r="AF71" i="27"/>
  <c r="T71" i="27"/>
  <c r="CG69" i="7"/>
  <c r="FZ69" i="7"/>
  <c r="V69" i="27"/>
  <c r="BG71" i="32"/>
  <c r="GJ71" i="24"/>
  <c r="BS71" i="32"/>
  <c r="AV73" i="24"/>
  <c r="D72" i="24"/>
  <c r="FX72" i="24"/>
  <c r="AI75" i="7"/>
  <c r="DH75" i="7"/>
  <c r="FT75" i="7"/>
  <c r="DD75" i="24"/>
  <c r="CX75" i="24"/>
  <c r="AI70" i="24"/>
  <c r="DH70" i="24"/>
  <c r="FT70" i="24"/>
  <c r="CG70" i="7"/>
  <c r="E70" i="27"/>
  <c r="CF70" i="7"/>
  <c r="CX70" i="7"/>
  <c r="DD70" i="7"/>
  <c r="DH69" i="24"/>
  <c r="FT69" i="24"/>
  <c r="GA69" i="7"/>
  <c r="FY71" i="24"/>
  <c r="BH71" i="32"/>
  <c r="FY70" i="7"/>
  <c r="U70" i="27"/>
  <c r="BI70" i="7"/>
  <c r="EC72" i="7"/>
  <c r="EK72" i="7"/>
  <c r="E72" i="7"/>
  <c r="AZ72" i="7"/>
  <c r="EL72" i="7"/>
  <c r="AW73" i="7"/>
  <c r="FE75" i="24"/>
  <c r="FC75" i="24"/>
  <c r="FD75" i="24"/>
  <c r="FS75" i="24"/>
  <c r="AR75" i="7"/>
  <c r="BG75" i="7"/>
  <c r="R74" i="7"/>
  <c r="AX75" i="7"/>
  <c r="BC74" i="7"/>
  <c r="AY74" i="7"/>
  <c r="Q74" i="7"/>
  <c r="AT76" i="24"/>
  <c r="FV76" i="24"/>
  <c r="CN76" i="24"/>
  <c r="X76" i="24"/>
  <c r="BD76" i="24"/>
  <c r="FZ76" i="24"/>
  <c r="BI76" i="32"/>
  <c r="BL76" i="24"/>
  <c r="AM76" i="24"/>
  <c r="FW76" i="24"/>
  <c r="BV76" i="24"/>
  <c r="AP76" i="24"/>
  <c r="AS76" i="24"/>
  <c r="BP76" i="24"/>
  <c r="BU76" i="24"/>
  <c r="BE76" i="24"/>
  <c r="GA76" i="24"/>
  <c r="BJ76" i="32"/>
  <c r="CO76" i="24"/>
  <c r="AO76" i="24"/>
  <c r="AL76" i="24"/>
  <c r="BB76" i="24"/>
  <c r="DT76" i="24"/>
  <c r="AJ76" i="7"/>
  <c r="BK76" i="24"/>
  <c r="BM76" i="24"/>
  <c r="BO76" i="24"/>
  <c r="AK76" i="24"/>
  <c r="DB76" i="24"/>
  <c r="BF76" i="24"/>
  <c r="AN76" i="24"/>
  <c r="CE76" i="24"/>
  <c r="EG76" i="24"/>
  <c r="AQ76" i="24"/>
  <c r="DY76" i="24"/>
  <c r="DM76" i="24"/>
  <c r="EP76" i="24"/>
  <c r="EW76" i="24"/>
  <c r="AI71" i="24"/>
  <c r="DH71" i="24"/>
  <c r="FT71" i="24"/>
  <c r="E71" i="27"/>
  <c r="CX71" i="7"/>
  <c r="DD71" i="7"/>
  <c r="GB69" i="7"/>
  <c r="X69" i="27"/>
  <c r="HJ89" i="24"/>
  <c r="HK88" i="24"/>
  <c r="AI76" i="7"/>
  <c r="CX76" i="24"/>
  <c r="DD76" i="24"/>
  <c r="DK72" i="24"/>
  <c r="DL72" i="24" s="1"/>
  <c r="CS72" i="24"/>
  <c r="CT72" i="24" s="1"/>
  <c r="CW72" i="24" s="1"/>
  <c r="T72" i="27"/>
  <c r="GJ72" i="7"/>
  <c r="AF72" i="27"/>
  <c r="S73" i="7"/>
  <c r="T73" i="7"/>
  <c r="HL86" i="24"/>
  <c r="HM87" i="24"/>
  <c r="Q72" i="24"/>
  <c r="R72" i="24"/>
  <c r="AY72" i="24"/>
  <c r="BH72" i="24"/>
  <c r="BC72" i="24"/>
  <c r="AX73" i="24"/>
  <c r="CF72" i="24"/>
  <c r="CG72" i="24"/>
  <c r="FX73" i="7"/>
  <c r="AV74" i="7"/>
  <c r="D73" i="7"/>
  <c r="GJ72" i="24"/>
  <c r="BS72" i="32"/>
  <c r="BG72" i="32"/>
  <c r="D73" i="24"/>
  <c r="FX73" i="24"/>
  <c r="AV74" i="24"/>
  <c r="BD71" i="7"/>
  <c r="CO71" i="7"/>
  <c r="FW71" i="7"/>
  <c r="BL71" i="7"/>
  <c r="AP71" i="7"/>
  <c r="BB71" i="7"/>
  <c r="CG71" i="7"/>
  <c r="DM71" i="7"/>
  <c r="FN71" i="7"/>
  <c r="DY71" i="7"/>
  <c r="AJ71" i="24"/>
  <c r="CE71" i="7"/>
  <c r="CF71" i="7"/>
  <c r="AO71" i="7"/>
  <c r="CN71" i="7"/>
  <c r="AN71" i="7"/>
  <c r="BF71" i="7"/>
  <c r="FQ71" i="7"/>
  <c r="BK71" i="7"/>
  <c r="DT71" i="7"/>
  <c r="EP71" i="7"/>
  <c r="AM71" i="7"/>
  <c r="FP71" i="7"/>
  <c r="FR71" i="7"/>
  <c r="AK71" i="7"/>
  <c r="BH71" i="7"/>
  <c r="FO71" i="7"/>
  <c r="EW71" i="7"/>
  <c r="BE71" i="7"/>
  <c r="BP71" i="7"/>
  <c r="BU71" i="7"/>
  <c r="FV71" i="7"/>
  <c r="DB71" i="7"/>
  <c r="BV71" i="7"/>
  <c r="EG71" i="7"/>
  <c r="AL71" i="7"/>
  <c r="DC70" i="7"/>
  <c r="EF70" i="7"/>
  <c r="DC75" i="24"/>
  <c r="EF75" i="24"/>
  <c r="X70" i="7"/>
  <c r="H70" i="27"/>
  <c r="BT75" i="24"/>
  <c r="FF74" i="24"/>
  <c r="S71" i="24"/>
  <c r="D72" i="27"/>
  <c r="CS72" i="7"/>
  <c r="CT72" i="7" s="1"/>
  <c r="CW72" i="7" s="1"/>
  <c r="DK72" i="7"/>
  <c r="DL72" i="7" s="1"/>
  <c r="HM85" i="7"/>
  <c r="HL84" i="7"/>
  <c r="BT70" i="7"/>
  <c r="FC70" i="7"/>
  <c r="FD70" i="7"/>
  <c r="FE70" i="7"/>
  <c r="EK77" i="24"/>
  <c r="E77" i="24"/>
  <c r="AZ77" i="24"/>
  <c r="AW78" i="24"/>
  <c r="EL77" i="24"/>
  <c r="EC77" i="24"/>
  <c r="FF69" i="7"/>
  <c r="FS70" i="7"/>
  <c r="AR70" i="24"/>
  <c r="BG70" i="24"/>
  <c r="GB70" i="7"/>
  <c r="GA75" i="24"/>
  <c r="BJ75" i="32"/>
  <c r="GB70" i="24"/>
  <c r="BK70" i="32"/>
  <c r="BI70" i="24"/>
  <c r="AI77" i="7"/>
  <c r="DD77" i="24"/>
  <c r="CX77" i="24"/>
  <c r="BT76" i="24"/>
  <c r="AX76" i="7"/>
  <c r="Q75" i="7"/>
  <c r="BC75" i="7"/>
  <c r="AY75" i="7"/>
  <c r="R75" i="7"/>
  <c r="FS71" i="7"/>
  <c r="AR71" i="24"/>
  <c r="BG71" i="24"/>
  <c r="GB71" i="7"/>
  <c r="HM88" i="24"/>
  <c r="HL87" i="24"/>
  <c r="DC76" i="24"/>
  <c r="EF76" i="24"/>
  <c r="S74" i="7"/>
  <c r="T74" i="7"/>
  <c r="BV72" i="7"/>
  <c r="BE72" i="7"/>
  <c r="DM72" i="7"/>
  <c r="AO72" i="7"/>
  <c r="FV72" i="7"/>
  <c r="FW72" i="7"/>
  <c r="FP72" i="7"/>
  <c r="FR72" i="7"/>
  <c r="DY72" i="7"/>
  <c r="AP72" i="7"/>
  <c r="AJ72" i="24"/>
  <c r="DB72" i="7"/>
  <c r="EG72" i="7"/>
  <c r="CO72" i="7"/>
  <c r="BK72" i="7"/>
  <c r="AM72" i="7"/>
  <c r="FO72" i="7"/>
  <c r="DT72" i="7"/>
  <c r="BD72" i="7"/>
  <c r="FZ72" i="7"/>
  <c r="V72" i="27"/>
  <c r="AN72" i="7"/>
  <c r="AL72" i="7"/>
  <c r="CE72" i="7"/>
  <c r="EP72" i="7"/>
  <c r="BF72" i="7"/>
  <c r="FQ72" i="7"/>
  <c r="CN72" i="7"/>
  <c r="X72" i="7"/>
  <c r="H72" i="27"/>
  <c r="BP72" i="7"/>
  <c r="BU72" i="7"/>
  <c r="FN72" i="7"/>
  <c r="BB72" i="7"/>
  <c r="BL72" i="7"/>
  <c r="AK72" i="7"/>
  <c r="BH72" i="7"/>
  <c r="EW72" i="7"/>
  <c r="BT71" i="7"/>
  <c r="HM86" i="7"/>
  <c r="HL85" i="7"/>
  <c r="FY71" i="7"/>
  <c r="U71" i="27"/>
  <c r="BI71" i="7"/>
  <c r="AI72" i="24"/>
  <c r="E72" i="27"/>
  <c r="CX72" i="7"/>
  <c r="DD72" i="7"/>
  <c r="CF72" i="7"/>
  <c r="FF70" i="7"/>
  <c r="X71" i="7"/>
  <c r="H71" i="27"/>
  <c r="AY73" i="24"/>
  <c r="R73" i="24"/>
  <c r="Q73" i="24"/>
  <c r="BH73" i="24"/>
  <c r="AX74" i="24"/>
  <c r="BC73" i="24"/>
  <c r="CG73" i="24"/>
  <c r="CF73" i="24"/>
  <c r="DH76" i="7"/>
  <c r="FT76" i="7"/>
  <c r="D73" i="27"/>
  <c r="DK73" i="7"/>
  <c r="DL73" i="7" s="1"/>
  <c r="CS73" i="7"/>
  <c r="CT73" i="7" s="1"/>
  <c r="CW73" i="7" s="1"/>
  <c r="FY72" i="24"/>
  <c r="BH72" i="32"/>
  <c r="FX74" i="24"/>
  <c r="D74" i="24"/>
  <c r="AV75" i="24"/>
  <c r="D74" i="7"/>
  <c r="AV75" i="7"/>
  <c r="FX74" i="7"/>
  <c r="HJ90" i="24"/>
  <c r="HK89" i="24"/>
  <c r="GA71" i="7"/>
  <c r="W71" i="27"/>
  <c r="BG73" i="32"/>
  <c r="GJ73" i="24"/>
  <c r="BS73" i="32"/>
  <c r="GJ73" i="7"/>
  <c r="AF73" i="27"/>
  <c r="T73" i="27"/>
  <c r="DC71" i="7"/>
  <c r="EF71" i="7"/>
  <c r="FD76" i="24"/>
  <c r="FC76" i="24"/>
  <c r="FE76" i="24"/>
  <c r="FS76" i="24"/>
  <c r="AR76" i="7"/>
  <c r="BG76" i="7"/>
  <c r="FF75" i="24"/>
  <c r="E78" i="24"/>
  <c r="EL78" i="24"/>
  <c r="AZ78" i="24"/>
  <c r="AW79" i="24"/>
  <c r="EC78" i="24"/>
  <c r="EK78" i="24"/>
  <c r="X70" i="27"/>
  <c r="BK77" i="24"/>
  <c r="BM77" i="24"/>
  <c r="BO77" i="24"/>
  <c r="AO77" i="24"/>
  <c r="FV77" i="24"/>
  <c r="AN77" i="24"/>
  <c r="BF77" i="24"/>
  <c r="CO77" i="24"/>
  <c r="BL77" i="24"/>
  <c r="FW77" i="24"/>
  <c r="DT77" i="24"/>
  <c r="AS77" i="24"/>
  <c r="DB77" i="24"/>
  <c r="AP77" i="24"/>
  <c r="BE77" i="24"/>
  <c r="GA77" i="24"/>
  <c r="BJ77" i="32"/>
  <c r="BV77" i="24"/>
  <c r="AK77" i="24"/>
  <c r="AT77" i="24"/>
  <c r="BD77" i="24"/>
  <c r="FZ77" i="24"/>
  <c r="BI77" i="32"/>
  <c r="AM77" i="24"/>
  <c r="AJ77" i="7"/>
  <c r="AQ77" i="24"/>
  <c r="DY77" i="24"/>
  <c r="CE77" i="24"/>
  <c r="EP77" i="24"/>
  <c r="CN77" i="24"/>
  <c r="X77" i="24"/>
  <c r="BP77" i="24"/>
  <c r="BU77" i="24"/>
  <c r="EW77" i="24"/>
  <c r="BB77" i="24"/>
  <c r="AL77" i="24"/>
  <c r="EG77" i="24"/>
  <c r="DM77" i="24"/>
  <c r="FC71" i="7"/>
  <c r="FE71" i="7"/>
  <c r="FD71" i="7"/>
  <c r="BM71" i="7"/>
  <c r="BO71" i="7"/>
  <c r="FZ71" i="7"/>
  <c r="V71" i="27"/>
  <c r="CS73" i="24"/>
  <c r="CT73" i="24" s="1"/>
  <c r="CW73" i="24" s="1"/>
  <c r="DK73" i="24"/>
  <c r="DL73" i="24" s="1"/>
  <c r="S72" i="24"/>
  <c r="EC73" i="7"/>
  <c r="E73" i="7"/>
  <c r="AW74" i="7"/>
  <c r="EL73" i="7"/>
  <c r="AZ73" i="7"/>
  <c r="EK73" i="7"/>
  <c r="D74" i="27"/>
  <c r="DK74" i="7"/>
  <c r="DL74" i="7" s="1"/>
  <c r="CS74" i="7"/>
  <c r="FY72" i="7"/>
  <c r="U72" i="27"/>
  <c r="BI72" i="7"/>
  <c r="AW75" i="7"/>
  <c r="EL74" i="7"/>
  <c r="EK74" i="7"/>
  <c r="E74" i="7"/>
  <c r="AZ74" i="7"/>
  <c r="EC74" i="7"/>
  <c r="AV76" i="24"/>
  <c r="D75" i="24"/>
  <c r="FX75" i="24"/>
  <c r="FY73" i="24"/>
  <c r="BH73" i="32"/>
  <c r="DK74" i="24"/>
  <c r="DL74" i="24" s="1"/>
  <c r="CS74" i="24"/>
  <c r="CT74" i="24" s="1"/>
  <c r="CW74" i="24" s="1"/>
  <c r="R74" i="24"/>
  <c r="Q74" i="24"/>
  <c r="AX75" i="24"/>
  <c r="BH74" i="24"/>
  <c r="BC74" i="24"/>
  <c r="AY74" i="24"/>
  <c r="CG74" i="24"/>
  <c r="CF74" i="24"/>
  <c r="EF72" i="7"/>
  <c r="DC72" i="7"/>
  <c r="BT72" i="7"/>
  <c r="AI73" i="24"/>
  <c r="E73" i="27"/>
  <c r="DD73" i="7"/>
  <c r="CX73" i="7"/>
  <c r="BG74" i="32"/>
  <c r="GJ74" i="24"/>
  <c r="BS74" i="32"/>
  <c r="GA72" i="7"/>
  <c r="W72" i="27"/>
  <c r="HM89" i="24"/>
  <c r="HL88" i="24"/>
  <c r="BC76" i="7"/>
  <c r="AX77" i="7"/>
  <c r="Q76" i="7"/>
  <c r="R76" i="7"/>
  <c r="AY76" i="7"/>
  <c r="BT77" i="24"/>
  <c r="FF71" i="7"/>
  <c r="FS77" i="24"/>
  <c r="AR77" i="7"/>
  <c r="BG77" i="7"/>
  <c r="EL79" i="24"/>
  <c r="EC79" i="24"/>
  <c r="AW80" i="24"/>
  <c r="AZ79" i="24"/>
  <c r="E79" i="24"/>
  <c r="EK79" i="24"/>
  <c r="CG72" i="7"/>
  <c r="HM87" i="7"/>
  <c r="HL86" i="7"/>
  <c r="AK78" i="24"/>
  <c r="DB78" i="24"/>
  <c r="BB78" i="24"/>
  <c r="BL78" i="24"/>
  <c r="AL78" i="24"/>
  <c r="BP78" i="24"/>
  <c r="BU78" i="24"/>
  <c r="BV78" i="24"/>
  <c r="AM78" i="24"/>
  <c r="AP78" i="24"/>
  <c r="AQ78" i="24"/>
  <c r="DT78" i="24"/>
  <c r="AO78" i="24"/>
  <c r="FW78" i="24"/>
  <c r="BE78" i="24"/>
  <c r="FV78" i="24"/>
  <c r="AN78" i="24"/>
  <c r="BK78" i="24"/>
  <c r="BM78" i="24"/>
  <c r="BO78" i="24"/>
  <c r="AJ78" i="7"/>
  <c r="CO78" i="24"/>
  <c r="AT78" i="24"/>
  <c r="BD78" i="24"/>
  <c r="FZ78" i="24"/>
  <c r="BI78" i="32"/>
  <c r="BF78" i="24"/>
  <c r="CN78" i="24"/>
  <c r="X78" i="24"/>
  <c r="EG78" i="24"/>
  <c r="DM78" i="24"/>
  <c r="AS78" i="24"/>
  <c r="DY78" i="24"/>
  <c r="EP78" i="24"/>
  <c r="EW78" i="24"/>
  <c r="CE78" i="24"/>
  <c r="FF76" i="24"/>
  <c r="HJ91" i="24"/>
  <c r="HK90" i="24"/>
  <c r="S73" i="24"/>
  <c r="DH72" i="24"/>
  <c r="FT72" i="24"/>
  <c r="FD72" i="7"/>
  <c r="FE72" i="7"/>
  <c r="FC72" i="7"/>
  <c r="FS72" i="7"/>
  <c r="AR72" i="24"/>
  <c r="BG72" i="24"/>
  <c r="GB72" i="7"/>
  <c r="GB71" i="24"/>
  <c r="BK71" i="32"/>
  <c r="BI71" i="24"/>
  <c r="DC77" i="24"/>
  <c r="EF77" i="24"/>
  <c r="T74" i="27"/>
  <c r="GJ74" i="7"/>
  <c r="AF74" i="27"/>
  <c r="BM72" i="7"/>
  <c r="BO72" i="7"/>
  <c r="CE73" i="7"/>
  <c r="AJ73" i="24"/>
  <c r="BD73" i="7"/>
  <c r="FZ73" i="7"/>
  <c r="V73" i="27"/>
  <c r="FQ73" i="7"/>
  <c r="EW73" i="7"/>
  <c r="AM73" i="7"/>
  <c r="DB73" i="7"/>
  <c r="CO73" i="7"/>
  <c r="FR73" i="7"/>
  <c r="FP73" i="7"/>
  <c r="BV73" i="7"/>
  <c r="FW73" i="7"/>
  <c r="EP73" i="7"/>
  <c r="AP73" i="7"/>
  <c r="DM73" i="7"/>
  <c r="BP73" i="7"/>
  <c r="BU73" i="7"/>
  <c r="BB73" i="7"/>
  <c r="BE73" i="7"/>
  <c r="GA73" i="7"/>
  <c r="W73" i="27"/>
  <c r="AL73" i="7"/>
  <c r="CN73" i="7"/>
  <c r="BF73" i="7"/>
  <c r="AO73" i="7"/>
  <c r="FN73" i="7"/>
  <c r="DT73" i="7"/>
  <c r="DY73" i="7"/>
  <c r="FO73" i="7"/>
  <c r="AK73" i="7"/>
  <c r="BH73" i="7"/>
  <c r="BK73" i="7"/>
  <c r="FV73" i="7"/>
  <c r="EG73" i="7"/>
  <c r="AN73" i="7"/>
  <c r="BL73" i="7"/>
  <c r="FC77" i="24"/>
  <c r="FD77" i="24"/>
  <c r="FE77" i="24"/>
  <c r="AI78" i="7"/>
  <c r="DH78" i="7"/>
  <c r="FT78" i="7"/>
  <c r="CX78" i="24"/>
  <c r="DD78" i="24"/>
  <c r="FX75" i="7"/>
  <c r="AV76" i="7"/>
  <c r="D75" i="7"/>
  <c r="S75" i="7"/>
  <c r="T75" i="7"/>
  <c r="DH77" i="7"/>
  <c r="FT77" i="7"/>
  <c r="Q75" i="24"/>
  <c r="R75" i="24"/>
  <c r="BC75" i="24"/>
  <c r="BH75" i="24"/>
  <c r="AX76" i="24"/>
  <c r="AY75" i="24"/>
  <c r="CG75" i="24"/>
  <c r="CF75" i="24"/>
  <c r="GJ75" i="24"/>
  <c r="BS75" i="32"/>
  <c r="BG75" i="32"/>
  <c r="BT78" i="24"/>
  <c r="DK75" i="24"/>
  <c r="DL75" i="24" s="1"/>
  <c r="CS75" i="24"/>
  <c r="CT75" i="24" s="1"/>
  <c r="CW75" i="24" s="1"/>
  <c r="EL75" i="7"/>
  <c r="EK75" i="7"/>
  <c r="E75" i="7"/>
  <c r="AW76" i="7"/>
  <c r="EC75" i="7"/>
  <c r="AZ75" i="7"/>
  <c r="DK75" i="7"/>
  <c r="DL75" i="7" s="1"/>
  <c r="CS75" i="7"/>
  <c r="CT75" i="7" s="1"/>
  <c r="CW75" i="7" s="1"/>
  <c r="D75" i="27"/>
  <c r="DC78" i="24"/>
  <c r="EF78" i="24"/>
  <c r="FY73" i="7"/>
  <c r="U73" i="27"/>
  <c r="BI73" i="7"/>
  <c r="S76" i="7"/>
  <c r="T76" i="7"/>
  <c r="CG73" i="7"/>
  <c r="S74" i="24"/>
  <c r="FX76" i="24"/>
  <c r="AV77" i="24"/>
  <c r="D76" i="24"/>
  <c r="D76" i="7"/>
  <c r="AV77" i="7"/>
  <c r="FX76" i="7"/>
  <c r="GB72" i="24"/>
  <c r="BK72" i="32"/>
  <c r="BI72" i="24"/>
  <c r="CX79" i="24"/>
  <c r="AI79" i="7"/>
  <c r="DH79" i="7"/>
  <c r="FT79" i="7"/>
  <c r="DD79" i="24"/>
  <c r="DH73" i="24"/>
  <c r="FT73" i="24"/>
  <c r="T75" i="27"/>
  <c r="GJ75" i="7"/>
  <c r="AF75" i="27"/>
  <c r="FF77" i="24"/>
  <c r="BT73" i="7"/>
  <c r="GA78" i="24"/>
  <c r="BJ78" i="32"/>
  <c r="X71" i="27"/>
  <c r="FW79" i="24"/>
  <c r="DT79" i="24"/>
  <c r="BL79" i="24"/>
  <c r="BP79" i="24"/>
  <c r="BU79" i="24"/>
  <c r="DB79" i="24"/>
  <c r="CN79" i="24"/>
  <c r="X79" i="24"/>
  <c r="BV79" i="24"/>
  <c r="FV79" i="24"/>
  <c r="BB79" i="24"/>
  <c r="AJ79" i="7"/>
  <c r="AK79" i="24"/>
  <c r="AP79" i="24"/>
  <c r="AN79" i="24"/>
  <c r="CO79" i="24"/>
  <c r="AM79" i="24"/>
  <c r="BK79" i="24"/>
  <c r="BM79" i="24"/>
  <c r="BO79" i="24"/>
  <c r="AO79" i="24"/>
  <c r="AS79" i="24"/>
  <c r="AT79" i="24"/>
  <c r="AQ79" i="24"/>
  <c r="BF79" i="24"/>
  <c r="DY79" i="24"/>
  <c r="AL79" i="24"/>
  <c r="EP79" i="24"/>
  <c r="EW79" i="24"/>
  <c r="EG79" i="24"/>
  <c r="CE79" i="24"/>
  <c r="BE79" i="24"/>
  <c r="DM79" i="24"/>
  <c r="BD79" i="24"/>
  <c r="FZ79" i="24"/>
  <c r="BI79" i="32"/>
  <c r="AY77" i="7"/>
  <c r="Q77" i="7"/>
  <c r="BC77" i="7"/>
  <c r="AX78" i="7"/>
  <c r="R77" i="7"/>
  <c r="FF72" i="7"/>
  <c r="HK91" i="24"/>
  <c r="HJ92" i="24"/>
  <c r="FD78" i="24"/>
  <c r="FC78" i="24"/>
  <c r="FE78" i="24"/>
  <c r="FS78" i="24"/>
  <c r="AR78" i="7"/>
  <c r="BG78" i="7"/>
  <c r="EK80" i="24"/>
  <c r="EL80" i="24"/>
  <c r="EC80" i="24"/>
  <c r="E80" i="24"/>
  <c r="AZ80" i="24"/>
  <c r="AW81" i="24"/>
  <c r="AO74" i="7"/>
  <c r="AJ74" i="24"/>
  <c r="EW74" i="7"/>
  <c r="FQ74" i="7"/>
  <c r="AK74" i="7"/>
  <c r="BH74" i="7"/>
  <c r="BP74" i="7"/>
  <c r="BU74" i="7"/>
  <c r="CO74" i="7"/>
  <c r="AN74" i="7"/>
  <c r="AP74" i="7"/>
  <c r="BF74" i="7"/>
  <c r="AM74" i="7"/>
  <c r="BL74" i="7"/>
  <c r="FP74" i="7"/>
  <c r="BV74" i="7"/>
  <c r="CE74" i="7"/>
  <c r="FN74" i="7"/>
  <c r="FV74" i="7"/>
  <c r="BK74" i="7"/>
  <c r="BM74" i="7"/>
  <c r="BO74" i="7"/>
  <c r="DB74" i="7"/>
  <c r="BE74" i="7"/>
  <c r="GA74" i="7"/>
  <c r="W74" i="27"/>
  <c r="DT74" i="7"/>
  <c r="FR74" i="7"/>
  <c r="EP74" i="7"/>
  <c r="FO74" i="7"/>
  <c r="FW74" i="7"/>
  <c r="EG74" i="7"/>
  <c r="CN74" i="7"/>
  <c r="X74" i="7"/>
  <c r="H74" i="27"/>
  <c r="AL74" i="7"/>
  <c r="BB74" i="7"/>
  <c r="BD74" i="7"/>
  <c r="FZ74" i="7"/>
  <c r="V74" i="27"/>
  <c r="DM74" i="7"/>
  <c r="DY74" i="7"/>
  <c r="FS73" i="7"/>
  <c r="AR73" i="24"/>
  <c r="BG73" i="24"/>
  <c r="GB73" i="7"/>
  <c r="FD73" i="7"/>
  <c r="FE73" i="7"/>
  <c r="FC73" i="7"/>
  <c r="HM88" i="7"/>
  <c r="HL87" i="7"/>
  <c r="CF73" i="7"/>
  <c r="FY74" i="24"/>
  <c r="BH74" i="32"/>
  <c r="AI74" i="24"/>
  <c r="DH74" i="24"/>
  <c r="FT74" i="24"/>
  <c r="E74" i="27"/>
  <c r="CG74" i="7"/>
  <c r="CX74" i="7"/>
  <c r="DD74" i="7"/>
  <c r="BM73" i="7"/>
  <c r="BO73" i="7"/>
  <c r="X73" i="7"/>
  <c r="H73" i="27"/>
  <c r="HL89" i="24"/>
  <c r="HM90" i="24"/>
  <c r="EF73" i="7"/>
  <c r="DC73" i="7"/>
  <c r="AK80" i="24"/>
  <c r="CO80" i="24"/>
  <c r="AJ80" i="7"/>
  <c r="BP80" i="24"/>
  <c r="BU80" i="24"/>
  <c r="CN80" i="24"/>
  <c r="DB80" i="24"/>
  <c r="AS80" i="24"/>
  <c r="BF80" i="24"/>
  <c r="AP80" i="24"/>
  <c r="BB80" i="24"/>
  <c r="FV80" i="24"/>
  <c r="BE80" i="24"/>
  <c r="GA80" i="24"/>
  <c r="BJ80" i="32"/>
  <c r="AN80" i="24"/>
  <c r="BL80" i="24"/>
  <c r="AO80" i="24"/>
  <c r="BV80" i="24"/>
  <c r="FW80" i="24"/>
  <c r="AM80" i="24"/>
  <c r="AQ80" i="24"/>
  <c r="DT80" i="24"/>
  <c r="EG80" i="24"/>
  <c r="DM80" i="24"/>
  <c r="AL80" i="24"/>
  <c r="EP80" i="24"/>
  <c r="CE80" i="24"/>
  <c r="AT80" i="24"/>
  <c r="BD80" i="24"/>
  <c r="FZ80" i="24"/>
  <c r="BI80" i="32"/>
  <c r="DY80" i="24"/>
  <c r="BK80" i="24"/>
  <c r="BM80" i="24"/>
  <c r="BO80" i="24"/>
  <c r="EW80" i="24"/>
  <c r="S77" i="7"/>
  <c r="T77" i="7"/>
  <c r="CS76" i="24"/>
  <c r="CT76" i="24" s="1"/>
  <c r="CW76" i="24" s="1"/>
  <c r="DK76" i="24"/>
  <c r="DL76" i="24" s="1"/>
  <c r="AX77" i="24"/>
  <c r="Q76" i="24"/>
  <c r="BC76" i="24"/>
  <c r="AY76" i="24"/>
  <c r="BH76" i="24"/>
  <c r="R76" i="24"/>
  <c r="CG76" i="24"/>
  <c r="CF76" i="24"/>
  <c r="FC74" i="7"/>
  <c r="FE74" i="7"/>
  <c r="FD74" i="7"/>
  <c r="CX80" i="24"/>
  <c r="DD80" i="24"/>
  <c r="AI80" i="7"/>
  <c r="DH80" i="7"/>
  <c r="FT80" i="7"/>
  <c r="BC78" i="7"/>
  <c r="AY78" i="7"/>
  <c r="R78" i="7"/>
  <c r="AX79" i="7"/>
  <c r="Q78" i="7"/>
  <c r="AV78" i="24"/>
  <c r="FX77" i="24"/>
  <c r="D77" i="24"/>
  <c r="DC74" i="7"/>
  <c r="EF74" i="7"/>
  <c r="HL88" i="7"/>
  <c r="HM89" i="7"/>
  <c r="FS74" i="7"/>
  <c r="AR74" i="24"/>
  <c r="BG74" i="24"/>
  <c r="GB74" i="7"/>
  <c r="HK92" i="24"/>
  <c r="HJ93" i="24"/>
  <c r="DC79" i="24"/>
  <c r="EF79" i="24"/>
  <c r="BG76" i="32"/>
  <c r="GJ76" i="24"/>
  <c r="BS76" i="32"/>
  <c r="FY75" i="24"/>
  <c r="BH75" i="32"/>
  <c r="BT79" i="24"/>
  <c r="FS79" i="24"/>
  <c r="AR79" i="7"/>
  <c r="BG79" i="7"/>
  <c r="S75" i="24"/>
  <c r="FF73" i="7"/>
  <c r="GA79" i="24"/>
  <c r="BJ79" i="32"/>
  <c r="X72" i="27"/>
  <c r="AJ75" i="24"/>
  <c r="BK75" i="7"/>
  <c r="BD75" i="7"/>
  <c r="FZ75" i="7"/>
  <c r="V75" i="27"/>
  <c r="BF75" i="7"/>
  <c r="DT75" i="7"/>
  <c r="FV75" i="7"/>
  <c r="FN75" i="7"/>
  <c r="DB75" i="7"/>
  <c r="BP75" i="7"/>
  <c r="BU75" i="7"/>
  <c r="FQ75" i="7"/>
  <c r="DY75" i="7"/>
  <c r="AM75" i="7"/>
  <c r="FW75" i="7"/>
  <c r="CN75" i="7"/>
  <c r="X75" i="7"/>
  <c r="H75" i="27"/>
  <c r="AN75" i="7"/>
  <c r="FO75" i="7"/>
  <c r="BE75" i="7"/>
  <c r="GA75" i="7"/>
  <c r="W75" i="27"/>
  <c r="BV75" i="7"/>
  <c r="EG75" i="7"/>
  <c r="FP75" i="7"/>
  <c r="CE75" i="7"/>
  <c r="DM75" i="7"/>
  <c r="AP75" i="7"/>
  <c r="EW75" i="7"/>
  <c r="BB75" i="7"/>
  <c r="AO75" i="7"/>
  <c r="FR75" i="7"/>
  <c r="BL75" i="7"/>
  <c r="AL75" i="7"/>
  <c r="EP75" i="7"/>
  <c r="AK75" i="7"/>
  <c r="BH75" i="7"/>
  <c r="CO75" i="7"/>
  <c r="BT74" i="7"/>
  <c r="GJ76" i="7"/>
  <c r="AF76" i="27"/>
  <c r="T76" i="27"/>
  <c r="D77" i="7"/>
  <c r="AV78" i="7"/>
  <c r="FX77" i="7"/>
  <c r="AW77" i="7"/>
  <c r="EL76" i="7"/>
  <c r="EC76" i="7"/>
  <c r="E76" i="7"/>
  <c r="EK76" i="7"/>
  <c r="AZ76" i="7"/>
  <c r="HL90" i="24"/>
  <c r="HM91" i="24"/>
  <c r="CF74" i="7"/>
  <c r="GB73" i="24"/>
  <c r="BK73" i="32"/>
  <c r="BI73" i="24"/>
  <c r="FY74" i="7"/>
  <c r="U74" i="27"/>
  <c r="BI74" i="7"/>
  <c r="CT74" i="7"/>
  <c r="CW74" i="7" s="1"/>
  <c r="EL81" i="24"/>
  <c r="AZ81" i="24"/>
  <c r="EK81" i="24"/>
  <c r="E81" i="24"/>
  <c r="AW82" i="24"/>
  <c r="EC81" i="24"/>
  <c r="FF78" i="24"/>
  <c r="FE79" i="24"/>
  <c r="FD79" i="24"/>
  <c r="FC79" i="24"/>
  <c r="D76" i="27"/>
  <c r="CS76" i="7"/>
  <c r="CT76" i="7" s="1"/>
  <c r="CW76" i="7" s="1"/>
  <c r="DK76" i="7"/>
  <c r="DL76" i="7" s="1"/>
  <c r="AI75" i="24"/>
  <c r="DH75" i="24"/>
  <c r="FT75" i="24"/>
  <c r="CG75" i="7"/>
  <c r="E75" i="27"/>
  <c r="CX75" i="7"/>
  <c r="DD75" i="7"/>
  <c r="CF75" i="7"/>
  <c r="FS75" i="7"/>
  <c r="AR75" i="24"/>
  <c r="BG75" i="24"/>
  <c r="GB75" i="7"/>
  <c r="GB74" i="24"/>
  <c r="BK74" i="32"/>
  <c r="BI74" i="24"/>
  <c r="BG77" i="32"/>
  <c r="GJ77" i="24"/>
  <c r="BS77" i="32"/>
  <c r="FF74" i="7"/>
  <c r="FC80" i="24"/>
  <c r="FE80" i="24"/>
  <c r="FD80" i="24"/>
  <c r="X80" i="24"/>
  <c r="FV81" i="24"/>
  <c r="AP81" i="24"/>
  <c r="AK81" i="24"/>
  <c r="AT81" i="24"/>
  <c r="AO81" i="24"/>
  <c r="DT81" i="24"/>
  <c r="AL81" i="24"/>
  <c r="BD81" i="24"/>
  <c r="FZ81" i="24"/>
  <c r="BI81" i="32"/>
  <c r="AN81" i="24"/>
  <c r="CN81" i="24"/>
  <c r="BK81" i="24"/>
  <c r="BE81" i="24"/>
  <c r="BL81" i="24"/>
  <c r="FW81" i="24"/>
  <c r="BB81" i="24"/>
  <c r="AQ81" i="24"/>
  <c r="BF81" i="24"/>
  <c r="AM81" i="24"/>
  <c r="CO81" i="24"/>
  <c r="BV81" i="24"/>
  <c r="DB81" i="24"/>
  <c r="EP81" i="24"/>
  <c r="AS81" i="24"/>
  <c r="DY81" i="24"/>
  <c r="CE81" i="24"/>
  <c r="EG81" i="24"/>
  <c r="EW81" i="24"/>
  <c r="BP81" i="24"/>
  <c r="BU81" i="24"/>
  <c r="DM81" i="24"/>
  <c r="AJ81" i="7"/>
  <c r="AW78" i="7"/>
  <c r="EL77" i="7"/>
  <c r="AZ77" i="7"/>
  <c r="EK77" i="7"/>
  <c r="E77" i="7"/>
  <c r="EC77" i="7"/>
  <c r="X73" i="27"/>
  <c r="HL89" i="7"/>
  <c r="HM90" i="7"/>
  <c r="AV79" i="24"/>
  <c r="FX78" i="24"/>
  <c r="D78" i="24"/>
  <c r="FY76" i="24"/>
  <c r="BH76" i="32"/>
  <c r="FF79" i="24"/>
  <c r="HM92" i="24"/>
  <c r="HL91" i="24"/>
  <c r="GJ77" i="7"/>
  <c r="AF77" i="27"/>
  <c r="T77" i="27"/>
  <c r="BM75" i="7"/>
  <c r="BO75" i="7"/>
  <c r="D78" i="7"/>
  <c r="AV79" i="7"/>
  <c r="FX78" i="7"/>
  <c r="FY75" i="7"/>
  <c r="U75" i="27"/>
  <c r="BI75" i="7"/>
  <c r="Q79" i="7"/>
  <c r="BC79" i="7"/>
  <c r="AY79" i="7"/>
  <c r="R79" i="7"/>
  <c r="AX80" i="7"/>
  <c r="R77" i="24"/>
  <c r="AY77" i="24"/>
  <c r="Q77" i="24"/>
  <c r="AX78" i="24"/>
  <c r="BC77" i="24"/>
  <c r="BH77" i="24"/>
  <c r="CG77" i="24"/>
  <c r="CF77" i="24"/>
  <c r="EF75" i="7"/>
  <c r="DC75" i="7"/>
  <c r="BV76" i="7"/>
  <c r="BB76" i="7"/>
  <c r="FR76" i="7"/>
  <c r="CO76" i="7"/>
  <c r="CN76" i="7"/>
  <c r="AK76" i="7"/>
  <c r="BH76" i="7"/>
  <c r="BK76" i="7"/>
  <c r="BM76" i="7"/>
  <c r="BO76" i="7"/>
  <c r="BE76" i="7"/>
  <c r="GA76" i="7"/>
  <c r="W76" i="27"/>
  <c r="BL76" i="7"/>
  <c r="EW76" i="7"/>
  <c r="DB76" i="7"/>
  <c r="AJ76" i="24"/>
  <c r="FV76" i="7"/>
  <c r="EP76" i="7"/>
  <c r="AM76" i="7"/>
  <c r="EG76" i="7"/>
  <c r="FO76" i="7"/>
  <c r="FN76" i="7"/>
  <c r="BP76" i="7"/>
  <c r="BU76" i="7"/>
  <c r="AP76" i="7"/>
  <c r="CE76" i="7"/>
  <c r="FQ76" i="7"/>
  <c r="DT76" i="7"/>
  <c r="FW76" i="7"/>
  <c r="AL76" i="7"/>
  <c r="DY76" i="7"/>
  <c r="FP76" i="7"/>
  <c r="BD76" i="7"/>
  <c r="FZ76" i="7"/>
  <c r="V76" i="27"/>
  <c r="AN76" i="7"/>
  <c r="DM76" i="7"/>
  <c r="AO76" i="7"/>
  <c r="BF76" i="7"/>
  <c r="CS77" i="7"/>
  <c r="D77" i="27"/>
  <c r="DK77" i="7"/>
  <c r="DL77" i="7" s="1"/>
  <c r="FD75" i="7"/>
  <c r="FE75" i="7"/>
  <c r="FC75" i="7"/>
  <c r="HJ94" i="24"/>
  <c r="HK93" i="24"/>
  <c r="S78" i="7"/>
  <c r="T78" i="7"/>
  <c r="FS80" i="24"/>
  <c r="AR80" i="7"/>
  <c r="BG80" i="7"/>
  <c r="EC82" i="24"/>
  <c r="EK82" i="24"/>
  <c r="E82" i="24"/>
  <c r="AW83" i="24"/>
  <c r="EL82" i="24"/>
  <c r="AZ82" i="24"/>
  <c r="E76" i="27"/>
  <c r="CG76" i="7"/>
  <c r="AI76" i="24"/>
  <c r="DH76" i="24"/>
  <c r="FT76" i="24"/>
  <c r="DD76" i="7"/>
  <c r="CF76" i="7"/>
  <c r="CX76" i="7"/>
  <c r="BT75" i="7"/>
  <c r="DC80" i="24"/>
  <c r="EF80" i="24"/>
  <c r="S76" i="24"/>
  <c r="CX81" i="24"/>
  <c r="DD81" i="24"/>
  <c r="AI81" i="7"/>
  <c r="DH81" i="7"/>
  <c r="FT81" i="7"/>
  <c r="X74" i="27"/>
  <c r="DK77" i="24"/>
  <c r="DL77" i="24" s="1"/>
  <c r="CS77" i="24"/>
  <c r="CT77" i="24" s="1"/>
  <c r="CW77" i="24" s="1"/>
  <c r="BT80" i="24"/>
  <c r="FS76" i="7"/>
  <c r="AR76" i="24"/>
  <c r="BG76" i="24"/>
  <c r="GB76" i="7"/>
  <c r="FS81" i="24"/>
  <c r="AR81" i="7"/>
  <c r="BG81" i="7"/>
  <c r="DC76" i="7"/>
  <c r="EF76" i="7"/>
  <c r="AZ83" i="24"/>
  <c r="EL83" i="24"/>
  <c r="E83" i="24"/>
  <c r="EC83" i="24"/>
  <c r="EK83" i="24"/>
  <c r="AW84" i="24"/>
  <c r="S77" i="24"/>
  <c r="E77" i="27"/>
  <c r="AI77" i="24"/>
  <c r="DH77" i="24"/>
  <c r="FT77" i="24"/>
  <c r="CX77" i="7"/>
  <c r="DD77" i="7"/>
  <c r="BC80" i="7"/>
  <c r="AX81" i="7"/>
  <c r="AY80" i="7"/>
  <c r="R80" i="7"/>
  <c r="Q80" i="7"/>
  <c r="X76" i="7"/>
  <c r="H76" i="27"/>
  <c r="S79" i="7"/>
  <c r="T79" i="7"/>
  <c r="CS78" i="24"/>
  <c r="CT78" i="24" s="1"/>
  <c r="CW78" i="24" s="1"/>
  <c r="DK78" i="24"/>
  <c r="DL78" i="24" s="1"/>
  <c r="FF80" i="24"/>
  <c r="HK94" i="24"/>
  <c r="HJ95" i="24"/>
  <c r="GJ78" i="24"/>
  <c r="BS78" i="32"/>
  <c r="BG78" i="32"/>
  <c r="FN77" i="7"/>
  <c r="FQ77" i="7"/>
  <c r="EW77" i="7"/>
  <c r="BL77" i="7"/>
  <c r="DY77" i="7"/>
  <c r="AJ77" i="24"/>
  <c r="CO77" i="7"/>
  <c r="AL77" i="7"/>
  <c r="BF77" i="7"/>
  <c r="CE77" i="7"/>
  <c r="FW77" i="7"/>
  <c r="BD77" i="7"/>
  <c r="BB77" i="7"/>
  <c r="CG77" i="7"/>
  <c r="BK77" i="7"/>
  <c r="BM77" i="7"/>
  <c r="BO77" i="7"/>
  <c r="AP77" i="7"/>
  <c r="EG77" i="7"/>
  <c r="BE77" i="7"/>
  <c r="GA77" i="7"/>
  <c r="W77" i="27"/>
  <c r="DM77" i="7"/>
  <c r="FO77" i="7"/>
  <c r="AK77" i="7"/>
  <c r="BH77" i="7"/>
  <c r="BP77" i="7"/>
  <c r="BU77" i="7"/>
  <c r="FV77" i="7"/>
  <c r="BV77" i="7"/>
  <c r="CN77" i="7"/>
  <c r="X77" i="7"/>
  <c r="H77" i="27"/>
  <c r="EP77" i="7"/>
  <c r="DB77" i="7"/>
  <c r="AN77" i="7"/>
  <c r="FP77" i="7"/>
  <c r="DT77" i="7"/>
  <c r="AM77" i="7"/>
  <c r="AO77" i="7"/>
  <c r="FR77" i="7"/>
  <c r="BT81" i="24"/>
  <c r="GB75" i="24"/>
  <c r="BK75" i="32"/>
  <c r="BI75" i="24"/>
  <c r="T78" i="27"/>
  <c r="GJ78" i="7"/>
  <c r="AF78" i="27"/>
  <c r="FX79" i="24"/>
  <c r="D79" i="24"/>
  <c r="AV80" i="24"/>
  <c r="GA81" i="24"/>
  <c r="BJ81" i="32"/>
  <c r="BT76" i="7"/>
  <c r="FF75" i="7"/>
  <c r="FE76" i="7"/>
  <c r="FD76" i="7"/>
  <c r="FC76" i="7"/>
  <c r="FY76" i="7"/>
  <c r="U76" i="27"/>
  <c r="BI76" i="7"/>
  <c r="AY78" i="24"/>
  <c r="R78" i="24"/>
  <c r="BC78" i="24"/>
  <c r="Q78" i="24"/>
  <c r="BH78" i="24"/>
  <c r="AX79" i="24"/>
  <c r="CG78" i="24"/>
  <c r="CF78" i="24"/>
  <c r="D79" i="7"/>
  <c r="AV80" i="7"/>
  <c r="FX79" i="7"/>
  <c r="HL92" i="24"/>
  <c r="HM93" i="24"/>
  <c r="HM91" i="7"/>
  <c r="HL90" i="7"/>
  <c r="E78" i="7"/>
  <c r="AW79" i="7"/>
  <c r="EC78" i="7"/>
  <c r="AZ78" i="7"/>
  <c r="EK78" i="7"/>
  <c r="EL78" i="7"/>
  <c r="FE81" i="24"/>
  <c r="FD81" i="24"/>
  <c r="FC81" i="24"/>
  <c r="BM81" i="24"/>
  <c r="BO81" i="24"/>
  <c r="CX82" i="24"/>
  <c r="DD82" i="24"/>
  <c r="AI82" i="7"/>
  <c r="DH82" i="7"/>
  <c r="FT82" i="7"/>
  <c r="FY77" i="24"/>
  <c r="BH77" i="32"/>
  <c r="DC81" i="24"/>
  <c r="EF81" i="24"/>
  <c r="AN82" i="24"/>
  <c r="BK82" i="24"/>
  <c r="BM82" i="24"/>
  <c r="BO82" i="24"/>
  <c r="BL82" i="24"/>
  <c r="DB82" i="24"/>
  <c r="FW82" i="24"/>
  <c r="AL82" i="24"/>
  <c r="DT82" i="24"/>
  <c r="AJ82" i="7"/>
  <c r="BF82" i="24"/>
  <c r="AP82" i="24"/>
  <c r="AS82" i="24"/>
  <c r="AQ82" i="24"/>
  <c r="BV82" i="24"/>
  <c r="AO82" i="24"/>
  <c r="BE82" i="24"/>
  <c r="GA82" i="24"/>
  <c r="BJ82" i="32"/>
  <c r="FV82" i="24"/>
  <c r="AK82" i="24"/>
  <c r="BB82" i="24"/>
  <c r="CN82" i="24"/>
  <c r="AT82" i="24"/>
  <c r="BP82" i="24"/>
  <c r="BU82" i="24"/>
  <c r="EP82" i="24"/>
  <c r="CO82" i="24"/>
  <c r="DY82" i="24"/>
  <c r="AM82" i="24"/>
  <c r="DM82" i="24"/>
  <c r="CE82" i="24"/>
  <c r="BD82" i="24"/>
  <c r="EW82" i="24"/>
  <c r="EG82" i="24"/>
  <c r="DK78" i="7"/>
  <c r="DL78" i="7" s="1"/>
  <c r="D78" i="27"/>
  <c r="CS78" i="7"/>
  <c r="CT78" i="7" s="1"/>
  <c r="CW78" i="7" s="1"/>
  <c r="X81" i="24"/>
  <c r="EF82" i="24"/>
  <c r="DC82" i="24"/>
  <c r="AX80" i="24"/>
  <c r="AY79" i="24"/>
  <c r="R79" i="24"/>
  <c r="Q79" i="24"/>
  <c r="BH79" i="24"/>
  <c r="BC79" i="24"/>
  <c r="CG79" i="24"/>
  <c r="CF79" i="24"/>
  <c r="BT77" i="7"/>
  <c r="DC77" i="7"/>
  <c r="EF77" i="7"/>
  <c r="GB76" i="24"/>
  <c r="BK76" i="32"/>
  <c r="BI76" i="24"/>
  <c r="FW78" i="7"/>
  <c r="DY78" i="7"/>
  <c r="EG78" i="7"/>
  <c r="BK78" i="7"/>
  <c r="AJ78" i="24"/>
  <c r="CO78" i="7"/>
  <c r="BV78" i="7"/>
  <c r="AN78" i="7"/>
  <c r="FV78" i="7"/>
  <c r="DB78" i="7"/>
  <c r="FN78" i="7"/>
  <c r="BB78" i="7"/>
  <c r="AO78" i="7"/>
  <c r="FO78" i="7"/>
  <c r="BF78" i="7"/>
  <c r="EW78" i="7"/>
  <c r="CE78" i="7"/>
  <c r="FR78" i="7"/>
  <c r="BE78" i="7"/>
  <c r="GA78" i="7"/>
  <c r="W78" i="27"/>
  <c r="AK78" i="7"/>
  <c r="BH78" i="7"/>
  <c r="FP78" i="7"/>
  <c r="DT78" i="7"/>
  <c r="BP78" i="7"/>
  <c r="BU78" i="7"/>
  <c r="AM78" i="7"/>
  <c r="DM78" i="7"/>
  <c r="BD78" i="7"/>
  <c r="BL78" i="7"/>
  <c r="AP78" i="7"/>
  <c r="AL78" i="7"/>
  <c r="FQ78" i="7"/>
  <c r="CN78" i="7"/>
  <c r="EP78" i="7"/>
  <c r="T79" i="27"/>
  <c r="GJ79" i="7"/>
  <c r="AF79" i="27"/>
  <c r="FS77" i="7"/>
  <c r="AR77" i="24"/>
  <c r="BG77" i="24"/>
  <c r="GB77" i="7"/>
  <c r="X75" i="27"/>
  <c r="AW85" i="24"/>
  <c r="EK84" i="24"/>
  <c r="AZ84" i="24"/>
  <c r="E84" i="24"/>
  <c r="EC84" i="24"/>
  <c r="EL84" i="24"/>
  <c r="FE82" i="24"/>
  <c r="FD82" i="24"/>
  <c r="FC82" i="24"/>
  <c r="FY78" i="24"/>
  <c r="BH78" i="32"/>
  <c r="S80" i="7"/>
  <c r="T80" i="7"/>
  <c r="EC79" i="7"/>
  <c r="E79" i="7"/>
  <c r="EL79" i="7"/>
  <c r="AZ79" i="7"/>
  <c r="AW80" i="7"/>
  <c r="EK79" i="7"/>
  <c r="FZ82" i="24"/>
  <c r="BI82" i="32"/>
  <c r="AI78" i="24"/>
  <c r="DH78" i="24"/>
  <c r="FT78" i="24"/>
  <c r="CG78" i="7"/>
  <c r="E78" i="27"/>
  <c r="CX78" i="7"/>
  <c r="DD78" i="7"/>
  <c r="CF78" i="7"/>
  <c r="S78" i="24"/>
  <c r="FF76" i="7"/>
  <c r="FX80" i="24"/>
  <c r="AV81" i="24"/>
  <c r="D80" i="24"/>
  <c r="AI83" i="7"/>
  <c r="CX83" i="24"/>
  <c r="DD83" i="24"/>
  <c r="D79" i="27"/>
  <c r="CS79" i="7"/>
  <c r="DK79" i="7"/>
  <c r="DL79" i="7" s="1"/>
  <c r="X82" i="24"/>
  <c r="DK79" i="24"/>
  <c r="DL79" i="24" s="1"/>
  <c r="CS79" i="24"/>
  <c r="CT79" i="24" s="1"/>
  <c r="CW79" i="24" s="1"/>
  <c r="FY77" i="7"/>
  <c r="U77" i="27"/>
  <c r="BI77" i="7"/>
  <c r="CT77" i="7"/>
  <c r="CW77" i="7" s="1"/>
  <c r="HJ96" i="24"/>
  <c r="HK95" i="24"/>
  <c r="AX82" i="7"/>
  <c r="Q81" i="7"/>
  <c r="BC81" i="7"/>
  <c r="R81" i="7"/>
  <c r="AY81" i="7"/>
  <c r="BT82" i="24"/>
  <c r="FF81" i="24"/>
  <c r="HM92" i="7"/>
  <c r="HL91" i="7"/>
  <c r="GJ79" i="24"/>
  <c r="BS79" i="32"/>
  <c r="BG79" i="32"/>
  <c r="FZ77" i="7"/>
  <c r="V77" i="27"/>
  <c r="CF77" i="7"/>
  <c r="AT83" i="24"/>
  <c r="BB83" i="24"/>
  <c r="BD83" i="24"/>
  <c r="FZ83" i="24"/>
  <c r="BI83" i="32"/>
  <c r="AK83" i="24"/>
  <c r="DT83" i="24"/>
  <c r="AQ83" i="24"/>
  <c r="AL83" i="24"/>
  <c r="BV83" i="24"/>
  <c r="BK83" i="24"/>
  <c r="DB83" i="24"/>
  <c r="AM83" i="24"/>
  <c r="AO83" i="24"/>
  <c r="BL83" i="24"/>
  <c r="AN83" i="24"/>
  <c r="AS83" i="24"/>
  <c r="FW83" i="24"/>
  <c r="BF83" i="24"/>
  <c r="CO83" i="24"/>
  <c r="AJ83" i="7"/>
  <c r="BE83" i="24"/>
  <c r="GA83" i="24"/>
  <c r="BJ83" i="32"/>
  <c r="CN83" i="24"/>
  <c r="X83" i="24"/>
  <c r="AP83" i="24"/>
  <c r="EW83" i="24"/>
  <c r="FV83" i="24"/>
  <c r="EG83" i="24"/>
  <c r="DY83" i="24"/>
  <c r="DM83" i="24"/>
  <c r="BP83" i="24"/>
  <c r="BU83" i="24"/>
  <c r="EP83" i="24"/>
  <c r="CE83" i="24"/>
  <c r="D80" i="7"/>
  <c r="FX80" i="7"/>
  <c r="AV81" i="7"/>
  <c r="FS82" i="24"/>
  <c r="AR82" i="7"/>
  <c r="BG82" i="7"/>
  <c r="HL93" i="24"/>
  <c r="HM94" i="24"/>
  <c r="FC77" i="7"/>
  <c r="FE77" i="7"/>
  <c r="FD77" i="7"/>
  <c r="X76" i="27"/>
  <c r="FE83" i="24"/>
  <c r="FC83" i="24"/>
  <c r="FD83" i="24"/>
  <c r="DH83" i="7"/>
  <c r="FT83" i="7"/>
  <c r="S79" i="24"/>
  <c r="BC82" i="7"/>
  <c r="AY82" i="7"/>
  <c r="AX83" i="7"/>
  <c r="R82" i="7"/>
  <c r="Q82" i="7"/>
  <c r="CS80" i="24"/>
  <c r="CT80" i="24" s="1"/>
  <c r="CW80" i="24" s="1"/>
  <c r="DK80" i="24"/>
  <c r="DL80" i="24" s="1"/>
  <c r="AI79" i="24"/>
  <c r="CX79" i="7"/>
  <c r="DD79" i="7"/>
  <c r="E79" i="27"/>
  <c r="CF79" i="7"/>
  <c r="FY78" i="7"/>
  <c r="U78" i="27"/>
  <c r="BI78" i="7"/>
  <c r="BM78" i="7"/>
  <c r="BO78" i="7"/>
  <c r="T80" i="27"/>
  <c r="GJ80" i="7"/>
  <c r="AF80" i="27"/>
  <c r="HK96" i="24"/>
  <c r="HJ97" i="24"/>
  <c r="BG80" i="32"/>
  <c r="GJ80" i="24"/>
  <c r="BS80" i="32"/>
  <c r="FZ78" i="7"/>
  <c r="V78" i="27"/>
  <c r="HM95" i="24"/>
  <c r="HL94" i="24"/>
  <c r="FX81" i="24"/>
  <c r="D81" i="24"/>
  <c r="AV82" i="24"/>
  <c r="AY80" i="24"/>
  <c r="Q80" i="24"/>
  <c r="BH80" i="24"/>
  <c r="BC80" i="24"/>
  <c r="AX81" i="24"/>
  <c r="R80" i="24"/>
  <c r="CG80" i="24"/>
  <c r="CF80" i="24"/>
  <c r="D80" i="27"/>
  <c r="DK80" i="7"/>
  <c r="DL80" i="7" s="1"/>
  <c r="CS80" i="7"/>
  <c r="CT80" i="7" s="1"/>
  <c r="CW80" i="7" s="1"/>
  <c r="AI84" i="7"/>
  <c r="DD84" i="24"/>
  <c r="CX84" i="24"/>
  <c r="BT78" i="7"/>
  <c r="GB77" i="24"/>
  <c r="BK77" i="32"/>
  <c r="BI77" i="24"/>
  <c r="HM93" i="7"/>
  <c r="HL92" i="7"/>
  <c r="T81" i="7"/>
  <c r="S81" i="7"/>
  <c r="DC78" i="7"/>
  <c r="EF78" i="7"/>
  <c r="FF82" i="24"/>
  <c r="CN84" i="24"/>
  <c r="X84" i="24"/>
  <c r="AT84" i="24"/>
  <c r="AS84" i="24"/>
  <c r="BF84" i="24"/>
  <c r="CO84" i="24"/>
  <c r="AN84" i="24"/>
  <c r="BD84" i="24"/>
  <c r="FZ84" i="24"/>
  <c r="BI84" i="32"/>
  <c r="BE84" i="24"/>
  <c r="GA84" i="24"/>
  <c r="BJ84" i="32"/>
  <c r="FW84" i="24"/>
  <c r="DB84" i="24"/>
  <c r="EG84" i="24"/>
  <c r="BV84" i="24"/>
  <c r="FV84" i="24"/>
  <c r="AP84" i="24"/>
  <c r="EP84" i="24"/>
  <c r="AJ84" i="7"/>
  <c r="BL84" i="24"/>
  <c r="AK84" i="24"/>
  <c r="DT84" i="24"/>
  <c r="BB84" i="24"/>
  <c r="AQ84" i="24"/>
  <c r="AM84" i="24"/>
  <c r="CE84" i="24"/>
  <c r="BP84" i="24"/>
  <c r="BU84" i="24"/>
  <c r="AL84" i="24"/>
  <c r="BK84" i="24"/>
  <c r="BM84" i="24"/>
  <c r="BO84" i="24"/>
  <c r="EW84" i="24"/>
  <c r="AO84" i="24"/>
  <c r="DM84" i="24"/>
  <c r="DY84" i="24"/>
  <c r="FC78" i="7"/>
  <c r="FD78" i="7"/>
  <c r="FE78" i="7"/>
  <c r="FY79" i="24"/>
  <c r="BH79" i="32"/>
  <c r="AV82" i="7"/>
  <c r="FX81" i="7"/>
  <c r="D81" i="7"/>
  <c r="BT83" i="24"/>
  <c r="FF77" i="7"/>
  <c r="FS83" i="24"/>
  <c r="AR83" i="7"/>
  <c r="BG83" i="7"/>
  <c r="BM83" i="24"/>
  <c r="BO83" i="24"/>
  <c r="E80" i="7"/>
  <c r="EC80" i="7"/>
  <c r="EK80" i="7"/>
  <c r="AW81" i="7"/>
  <c r="EL80" i="7"/>
  <c r="AZ80" i="7"/>
  <c r="X78" i="7"/>
  <c r="H78" i="27"/>
  <c r="FS78" i="7"/>
  <c r="AR78" i="24"/>
  <c r="BG78" i="24"/>
  <c r="GB78" i="7"/>
  <c r="EF83" i="24"/>
  <c r="DC83" i="24"/>
  <c r="BV79" i="7"/>
  <c r="BB79" i="7"/>
  <c r="CG79" i="7"/>
  <c r="DB79" i="7"/>
  <c r="AP79" i="7"/>
  <c r="BF79" i="7"/>
  <c r="FV79" i="7"/>
  <c r="FO79" i="7"/>
  <c r="DY79" i="7"/>
  <c r="BL79" i="7"/>
  <c r="EP79" i="7"/>
  <c r="FQ79" i="7"/>
  <c r="DM79" i="7"/>
  <c r="CN79" i="7"/>
  <c r="X79" i="7"/>
  <c r="H79" i="27"/>
  <c r="BP79" i="7"/>
  <c r="BU79" i="7"/>
  <c r="BE79" i="7"/>
  <c r="GA79" i="7"/>
  <c r="W79" i="27"/>
  <c r="FR79" i="7"/>
  <c r="FP79" i="7"/>
  <c r="AN79" i="7"/>
  <c r="AO79" i="7"/>
  <c r="AK79" i="7"/>
  <c r="BH79" i="7"/>
  <c r="AL79" i="7"/>
  <c r="CO79" i="7"/>
  <c r="FN79" i="7"/>
  <c r="AM79" i="7"/>
  <c r="EW79" i="7"/>
  <c r="DT79" i="7"/>
  <c r="AJ79" i="24"/>
  <c r="BD79" i="7"/>
  <c r="FZ79" i="7"/>
  <c r="V79" i="27"/>
  <c r="EG79" i="7"/>
  <c r="CE79" i="7"/>
  <c r="BK79" i="7"/>
  <c r="BM79" i="7"/>
  <c r="BO79" i="7"/>
  <c r="FW79" i="7"/>
  <c r="EC85" i="24"/>
  <c r="EL85" i="24"/>
  <c r="AW86" i="24"/>
  <c r="EK85" i="24"/>
  <c r="E85" i="24"/>
  <c r="AZ85" i="24"/>
  <c r="DC84" i="24"/>
  <c r="EF84" i="24"/>
  <c r="D82" i="24"/>
  <c r="AV83" i="24"/>
  <c r="FX82" i="24"/>
  <c r="S82" i="7"/>
  <c r="T82" i="7"/>
  <c r="E86" i="24"/>
  <c r="EL86" i="24"/>
  <c r="EK86" i="24"/>
  <c r="AZ86" i="24"/>
  <c r="EC86" i="24"/>
  <c r="E3" i="24"/>
  <c r="D82" i="7"/>
  <c r="AV83" i="7"/>
  <c r="FX82" i="7"/>
  <c r="DD80" i="7"/>
  <c r="CX80" i="7"/>
  <c r="AI80" i="24"/>
  <c r="DH80" i="24"/>
  <c r="FT80" i="24"/>
  <c r="E80" i="27"/>
  <c r="BT84" i="24"/>
  <c r="DK81" i="24"/>
  <c r="DL81" i="24" s="1"/>
  <c r="CS81" i="24"/>
  <c r="CT81" i="24" s="1"/>
  <c r="CW81" i="24" s="1"/>
  <c r="Q83" i="7"/>
  <c r="AX84" i="7"/>
  <c r="AY83" i="7"/>
  <c r="R83" i="7"/>
  <c r="BC83" i="7"/>
  <c r="FS79" i="7"/>
  <c r="AR79" i="24"/>
  <c r="BG79" i="24"/>
  <c r="GB79" i="7"/>
  <c r="FS84" i="24"/>
  <c r="AR84" i="7"/>
  <c r="BG84" i="7"/>
  <c r="HM94" i="7"/>
  <c r="HL93" i="7"/>
  <c r="S80" i="24"/>
  <c r="GJ81" i="24"/>
  <c r="BS81" i="32"/>
  <c r="BG81" i="32"/>
  <c r="FF83" i="24"/>
  <c r="GJ81" i="7"/>
  <c r="AF81" i="27"/>
  <c r="T81" i="27"/>
  <c r="BT79" i="7"/>
  <c r="FC84" i="24"/>
  <c r="FE84" i="24"/>
  <c r="FD84" i="24"/>
  <c r="DH84" i="7"/>
  <c r="FT84" i="7"/>
  <c r="Q81" i="24"/>
  <c r="R81" i="24"/>
  <c r="BH81" i="24"/>
  <c r="AX82" i="24"/>
  <c r="AY81" i="24"/>
  <c r="BC81" i="24"/>
  <c r="CG81" i="24"/>
  <c r="CF81" i="24"/>
  <c r="HJ98" i="24"/>
  <c r="HK97" i="24"/>
  <c r="EF79" i="7"/>
  <c r="DC79" i="7"/>
  <c r="FO80" i="7"/>
  <c r="AL80" i="7"/>
  <c r="BP80" i="7"/>
  <c r="BU80" i="7"/>
  <c r="CE80" i="7"/>
  <c r="CF80" i="7"/>
  <c r="AO80" i="7"/>
  <c r="BD80" i="7"/>
  <c r="FZ80" i="7"/>
  <c r="V80" i="27"/>
  <c r="CN80" i="7"/>
  <c r="X80" i="7"/>
  <c r="H80" i="27"/>
  <c r="BF80" i="7"/>
  <c r="FQ80" i="7"/>
  <c r="FR80" i="7"/>
  <c r="FV80" i="7"/>
  <c r="FN80" i="7"/>
  <c r="BK80" i="7"/>
  <c r="AM80" i="7"/>
  <c r="BE80" i="7"/>
  <c r="GA80" i="7"/>
  <c r="W80" i="27"/>
  <c r="AK80" i="7"/>
  <c r="BH80" i="7"/>
  <c r="BB80" i="7"/>
  <c r="EG80" i="7"/>
  <c r="AJ80" i="24"/>
  <c r="EW80" i="7"/>
  <c r="AP80" i="7"/>
  <c r="DT80" i="7"/>
  <c r="CO80" i="7"/>
  <c r="DY80" i="7"/>
  <c r="FW80" i="7"/>
  <c r="AN80" i="7"/>
  <c r="DB80" i="7"/>
  <c r="EP80" i="7"/>
  <c r="BV80" i="7"/>
  <c r="FP80" i="7"/>
  <c r="DM80" i="7"/>
  <c r="BL80" i="7"/>
  <c r="FY80" i="24"/>
  <c r="BH80" i="32"/>
  <c r="HL95" i="24"/>
  <c r="HM96" i="24"/>
  <c r="X77" i="27"/>
  <c r="DH79" i="24"/>
  <c r="FT79" i="24"/>
  <c r="GB78" i="24"/>
  <c r="BK78" i="32"/>
  <c r="BI78" i="24"/>
  <c r="EW85" i="24"/>
  <c r="BE85" i="24"/>
  <c r="GA85" i="24"/>
  <c r="BJ85" i="32"/>
  <c r="FV85" i="24"/>
  <c r="AT85" i="24"/>
  <c r="CE85" i="24"/>
  <c r="AJ85" i="7"/>
  <c r="AM85" i="24"/>
  <c r="DM85" i="24"/>
  <c r="BD85" i="24"/>
  <c r="FZ85" i="24"/>
  <c r="BI85" i="32"/>
  <c r="AS85" i="24"/>
  <c r="BK85" i="24"/>
  <c r="DB85" i="24"/>
  <c r="AL85" i="24"/>
  <c r="CO85" i="24"/>
  <c r="EG85" i="24"/>
  <c r="DT85" i="24"/>
  <c r="BV85" i="24"/>
  <c r="DY85" i="24"/>
  <c r="BF85" i="24"/>
  <c r="BP85" i="24"/>
  <c r="BU85" i="24"/>
  <c r="AO85" i="24"/>
  <c r="AN85" i="24"/>
  <c r="FW85" i="24"/>
  <c r="EP85" i="24"/>
  <c r="BL85" i="24"/>
  <c r="AK85" i="24"/>
  <c r="CN85" i="24"/>
  <c r="X85" i="24"/>
  <c r="AP85" i="24"/>
  <c r="BB85" i="24"/>
  <c r="AQ85" i="24"/>
  <c r="FY79" i="7"/>
  <c r="U79" i="27"/>
  <c r="BI79" i="7"/>
  <c r="CT79" i="7"/>
  <c r="CW79" i="7" s="1"/>
  <c r="FF78" i="7"/>
  <c r="AI85" i="7"/>
  <c r="DD85" i="24"/>
  <c r="CX85" i="24"/>
  <c r="FE79" i="7"/>
  <c r="FC79" i="7"/>
  <c r="FD79" i="7"/>
  <c r="AW82" i="7"/>
  <c r="EL81" i="7"/>
  <c r="AZ81" i="7"/>
  <c r="E81" i="7"/>
  <c r="EK81" i="7"/>
  <c r="EC81" i="7"/>
  <c r="D81" i="27"/>
  <c r="CS81" i="7"/>
  <c r="DK81" i="7"/>
  <c r="DL81" i="7" s="1"/>
  <c r="AV84" i="24"/>
  <c r="D83" i="24"/>
  <c r="FX83" i="24"/>
  <c r="CX81" i="7"/>
  <c r="E81" i="27"/>
  <c r="DD81" i="7"/>
  <c r="AI81" i="24"/>
  <c r="FC85" i="24"/>
  <c r="FD85" i="24"/>
  <c r="FE85" i="24"/>
  <c r="HM97" i="24"/>
  <c r="HL96" i="24"/>
  <c r="FY80" i="7"/>
  <c r="U80" i="27"/>
  <c r="BI80" i="7"/>
  <c r="HK98" i="24"/>
  <c r="HJ99" i="24"/>
  <c r="T82" i="27"/>
  <c r="GJ82" i="7"/>
  <c r="AF82" i="27"/>
  <c r="AI86" i="7"/>
  <c r="DH86" i="7"/>
  <c r="FT86" i="7"/>
  <c r="CX86" i="24"/>
  <c r="DD86" i="24"/>
  <c r="DK82" i="24"/>
  <c r="DL82" i="24" s="1"/>
  <c r="CS82" i="24"/>
  <c r="CT82" i="24" s="1"/>
  <c r="CW82" i="24" s="1"/>
  <c r="AY82" i="24"/>
  <c r="R82" i="24"/>
  <c r="AX83" i="24"/>
  <c r="BC82" i="24"/>
  <c r="Q82" i="24"/>
  <c r="BH82" i="24"/>
  <c r="CG82" i="24"/>
  <c r="CF82" i="24"/>
  <c r="X78" i="27"/>
  <c r="DT81" i="7"/>
  <c r="AP81" i="7"/>
  <c r="FV81" i="7"/>
  <c r="BB81" i="7"/>
  <c r="BP81" i="7"/>
  <c r="BU81" i="7"/>
  <c r="FP81" i="7"/>
  <c r="DM81" i="7"/>
  <c r="FN81" i="7"/>
  <c r="AM81" i="7"/>
  <c r="EP81" i="7"/>
  <c r="AO81" i="7"/>
  <c r="FW81" i="7"/>
  <c r="AK81" i="7"/>
  <c r="BH81" i="7"/>
  <c r="DY81" i="7"/>
  <c r="FR81" i="7"/>
  <c r="CN81" i="7"/>
  <c r="BF81" i="7"/>
  <c r="DB81" i="7"/>
  <c r="CE81" i="7"/>
  <c r="FQ81" i="7"/>
  <c r="CO81" i="7"/>
  <c r="EW81" i="7"/>
  <c r="BE81" i="7"/>
  <c r="GA81" i="7"/>
  <c r="W81" i="27"/>
  <c r="FO81" i="7"/>
  <c r="AN81" i="7"/>
  <c r="BD81" i="7"/>
  <c r="AL81" i="7"/>
  <c r="AJ81" i="24"/>
  <c r="BL81" i="7"/>
  <c r="BV81" i="7"/>
  <c r="BK81" i="7"/>
  <c r="EG81" i="7"/>
  <c r="BT85" i="24"/>
  <c r="FS80" i="7"/>
  <c r="AR80" i="24"/>
  <c r="BG80" i="24"/>
  <c r="GB80" i="7"/>
  <c r="S81" i="24"/>
  <c r="CG80" i="7"/>
  <c r="AV84" i="7"/>
  <c r="FX83" i="7"/>
  <c r="D83" i="7"/>
  <c r="D82" i="27"/>
  <c r="DK82" i="7"/>
  <c r="DL82" i="7" s="1"/>
  <c r="CS82" i="7"/>
  <c r="CT82" i="7" s="1"/>
  <c r="CW82" i="7" s="1"/>
  <c r="BT80" i="7"/>
  <c r="EC82" i="7"/>
  <c r="AZ82" i="7"/>
  <c r="EL82" i="7"/>
  <c r="E82" i="7"/>
  <c r="AW83" i="7"/>
  <c r="EK82" i="7"/>
  <c r="BM80" i="7"/>
  <c r="BO80" i="7"/>
  <c r="HM95" i="7"/>
  <c r="HL94" i="7"/>
  <c r="X79" i="27"/>
  <c r="S83" i="7"/>
  <c r="T83" i="7"/>
  <c r="EF80" i="7"/>
  <c r="DC80" i="7"/>
  <c r="DH85" i="7"/>
  <c r="FT85" i="7"/>
  <c r="FE80" i="7"/>
  <c r="FD80" i="7"/>
  <c r="FC80" i="7"/>
  <c r="FY81" i="24"/>
  <c r="BH81" i="32"/>
  <c r="FF84" i="24"/>
  <c r="GB79" i="24"/>
  <c r="BK79" i="32"/>
  <c r="BI79" i="24"/>
  <c r="BD86" i="24"/>
  <c r="FZ86" i="24"/>
  <c r="BI86" i="32"/>
  <c r="AO86" i="24"/>
  <c r="DY86" i="24"/>
  <c r="DM86" i="24"/>
  <c r="AQ86" i="24"/>
  <c r="BV86" i="24"/>
  <c r="AN86" i="24"/>
  <c r="DB86" i="24"/>
  <c r="BK86" i="24"/>
  <c r="BM86" i="24"/>
  <c r="BO86" i="24"/>
  <c r="CN86" i="24"/>
  <c r="BP86" i="24"/>
  <c r="BU86" i="24"/>
  <c r="AJ86" i="7"/>
  <c r="BE86" i="24"/>
  <c r="EG86" i="24"/>
  <c r="CO86" i="24"/>
  <c r="FV86" i="24"/>
  <c r="BB86" i="24"/>
  <c r="AM86" i="24"/>
  <c r="AS86" i="24"/>
  <c r="DT86" i="24"/>
  <c r="EW86" i="24"/>
  <c r="FW86" i="24"/>
  <c r="AL86" i="24"/>
  <c r="AP86" i="24"/>
  <c r="EP86" i="24"/>
  <c r="BF86" i="24"/>
  <c r="AK86" i="24"/>
  <c r="BL86" i="24"/>
  <c r="AT86" i="24"/>
  <c r="CE86" i="24"/>
  <c r="DC85" i="24"/>
  <c r="EF85" i="24"/>
  <c r="FF79" i="7"/>
  <c r="FS85" i="24"/>
  <c r="AR85" i="7"/>
  <c r="BG85" i="7"/>
  <c r="BM85" i="24"/>
  <c r="BO85" i="24"/>
  <c r="Q84" i="7"/>
  <c r="AY84" i="7"/>
  <c r="BC84" i="7"/>
  <c r="AX85" i="7"/>
  <c r="R84" i="7"/>
  <c r="BG82" i="32"/>
  <c r="GJ82" i="24"/>
  <c r="BS82" i="32"/>
  <c r="S84" i="7"/>
  <c r="T84" i="7"/>
  <c r="BC85" i="7"/>
  <c r="AX86" i="7"/>
  <c r="Q85" i="7"/>
  <c r="AY85" i="7"/>
  <c r="R85" i="7"/>
  <c r="FY81" i="7"/>
  <c r="U81" i="27"/>
  <c r="BI81" i="7"/>
  <c r="CT81" i="7"/>
  <c r="CW81" i="7" s="1"/>
  <c r="BL82" i="7"/>
  <c r="FQ82" i="7"/>
  <c r="EW82" i="7"/>
  <c r="FO82" i="7"/>
  <c r="FN82" i="7"/>
  <c r="FW82" i="7"/>
  <c r="BD82" i="7"/>
  <c r="EP82" i="7"/>
  <c r="BE82" i="7"/>
  <c r="AM82" i="7"/>
  <c r="DY82" i="7"/>
  <c r="CN82" i="7"/>
  <c r="X82" i="7"/>
  <c r="H82" i="27"/>
  <c r="BK82" i="7"/>
  <c r="BM82" i="7"/>
  <c r="BO82" i="7"/>
  <c r="DB82" i="7"/>
  <c r="AN82" i="7"/>
  <c r="FR82" i="7"/>
  <c r="FV82" i="7"/>
  <c r="AL82" i="7"/>
  <c r="FP82" i="7"/>
  <c r="BB82" i="7"/>
  <c r="BF82" i="7"/>
  <c r="AO82" i="7"/>
  <c r="DT82" i="7"/>
  <c r="EG82" i="7"/>
  <c r="AJ82" i="24"/>
  <c r="BP82" i="7"/>
  <c r="BU82" i="7"/>
  <c r="CO82" i="7"/>
  <c r="BV82" i="7"/>
  <c r="AP82" i="7"/>
  <c r="CE82" i="7"/>
  <c r="DM82" i="7"/>
  <c r="AK82" i="7"/>
  <c r="BH82" i="7"/>
  <c r="CF81" i="7"/>
  <c r="D83" i="27"/>
  <c r="DK83" i="7"/>
  <c r="DL83" i="7" s="1"/>
  <c r="CS83" i="7"/>
  <c r="CT83" i="7" s="1"/>
  <c r="CW83" i="7" s="1"/>
  <c r="FZ81" i="7"/>
  <c r="V81" i="27"/>
  <c r="CG81" i="7"/>
  <c r="HL95" i="7"/>
  <c r="HM96" i="7"/>
  <c r="FD86" i="24"/>
  <c r="FE86" i="24"/>
  <c r="FC86" i="24"/>
  <c r="GA86" i="24"/>
  <c r="BJ86" i="32"/>
  <c r="T83" i="27"/>
  <c r="GJ83" i="7"/>
  <c r="AF83" i="27"/>
  <c r="GB80" i="24"/>
  <c r="BK80" i="32"/>
  <c r="BI80" i="24"/>
  <c r="FS81" i="7"/>
  <c r="AR81" i="24"/>
  <c r="BG81" i="24"/>
  <c r="GB81" i="7"/>
  <c r="FY82" i="24"/>
  <c r="BH82" i="32"/>
  <c r="HM98" i="24"/>
  <c r="HL97" i="24"/>
  <c r="DH81" i="24"/>
  <c r="FT81" i="24"/>
  <c r="BG83" i="32"/>
  <c r="GJ83" i="24"/>
  <c r="BS83" i="32"/>
  <c r="BT86" i="24"/>
  <c r="FF80" i="7"/>
  <c r="D84" i="7"/>
  <c r="AV85" i="7"/>
  <c r="FX84" i="7"/>
  <c r="X81" i="7"/>
  <c r="H81" i="27"/>
  <c r="Q83" i="24"/>
  <c r="R83" i="24"/>
  <c r="BC83" i="24"/>
  <c r="BH83" i="24"/>
  <c r="AY83" i="24"/>
  <c r="AX84" i="24"/>
  <c r="CG83" i="24"/>
  <c r="CF83" i="24"/>
  <c r="HK99" i="24"/>
  <c r="HJ100" i="24"/>
  <c r="FF85" i="24"/>
  <c r="CS83" i="24"/>
  <c r="CT83" i="24" s="1"/>
  <c r="CW83" i="24" s="1"/>
  <c r="DK83" i="24"/>
  <c r="DL83" i="24" s="1"/>
  <c r="DD82" i="7"/>
  <c r="CG82" i="7"/>
  <c r="AI82" i="24"/>
  <c r="DH82" i="24"/>
  <c r="FT82" i="24"/>
  <c r="CX82" i="7"/>
  <c r="E82" i="27"/>
  <c r="BM81" i="7"/>
  <c r="BO81" i="7"/>
  <c r="BT81" i="7"/>
  <c r="S82" i="24"/>
  <c r="DC86" i="24"/>
  <c r="EF86" i="24"/>
  <c r="AV85" i="24"/>
  <c r="D84" i="24"/>
  <c r="FX84" i="24"/>
  <c r="FS86" i="24"/>
  <c r="AR86" i="7"/>
  <c r="BG86" i="7"/>
  <c r="X86" i="24"/>
  <c r="AZ83" i="7"/>
  <c r="EK83" i="7"/>
  <c r="EC83" i="7"/>
  <c r="AW84" i="7"/>
  <c r="EL83" i="7"/>
  <c r="E83" i="7"/>
  <c r="FE81" i="7"/>
  <c r="FC81" i="7"/>
  <c r="FD81" i="7"/>
  <c r="EF81" i="7"/>
  <c r="DC81" i="7"/>
  <c r="BV83" i="7"/>
  <c r="DM83" i="7"/>
  <c r="DB83" i="7"/>
  <c r="BE83" i="7"/>
  <c r="GA83" i="7"/>
  <c r="W83" i="27"/>
  <c r="DT83" i="7"/>
  <c r="AK83" i="7"/>
  <c r="BH83" i="7"/>
  <c r="FN83" i="7"/>
  <c r="BL83" i="7"/>
  <c r="AO83" i="7"/>
  <c r="FO83" i="7"/>
  <c r="CN83" i="7"/>
  <c r="X83" i="7"/>
  <c r="H83" i="27"/>
  <c r="EP83" i="7"/>
  <c r="AL83" i="7"/>
  <c r="FW83" i="7"/>
  <c r="CE83" i="7"/>
  <c r="EW83" i="7"/>
  <c r="FR83" i="7"/>
  <c r="BF83" i="7"/>
  <c r="BK83" i="7"/>
  <c r="BM83" i="7"/>
  <c r="BO83" i="7"/>
  <c r="CO83" i="7"/>
  <c r="BB83" i="7"/>
  <c r="AJ83" i="24"/>
  <c r="EG83" i="7"/>
  <c r="BD83" i="7"/>
  <c r="FZ83" i="7"/>
  <c r="V83" i="27"/>
  <c r="FQ83" i="7"/>
  <c r="AM83" i="7"/>
  <c r="DY83" i="7"/>
  <c r="AN83" i="7"/>
  <c r="BP83" i="7"/>
  <c r="BU83" i="7"/>
  <c r="AP83" i="7"/>
  <c r="FV83" i="7"/>
  <c r="FP83" i="7"/>
  <c r="GJ84" i="7"/>
  <c r="AF84" i="27"/>
  <c r="T84" i="27"/>
  <c r="FS82" i="7"/>
  <c r="AR82" i="24"/>
  <c r="BG82" i="24"/>
  <c r="GB82" i="7"/>
  <c r="Q86" i="7"/>
  <c r="BC86" i="7"/>
  <c r="R86" i="7"/>
  <c r="AY86" i="7"/>
  <c r="B102" i="7" a="1"/>
  <c r="B102" i="7"/>
  <c r="AT31" i="32"/>
  <c r="AT42" i="32"/>
  <c r="S7" i="32" s="1"/>
  <c r="HK100" i="24"/>
  <c r="HJ101" i="24"/>
  <c r="AY84" i="24"/>
  <c r="Q84" i="24"/>
  <c r="AX85" i="24"/>
  <c r="R84" i="24"/>
  <c r="BC84" i="24"/>
  <c r="BH84" i="24"/>
  <c r="CF84" i="24"/>
  <c r="CG84" i="24"/>
  <c r="AV86" i="7"/>
  <c r="FX85" i="7"/>
  <c r="D85" i="7"/>
  <c r="FY82" i="7"/>
  <c r="U82" i="27"/>
  <c r="BI82" i="7"/>
  <c r="DK84" i="7"/>
  <c r="DL84" i="7" s="1"/>
  <c r="CS84" i="7"/>
  <c r="CT84" i="7" s="1"/>
  <c r="CW84" i="7" s="1"/>
  <c r="D84" i="27"/>
  <c r="FC82" i="7"/>
  <c r="FE82" i="7"/>
  <c r="FD82" i="7"/>
  <c r="D85" i="24"/>
  <c r="FX85" i="24"/>
  <c r="AV86" i="24"/>
  <c r="DD83" i="7"/>
  <c r="CG83" i="7"/>
  <c r="AI83" i="24"/>
  <c r="DH83" i="24"/>
  <c r="FT83" i="24"/>
  <c r="CX83" i="7"/>
  <c r="E83" i="27"/>
  <c r="CF83" i="7"/>
  <c r="GB81" i="24"/>
  <c r="BK81" i="32"/>
  <c r="BI81" i="24"/>
  <c r="X80" i="27"/>
  <c r="FF86" i="24"/>
  <c r="FY83" i="24"/>
  <c r="BH83" i="32"/>
  <c r="HL96" i="7"/>
  <c r="HM97" i="7"/>
  <c r="GA82" i="7"/>
  <c r="W82" i="27"/>
  <c r="S85" i="7"/>
  <c r="T85" i="7"/>
  <c r="FF81" i="7"/>
  <c r="EL84" i="7"/>
  <c r="E84" i="7"/>
  <c r="EC84" i="7"/>
  <c r="AZ84" i="7"/>
  <c r="EK84" i="7"/>
  <c r="AW85" i="7"/>
  <c r="BG84" i="32"/>
  <c r="GJ84" i="24"/>
  <c r="BS84" i="32"/>
  <c r="CF82" i="7"/>
  <c r="S83" i="24"/>
  <c r="EF82" i="7"/>
  <c r="DC82" i="7"/>
  <c r="CS84" i="24"/>
  <c r="CT84" i="24" s="1"/>
  <c r="CW84" i="24" s="1"/>
  <c r="DK84" i="24"/>
  <c r="DL84" i="24" s="1"/>
  <c r="HM99" i="24"/>
  <c r="HL98" i="24"/>
  <c r="BT82" i="7"/>
  <c r="FZ82" i="7"/>
  <c r="V82" i="27"/>
  <c r="FF82" i="7"/>
  <c r="S86" i="7"/>
  <c r="T86" i="7"/>
  <c r="BI83" i="7"/>
  <c r="FY83" i="7"/>
  <c r="U83" i="27"/>
  <c r="E84" i="27"/>
  <c r="DD84" i="7"/>
  <c r="CX84" i="7"/>
  <c r="AI84" i="24"/>
  <c r="CF84" i="7"/>
  <c r="HJ102" i="24"/>
  <c r="HK101" i="24"/>
  <c r="HL99" i="24"/>
  <c r="HM100" i="24"/>
  <c r="EG84" i="7"/>
  <c r="BV84" i="7"/>
  <c r="FN84" i="7"/>
  <c r="BE84" i="7"/>
  <c r="EW84" i="7"/>
  <c r="AP84" i="7"/>
  <c r="EP84" i="7"/>
  <c r="CO84" i="7"/>
  <c r="FQ84" i="7"/>
  <c r="DB84" i="7"/>
  <c r="FP84" i="7"/>
  <c r="AL84" i="7"/>
  <c r="AK84" i="7"/>
  <c r="BH84" i="7"/>
  <c r="FO84" i="7"/>
  <c r="FV84" i="7"/>
  <c r="CN84" i="7"/>
  <c r="X84" i="7"/>
  <c r="H84" i="27"/>
  <c r="DM84" i="7"/>
  <c r="AJ84" i="24"/>
  <c r="BD84" i="7"/>
  <c r="FW84" i="7"/>
  <c r="BK84" i="7"/>
  <c r="BB84" i="7"/>
  <c r="AN84" i="7"/>
  <c r="AO84" i="7"/>
  <c r="AM84" i="7"/>
  <c r="BP84" i="7"/>
  <c r="BU84" i="7"/>
  <c r="BF84" i="7"/>
  <c r="CE84" i="7"/>
  <c r="DT84" i="7"/>
  <c r="BL84" i="7"/>
  <c r="DY84" i="7"/>
  <c r="FR84" i="7"/>
  <c r="X81" i="27"/>
  <c r="D86" i="24"/>
  <c r="FX86" i="24"/>
  <c r="FS83" i="7"/>
  <c r="AR83" i="24"/>
  <c r="BG83" i="24"/>
  <c r="GB83" i="7"/>
  <c r="BT83" i="7"/>
  <c r="HM98" i="7"/>
  <c r="HL97" i="7"/>
  <c r="BG85" i="32"/>
  <c r="GJ85" i="24"/>
  <c r="BS85" i="32"/>
  <c r="D85" i="27"/>
  <c r="DK85" i="7"/>
  <c r="DL85" i="7" s="1"/>
  <c r="CS85" i="7"/>
  <c r="CT85" i="7" s="1"/>
  <c r="CW85" i="7" s="1"/>
  <c r="FY84" i="24"/>
  <c r="BH84" i="32"/>
  <c r="AZ85" i="7"/>
  <c r="EL85" i="7"/>
  <c r="EC85" i="7"/>
  <c r="EK85" i="7"/>
  <c r="AW86" i="7"/>
  <c r="E85" i="7"/>
  <c r="EF83" i="7"/>
  <c r="DC83" i="7"/>
  <c r="CS85" i="24"/>
  <c r="CT85" i="24" s="1"/>
  <c r="CW85" i="24" s="1"/>
  <c r="DK85" i="24"/>
  <c r="DL85" i="24" s="1"/>
  <c r="GJ85" i="7"/>
  <c r="AF85" i="27"/>
  <c r="T85" i="27"/>
  <c r="S84" i="24"/>
  <c r="X82" i="27"/>
  <c r="FC83" i="7"/>
  <c r="FD83" i="7"/>
  <c r="FE83" i="7"/>
  <c r="FX86" i="7"/>
  <c r="D86" i="7"/>
  <c r="Q85" i="24"/>
  <c r="AY85" i="24"/>
  <c r="R85" i="24"/>
  <c r="BC85" i="24"/>
  <c r="AX86" i="24"/>
  <c r="BH85" i="24"/>
  <c r="CG85" i="24"/>
  <c r="CF85" i="24"/>
  <c r="GB82" i="24"/>
  <c r="BK82" i="32"/>
  <c r="BI82" i="24"/>
  <c r="GB83" i="24"/>
  <c r="BK83" i="32"/>
  <c r="BI83" i="24"/>
  <c r="T86" i="27"/>
  <c r="GJ86" i="7"/>
  <c r="AF86" i="27"/>
  <c r="BT84" i="7"/>
  <c r="HL100" i="24"/>
  <c r="HM101" i="24"/>
  <c r="DH84" i="24"/>
  <c r="FT84" i="24"/>
  <c r="GJ86" i="24"/>
  <c r="BS86" i="32"/>
  <c r="BG86" i="32"/>
  <c r="R86" i="24"/>
  <c r="Q86" i="24"/>
  <c r="BC86" i="24"/>
  <c r="AY86" i="24"/>
  <c r="BH86" i="24"/>
  <c r="B102" i="24" a="1"/>
  <c r="B102" i="24"/>
  <c r="AU31" i="32"/>
  <c r="AU42" i="32"/>
  <c r="T7" i="32" s="1"/>
  <c r="CG86" i="24"/>
  <c r="CF86" i="24"/>
  <c r="EL86" i="7"/>
  <c r="E86" i="7"/>
  <c r="EK86" i="7"/>
  <c r="AZ86" i="7"/>
  <c r="EC86" i="7"/>
  <c r="E3" i="7"/>
  <c r="DK86" i="24"/>
  <c r="DL86" i="24" s="1"/>
  <c r="CS86" i="24"/>
  <c r="CT86" i="24" s="1"/>
  <c r="CW86" i="24" s="1"/>
  <c r="DC84" i="7"/>
  <c r="EF84" i="7"/>
  <c r="DK86" i="7"/>
  <c r="DL86" i="7" s="1"/>
  <c r="CS86" i="7"/>
  <c r="CT86" i="7" s="1"/>
  <c r="CW86" i="7" s="1"/>
  <c r="E85" i="27"/>
  <c r="DD85" i="7"/>
  <c r="CX85" i="7"/>
  <c r="AI85" i="24"/>
  <c r="CF85" i="7"/>
  <c r="HL98" i="7"/>
  <c r="HM99" i="7"/>
  <c r="FY84" i="7"/>
  <c r="U84" i="27"/>
  <c r="BI84" i="7"/>
  <c r="S85" i="24"/>
  <c r="FF83" i="7"/>
  <c r="BM84" i="7"/>
  <c r="BO84" i="7"/>
  <c r="FE84" i="7"/>
  <c r="FD84" i="7"/>
  <c r="FC84" i="7"/>
  <c r="HJ103" i="24"/>
  <c r="HK102" i="24"/>
  <c r="GA84" i="7"/>
  <c r="W84" i="27"/>
  <c r="CG84" i="7"/>
  <c r="FY85" i="24"/>
  <c r="BH85" i="32"/>
  <c r="AK85" i="7"/>
  <c r="BH85" i="7"/>
  <c r="AP85" i="7"/>
  <c r="FR85" i="7"/>
  <c r="FQ85" i="7"/>
  <c r="BD85" i="7"/>
  <c r="FZ85" i="7"/>
  <c r="V85" i="27"/>
  <c r="DT85" i="7"/>
  <c r="BB85" i="7"/>
  <c r="AO85" i="7"/>
  <c r="FP85" i="7"/>
  <c r="CO85" i="7"/>
  <c r="FW85" i="7"/>
  <c r="DY85" i="7"/>
  <c r="CN85" i="7"/>
  <c r="X85" i="7"/>
  <c r="H85" i="27"/>
  <c r="AL85" i="7"/>
  <c r="BE85" i="7"/>
  <c r="GA85" i="7"/>
  <c r="W85" i="27"/>
  <c r="AN85" i="7"/>
  <c r="AJ85" i="24"/>
  <c r="BF85" i="7"/>
  <c r="DM85" i="7"/>
  <c r="DB85" i="7"/>
  <c r="BK85" i="7"/>
  <c r="FV85" i="7"/>
  <c r="BL85" i="7"/>
  <c r="CE85" i="7"/>
  <c r="EP85" i="7"/>
  <c r="EW85" i="7"/>
  <c r="EG85" i="7"/>
  <c r="BP85" i="7"/>
  <c r="BU85" i="7"/>
  <c r="FO85" i="7"/>
  <c r="FN85" i="7"/>
  <c r="BV85" i="7"/>
  <c r="AM85" i="7"/>
  <c r="X83" i="27"/>
  <c r="FS84" i="7"/>
  <c r="AR84" i="24"/>
  <c r="BG84" i="24"/>
  <c r="GB84" i="7"/>
  <c r="FZ84" i="7"/>
  <c r="V84" i="27"/>
  <c r="BT85" i="7"/>
  <c r="FE85" i="7"/>
  <c r="FD85" i="7"/>
  <c r="FC85" i="7"/>
  <c r="FS85" i="7"/>
  <c r="AR85" i="24"/>
  <c r="BG85" i="24"/>
  <c r="GB85" i="7"/>
  <c r="S86" i="24"/>
  <c r="C99" i="7"/>
  <c r="V5" i="32" s="1"/>
  <c r="DC85" i="7"/>
  <c r="EF85" i="7"/>
  <c r="FY86" i="24"/>
  <c r="BH86" i="32"/>
  <c r="HJ104" i="24"/>
  <c r="HK103" i="24"/>
  <c r="FY85" i="7"/>
  <c r="U85" i="27"/>
  <c r="BI85" i="7"/>
  <c r="FV86" i="7"/>
  <c r="DY86" i="7"/>
  <c r="CE86" i="7"/>
  <c r="AP86" i="7"/>
  <c r="FR86" i="7"/>
  <c r="AK86" i="7"/>
  <c r="BH86" i="7"/>
  <c r="BV86" i="7"/>
  <c r="AL86" i="7"/>
  <c r="CO86" i="7"/>
  <c r="DT86" i="7"/>
  <c r="EG86" i="7"/>
  <c r="AJ86" i="24"/>
  <c r="AM86" i="7"/>
  <c r="DM86" i="7"/>
  <c r="EW86" i="7"/>
  <c r="AN86" i="7"/>
  <c r="BD86" i="7"/>
  <c r="FZ86" i="7"/>
  <c r="V86" i="27"/>
  <c r="FP86" i="7"/>
  <c r="CN86" i="7"/>
  <c r="X86" i="7"/>
  <c r="FN86" i="7"/>
  <c r="BF86" i="7"/>
  <c r="AO86" i="7"/>
  <c r="BP86" i="7"/>
  <c r="BU86" i="7"/>
  <c r="FO86" i="7"/>
  <c r="BL86" i="7"/>
  <c r="FW86" i="7"/>
  <c r="FQ86" i="7"/>
  <c r="BB86" i="7"/>
  <c r="BE86" i="7"/>
  <c r="GA86" i="7"/>
  <c r="W86" i="27"/>
  <c r="BK86" i="7"/>
  <c r="EP86" i="7"/>
  <c r="DB86" i="7"/>
  <c r="GB84" i="24"/>
  <c r="BK84" i="32"/>
  <c r="BI84" i="24"/>
  <c r="HM100" i="7"/>
  <c r="HL99" i="7"/>
  <c r="CG85" i="7"/>
  <c r="HM102" i="24"/>
  <c r="HL101" i="24"/>
  <c r="BM85" i="7"/>
  <c r="BO85" i="7"/>
  <c r="FF84" i="7"/>
  <c r="DH85" i="24"/>
  <c r="FT85" i="24"/>
  <c r="CX86" i="7"/>
  <c r="DD86" i="7"/>
  <c r="CG86" i="7"/>
  <c r="AI86" i="24"/>
  <c r="DH86" i="24"/>
  <c r="FT86" i="24"/>
  <c r="CF86" i="7"/>
  <c r="BI86" i="7"/>
  <c r="FY86" i="7"/>
  <c r="U86" i="27"/>
  <c r="FF85" i="7"/>
  <c r="FS86" i="7"/>
  <c r="AR86" i="24"/>
  <c r="BG86" i="24"/>
  <c r="GB86" i="7"/>
  <c r="HL100" i="7"/>
  <c r="HM101" i="7"/>
  <c r="X84" i="27"/>
  <c r="HJ105" i="24"/>
  <c r="HK104" i="24"/>
  <c r="DC86" i="7"/>
  <c r="EF86" i="7"/>
  <c r="HL102" i="24"/>
  <c r="HM103" i="24"/>
  <c r="FC86" i="7"/>
  <c r="FE86" i="7"/>
  <c r="FD86" i="7"/>
  <c r="BM86" i="7"/>
  <c r="BO86" i="7"/>
  <c r="BT86" i="7"/>
  <c r="GB85" i="24"/>
  <c r="BK85" i="32"/>
  <c r="BI85" i="24"/>
  <c r="X86" i="27"/>
  <c r="FF86" i="7"/>
  <c r="GB86" i="24"/>
  <c r="BK86" i="32"/>
  <c r="BI86" i="24"/>
  <c r="HK105" i="24"/>
  <c r="HJ106" i="24"/>
  <c r="HM102" i="7"/>
  <c r="HL101" i="7"/>
  <c r="X85" i="27"/>
  <c r="HM104" i="24"/>
  <c r="HL103" i="24"/>
  <c r="HJ107" i="24"/>
  <c r="HK106" i="24"/>
  <c r="HL104" i="24"/>
  <c r="HM105" i="24"/>
  <c r="HM103" i="7"/>
  <c r="HL102" i="7"/>
  <c r="HK107" i="24"/>
  <c r="HJ108" i="24"/>
  <c r="HL105" i="24"/>
  <c r="HM106" i="24"/>
  <c r="HM104" i="7"/>
  <c r="HL103" i="7"/>
  <c r="HK108" i="24"/>
  <c r="HJ109" i="24"/>
  <c r="HM105" i="7"/>
  <c r="HL104" i="7"/>
  <c r="HL106" i="24"/>
  <c r="HM107" i="24"/>
  <c r="HL107" i="24"/>
  <c r="HM108" i="24"/>
  <c r="HL105" i="7"/>
  <c r="HM106" i="7"/>
  <c r="HJ110" i="24"/>
  <c r="HK109" i="24"/>
  <c r="HL108" i="24"/>
  <c r="HM109" i="24"/>
  <c r="HJ111" i="24"/>
  <c r="HK110" i="24"/>
  <c r="HL106" i="7"/>
  <c r="HM107" i="7"/>
  <c r="HJ112" i="24"/>
  <c r="HK111" i="24"/>
  <c r="HM108" i="7"/>
  <c r="HL107" i="7"/>
  <c r="HM110" i="24"/>
  <c r="HL109" i="24"/>
  <c r="HM109" i="7"/>
  <c r="HL108" i="7"/>
  <c r="HK112" i="24"/>
  <c r="HJ113" i="24"/>
  <c r="HL110" i="24"/>
  <c r="HM111" i="24"/>
  <c r="HM112" i="24"/>
  <c r="HL111" i="24"/>
  <c r="HJ114" i="24"/>
  <c r="HK113" i="24"/>
  <c r="HL109" i="7"/>
  <c r="HM110" i="7"/>
  <c r="HM113" i="24"/>
  <c r="HL112" i="24"/>
  <c r="HK114" i="24"/>
  <c r="HJ115" i="24"/>
  <c r="HM111" i="7"/>
  <c r="HL110" i="7"/>
  <c r="HL113" i="24"/>
  <c r="HM114" i="24"/>
  <c r="HL111" i="7"/>
  <c r="HM112" i="7"/>
  <c r="HK115" i="24"/>
  <c r="HJ116" i="24"/>
  <c r="HL112" i="7"/>
  <c r="HM113" i="7"/>
  <c r="HK116" i="24"/>
  <c r="HJ117" i="24"/>
  <c r="HL114" i="24"/>
  <c r="HM115" i="24"/>
  <c r="HJ118" i="24"/>
  <c r="HK117" i="24"/>
  <c r="HM114" i="7"/>
  <c r="HL113" i="7"/>
  <c r="HM116" i="24"/>
  <c r="HL115" i="24"/>
  <c r="HL114" i="7"/>
  <c r="HM115" i="7"/>
  <c r="HM117" i="24"/>
  <c r="HL116" i="24"/>
  <c r="HJ119" i="24"/>
  <c r="HK118" i="24"/>
  <c r="HM118" i="24"/>
  <c r="HL117" i="24"/>
  <c r="HJ120" i="24"/>
  <c r="HK119" i="24"/>
  <c r="HM116" i="7"/>
  <c r="HL115" i="7"/>
  <c r="HM117" i="7"/>
  <c r="HL116" i="7"/>
  <c r="HJ121" i="24"/>
  <c r="HK120" i="24"/>
  <c r="HL118" i="24"/>
  <c r="HM119" i="24"/>
  <c r="HL117" i="7"/>
  <c r="HM118" i="7"/>
  <c r="HL119" i="24"/>
  <c r="HM120" i="24"/>
  <c r="HK121" i="24"/>
  <c r="HJ122" i="24"/>
  <c r="HK122" i="24"/>
  <c r="HJ123" i="24"/>
  <c r="HL118" i="7"/>
  <c r="HM119" i="7"/>
  <c r="HL120" i="24"/>
  <c r="HM121" i="24"/>
  <c r="HM120" i="7"/>
  <c r="HL119" i="7"/>
  <c r="HK123" i="24"/>
  <c r="HJ124" i="24"/>
  <c r="HL121" i="24"/>
  <c r="HM122" i="24"/>
  <c r="HK124" i="24"/>
  <c r="HJ125" i="24"/>
  <c r="HM121" i="7"/>
  <c r="HL120" i="7"/>
  <c r="HL122" i="24"/>
  <c r="HM123" i="24"/>
  <c r="HL121" i="7"/>
  <c r="HM122" i="7"/>
  <c r="HM124" i="24"/>
  <c r="HL123" i="24"/>
  <c r="HJ126" i="24"/>
  <c r="HK125" i="24"/>
  <c r="HJ127" i="24"/>
  <c r="HK126" i="24"/>
  <c r="HL122" i="7"/>
  <c r="HM123" i="7"/>
  <c r="HL124" i="24"/>
  <c r="HM125" i="24"/>
  <c r="HL125" i="24"/>
  <c r="HM126" i="24"/>
  <c r="HM124" i="7"/>
  <c r="HL123" i="7"/>
  <c r="HJ128" i="24"/>
  <c r="HK127" i="24"/>
  <c r="HM127" i="24"/>
  <c r="HL126" i="24"/>
  <c r="HJ129" i="24"/>
  <c r="HK128" i="24"/>
  <c r="HM125" i="7"/>
  <c r="HL124" i="7"/>
  <c r="HL127" i="24"/>
  <c r="HM128" i="24"/>
  <c r="HL125" i="7"/>
  <c r="HM126" i="7"/>
  <c r="HJ130" i="24"/>
  <c r="HK129" i="24"/>
  <c r="HM129" i="24"/>
  <c r="HL128" i="24"/>
  <c r="HJ131" i="24"/>
  <c r="HK130" i="24"/>
  <c r="HL126" i="7"/>
  <c r="HM127" i="7"/>
  <c r="HL127" i="7"/>
  <c r="HM128" i="7"/>
  <c r="HL129" i="24"/>
  <c r="HM130" i="24"/>
  <c r="HJ132" i="24"/>
  <c r="HK131" i="24"/>
  <c r="HM131" i="24"/>
  <c r="HL130" i="24"/>
  <c r="HM129" i="7"/>
  <c r="HL128" i="7"/>
  <c r="HJ133" i="24"/>
  <c r="HK132" i="24"/>
  <c r="HM132" i="24"/>
  <c r="HL131" i="24"/>
  <c r="HJ134" i="24"/>
  <c r="HK133" i="24"/>
  <c r="HM130" i="7"/>
  <c r="HL129" i="7"/>
  <c r="HK134" i="24"/>
  <c r="HJ135" i="24"/>
  <c r="HL132" i="24"/>
  <c r="HM133" i="24"/>
  <c r="HL130" i="7"/>
  <c r="HM131" i="7"/>
  <c r="HL133" i="24"/>
  <c r="HM134" i="24"/>
  <c r="HL131" i="7"/>
  <c r="HM132" i="7"/>
  <c r="HK135" i="24"/>
  <c r="HJ136" i="24"/>
  <c r="HL134" i="24"/>
  <c r="HM135" i="24"/>
  <c r="HK136" i="24"/>
  <c r="HJ137" i="24"/>
  <c r="HM133" i="7"/>
  <c r="HL132" i="7"/>
  <c r="HM136" i="24"/>
  <c r="HL135" i="24"/>
  <c r="HM134" i="7"/>
  <c r="HL133" i="7"/>
  <c r="HK137" i="24"/>
  <c r="HJ138" i="24"/>
  <c r="HL136" i="24"/>
  <c r="HM137" i="24"/>
  <c r="HM135" i="7"/>
  <c r="HL134" i="7"/>
  <c r="HJ139" i="24"/>
  <c r="HK138" i="24"/>
  <c r="HK139" i="24"/>
  <c r="HJ140" i="24"/>
  <c r="HM138" i="24"/>
  <c r="HL137" i="24"/>
  <c r="HM136" i="7"/>
  <c r="HL135" i="7"/>
  <c r="HL138" i="24"/>
  <c r="HM139" i="24"/>
  <c r="HM137" i="7"/>
  <c r="HL136" i="7"/>
  <c r="HK140" i="24"/>
  <c r="HJ141" i="24"/>
  <c r="HM138" i="7"/>
  <c r="HL137" i="7"/>
  <c r="HM140" i="24"/>
  <c r="HL139" i="24"/>
  <c r="HJ142" i="24"/>
  <c r="HK141" i="24"/>
  <c r="HL140" i="24"/>
  <c r="HM141" i="24"/>
  <c r="HM139" i="7"/>
  <c r="HL138" i="7"/>
  <c r="HJ143" i="24"/>
  <c r="HK142" i="24"/>
  <c r="HJ144" i="24"/>
  <c r="HK143" i="24"/>
  <c r="HL141" i="24"/>
  <c r="HM142" i="24"/>
  <c r="HM140" i="7"/>
  <c r="HL139" i="7"/>
  <c r="HK144" i="24"/>
  <c r="HJ145" i="24"/>
  <c r="HL140" i="7"/>
  <c r="HM141" i="7"/>
  <c r="HM143" i="24"/>
  <c r="HL142" i="24"/>
  <c r="HL141" i="7"/>
  <c r="HM142" i="7"/>
  <c r="HJ146" i="24"/>
  <c r="HK145" i="24"/>
  <c r="HL143" i="24"/>
  <c r="HM144" i="24"/>
  <c r="HM143" i="7"/>
  <c r="HL142" i="7"/>
  <c r="HK146" i="24"/>
  <c r="HJ147" i="24"/>
  <c r="HK147" i="24"/>
  <c r="HL144" i="24"/>
  <c r="HM145" i="24"/>
  <c r="HL145" i="24"/>
  <c r="HM146" i="24"/>
  <c r="HM144" i="7"/>
  <c r="HL143" i="7"/>
  <c r="HL144" i="7"/>
  <c r="HM145" i="7"/>
  <c r="HM147" i="24"/>
  <c r="HL147" i="24"/>
  <c r="HL146" i="24"/>
  <c r="HL145" i="7"/>
  <c r="HM146" i="7"/>
  <c r="HM147" i="7"/>
  <c r="HL147" i="7"/>
  <c r="HL146" i="7"/>
  <c r="HB41" i="24" l="1"/>
  <c r="HB12" i="24"/>
  <c r="HV7" i="24"/>
  <c r="T83" i="24"/>
  <c r="T82" i="24"/>
  <c r="T61" i="24"/>
  <c r="T85" i="24"/>
  <c r="T80" i="24"/>
  <c r="T72" i="24"/>
  <c r="T71" i="24"/>
  <c r="T40" i="24"/>
  <c r="T86" i="24"/>
  <c r="T84" i="24"/>
  <c r="T75" i="24"/>
  <c r="T36" i="24"/>
  <c r="T44" i="24"/>
  <c r="T78" i="24"/>
  <c r="T67" i="24"/>
  <c r="T66" i="24"/>
  <c r="T25" i="24"/>
  <c r="T79" i="24"/>
  <c r="T62" i="24"/>
  <c r="T55" i="24"/>
  <c r="T49" i="24"/>
  <c r="T35" i="24"/>
  <c r="T77" i="24"/>
  <c r="T68" i="24"/>
  <c r="T59" i="24"/>
  <c r="T58" i="24"/>
  <c r="T56" i="24"/>
  <c r="T51" i="24"/>
  <c r="T48" i="24"/>
  <c r="T34" i="24"/>
  <c r="T60" i="24"/>
  <c r="T54" i="24"/>
  <c r="T38" i="24"/>
  <c r="T29" i="24"/>
  <c r="T76" i="24"/>
  <c r="T74" i="24"/>
  <c r="T69" i="24"/>
  <c r="T65" i="24"/>
  <c r="T63" i="24"/>
  <c r="T50" i="24"/>
  <c r="T73" i="24"/>
  <c r="T64" i="24"/>
  <c r="T57" i="24"/>
  <c r="T53" i="24"/>
  <c r="T52" i="24"/>
  <c r="T81" i="24"/>
  <c r="T70" i="24"/>
  <c r="FG79" i="24"/>
  <c r="T10" i="24"/>
  <c r="T23" i="24"/>
  <c r="T17" i="24"/>
  <c r="FG76" i="24"/>
  <c r="CI76" i="24" s="1"/>
  <c r="T33" i="24"/>
  <c r="T19" i="24"/>
  <c r="FG75" i="7"/>
  <c r="CI75" i="7" s="1"/>
  <c r="T42" i="24"/>
  <c r="T37" i="24"/>
  <c r="FG81" i="24"/>
  <c r="FG73" i="24"/>
  <c r="FG68" i="7"/>
  <c r="CI68" i="7" s="1"/>
  <c r="T39" i="24"/>
  <c r="T31" i="24"/>
  <c r="T47" i="24"/>
  <c r="T46" i="24"/>
  <c r="T45" i="24"/>
  <c r="T41" i="24"/>
  <c r="T32" i="24"/>
  <c r="T30" i="24"/>
  <c r="T43" i="24"/>
  <c r="FG7" i="24"/>
  <c r="CW7" i="24"/>
  <c r="FG83" i="7"/>
  <c r="FG81" i="7"/>
  <c r="FG79" i="7"/>
  <c r="FG78" i="24"/>
  <c r="FG78" i="7"/>
  <c r="CI78" i="7" s="1"/>
  <c r="FG70" i="7"/>
  <c r="CI70" i="7" s="1"/>
  <c r="FG69" i="7"/>
  <c r="CI69" i="7" s="1"/>
  <c r="T20" i="24"/>
  <c r="T9" i="24"/>
  <c r="FG86" i="24"/>
  <c r="FG84" i="24"/>
  <c r="FG83" i="24"/>
  <c r="FG73" i="7"/>
  <c r="CI73" i="7" s="1"/>
  <c r="FG67" i="7"/>
  <c r="CI67" i="7" s="1"/>
  <c r="FG71" i="24"/>
  <c r="FG65" i="7"/>
  <c r="FG70" i="24"/>
  <c r="T12" i="24"/>
  <c r="HV7" i="7"/>
  <c r="FG76" i="7"/>
  <c r="CI76" i="7" s="1"/>
  <c r="FG71" i="7"/>
  <c r="CI71" i="7" s="1"/>
  <c r="FG74" i="24"/>
  <c r="FG72" i="24"/>
  <c r="CI72" i="24" s="1"/>
  <c r="T27" i="24"/>
  <c r="T22" i="24"/>
  <c r="HQ11" i="7"/>
  <c r="HS93" i="7" s="1"/>
  <c r="FG85" i="24"/>
  <c r="T18" i="24"/>
  <c r="T16" i="24"/>
  <c r="T14" i="24"/>
  <c r="HQ13" i="7"/>
  <c r="HZ86" i="7" s="1"/>
  <c r="FG86" i="7"/>
  <c r="CI86" i="7" s="1"/>
  <c r="FG84" i="7"/>
  <c r="FG80" i="7"/>
  <c r="FG74" i="7"/>
  <c r="FG77" i="24"/>
  <c r="T26" i="24"/>
  <c r="T24" i="24"/>
  <c r="T13" i="24"/>
  <c r="FG85" i="7"/>
  <c r="FG82" i="7"/>
  <c r="FG77" i="7"/>
  <c r="FG82" i="24"/>
  <c r="FG80" i="24"/>
  <c r="FG72" i="7"/>
  <c r="CI72" i="7" s="1"/>
  <c r="FG66" i="7"/>
  <c r="CI66" i="7" s="1"/>
  <c r="T28" i="24"/>
  <c r="T21" i="24"/>
  <c r="T15" i="24"/>
  <c r="T11" i="24"/>
  <c r="HS90" i="7"/>
  <c r="HR8" i="7"/>
  <c r="HQ12" i="24"/>
  <c r="HQ12" i="7"/>
  <c r="HS94" i="7" s="1"/>
  <c r="HQ9" i="7"/>
  <c r="HS91" i="7" s="1"/>
  <c r="HQ13" i="24"/>
  <c r="HQ7" i="7"/>
  <c r="HQ9" i="24"/>
  <c r="HQ7" i="24"/>
  <c r="HQ10" i="7"/>
  <c r="HS92" i="7" s="1"/>
  <c r="HQ11" i="24"/>
  <c r="HQ8" i="24"/>
  <c r="HR8" i="24" s="1"/>
  <c r="CW7" i="7"/>
  <c r="BS7" i="7"/>
  <c r="HR19" i="24"/>
  <c r="T8" i="24"/>
  <c r="HQ99" i="7"/>
  <c r="HR99" i="7"/>
  <c r="HT99" i="7" s="1"/>
  <c r="BT7" i="24"/>
  <c r="BY7" i="24" s="1"/>
  <c r="HB7" i="7"/>
  <c r="HB26" i="7"/>
  <c r="HB36" i="7"/>
  <c r="HB30" i="7"/>
  <c r="HB38" i="7"/>
  <c r="HB42" i="7"/>
  <c r="HB12" i="7"/>
  <c r="HB34" i="7"/>
  <c r="HB20" i="7"/>
  <c r="HB28" i="7"/>
  <c r="HB53" i="7"/>
  <c r="HB55" i="7"/>
  <c r="HB41" i="7"/>
  <c r="HB35" i="7"/>
  <c r="HB29" i="7"/>
  <c r="HB23" i="7"/>
  <c r="HB27" i="7"/>
  <c r="HB24" i="7"/>
  <c r="HB15" i="7"/>
  <c r="HB57" i="7"/>
  <c r="HB37" i="7"/>
  <c r="HB49" i="7"/>
  <c r="HB43" i="7"/>
  <c r="HB56" i="7"/>
  <c r="HB13" i="7"/>
  <c r="HB32" i="7"/>
  <c r="HB48" i="7"/>
  <c r="HB40" i="7"/>
  <c r="HB39" i="7"/>
  <c r="HB14" i="7"/>
  <c r="HB47" i="7"/>
  <c r="HB19" i="7"/>
  <c r="HB44" i="7"/>
  <c r="HB51" i="7"/>
  <c r="HB25" i="7"/>
  <c r="HB9" i="7"/>
  <c r="HB45" i="7"/>
  <c r="HB22" i="7"/>
  <c r="HB52" i="7"/>
  <c r="HB21" i="7"/>
  <c r="HB58" i="7"/>
  <c r="HB10" i="7"/>
  <c r="HB17" i="7"/>
  <c r="HB50" i="7"/>
  <c r="HB11" i="7"/>
  <c r="HB46" i="7"/>
  <c r="HB54" i="7"/>
  <c r="HB18" i="7"/>
  <c r="HB31" i="7"/>
  <c r="HB33" i="7"/>
  <c r="HB8" i="7"/>
  <c r="HB16" i="7"/>
  <c r="HP97" i="7"/>
  <c r="BT7" i="7"/>
  <c r="HB50" i="24"/>
  <c r="HB24" i="24"/>
  <c r="HB33" i="24"/>
  <c r="HB23" i="24"/>
  <c r="HB58" i="24"/>
  <c r="HB18" i="24"/>
  <c r="HB17" i="24"/>
  <c r="HB20" i="24"/>
  <c r="HB8" i="24"/>
  <c r="HB52" i="24"/>
  <c r="HB36" i="24"/>
  <c r="HB34" i="24"/>
  <c r="HB13" i="24"/>
  <c r="HB37" i="24"/>
  <c r="HB46" i="24"/>
  <c r="HB56" i="24"/>
  <c r="HB19" i="24"/>
  <c r="HB9" i="24"/>
  <c r="HB7" i="24"/>
  <c r="HB15" i="24"/>
  <c r="HB47" i="24"/>
  <c r="HB26" i="24"/>
  <c r="HB48" i="24"/>
  <c r="HB35" i="24"/>
  <c r="HB42" i="24"/>
  <c r="HB10" i="24"/>
  <c r="HB14" i="24"/>
  <c r="HB55" i="24"/>
  <c r="HB27" i="24"/>
  <c r="HB31" i="24"/>
  <c r="HB44" i="24"/>
  <c r="HB25" i="24"/>
  <c r="HB39" i="24"/>
  <c r="HB45" i="24"/>
  <c r="HB16" i="24"/>
  <c r="HB43" i="24"/>
  <c r="HB51" i="24"/>
  <c r="HB49" i="24"/>
  <c r="HB21" i="24"/>
  <c r="HB32" i="24"/>
  <c r="HB11" i="24"/>
  <c r="HB53" i="24"/>
  <c r="HB38" i="24"/>
  <c r="HB30" i="24"/>
  <c r="HB54" i="24"/>
  <c r="HB22" i="24"/>
  <c r="HR19" i="7"/>
  <c r="HP96" i="7"/>
  <c r="HR91" i="7"/>
  <c r="HT91" i="7" s="1"/>
  <c r="HR90" i="7"/>
  <c r="HT90" i="7" s="1"/>
  <c r="HR93" i="7"/>
  <c r="HT93" i="7" s="1"/>
  <c r="HR92" i="7"/>
  <c r="HT92" i="7" s="1"/>
  <c r="HR94" i="7"/>
  <c r="HT94" i="7" s="1"/>
  <c r="HR95" i="7"/>
  <c r="HT95" i="7" s="1"/>
  <c r="HB28" i="24"/>
  <c r="HR98" i="7"/>
  <c r="HT98" i="7" s="1"/>
  <c r="HQ98" i="7"/>
  <c r="HP100" i="7"/>
  <c r="HR101" i="7"/>
  <c r="HT101" i="7" s="1"/>
  <c r="HQ101" i="7"/>
  <c r="HS101" i="7" s="1"/>
  <c r="CW8" i="7"/>
  <c r="CH75" i="7"/>
  <c r="CH72" i="7"/>
  <c r="CH86" i="7"/>
  <c r="CH84" i="7"/>
  <c r="CH83" i="7"/>
  <c r="CH81" i="7"/>
  <c r="CH80" i="7"/>
  <c r="CH71" i="7"/>
  <c r="CH67" i="7"/>
  <c r="CH66" i="7"/>
  <c r="CH85" i="7"/>
  <c r="CH78" i="7"/>
  <c r="CH73" i="7"/>
  <c r="CH70" i="7"/>
  <c r="CH69" i="7"/>
  <c r="CH82" i="7"/>
  <c r="CH76" i="7"/>
  <c r="CH68" i="7"/>
  <c r="CH77" i="7"/>
  <c r="CH74" i="7"/>
  <c r="CH79" i="7"/>
  <c r="CH75" i="24"/>
  <c r="CH78" i="24"/>
  <c r="CH77" i="24"/>
  <c r="CH85" i="24"/>
  <c r="CH82" i="24"/>
  <c r="CH81" i="24"/>
  <c r="CH86" i="24"/>
  <c r="CH73" i="24"/>
  <c r="CH84" i="24"/>
  <c r="CH83" i="24"/>
  <c r="CH80" i="24"/>
  <c r="CH74" i="24"/>
  <c r="CH72" i="24"/>
  <c r="CH79" i="24"/>
  <c r="CH76" i="24"/>
  <c r="CH71" i="24"/>
  <c r="CI77" i="7"/>
  <c r="CI81" i="7"/>
  <c r="CI83" i="7"/>
  <c r="CI80" i="7"/>
  <c r="CI82" i="7"/>
  <c r="CI85" i="7"/>
  <c r="ID12" i="7"/>
  <c r="CI74" i="7"/>
  <c r="CI84" i="7"/>
  <c r="CI79" i="7"/>
  <c r="IE12" i="7"/>
  <c r="CI82" i="24"/>
  <c r="CI86" i="24"/>
  <c r="CI73" i="24"/>
  <c r="CI84" i="24"/>
  <c r="CI83" i="24"/>
  <c r="CI79" i="24"/>
  <c r="CI75" i="24"/>
  <c r="CI74" i="24" l="1"/>
  <c r="CI80" i="24"/>
  <c r="CI85" i="24"/>
  <c r="CI81" i="24"/>
  <c r="W81" i="24" s="1"/>
  <c r="CI77" i="24"/>
  <c r="W77" i="24" s="1"/>
  <c r="CI78" i="24"/>
  <c r="CI71" i="24"/>
  <c r="W71" i="24" s="1"/>
  <c r="HS95" i="7"/>
  <c r="HU95" i="7" s="1"/>
  <c r="HU90" i="7"/>
  <c r="HU92" i="7"/>
  <c r="HS98" i="7"/>
  <c r="HU98" i="7" s="1"/>
  <c r="HU91" i="7"/>
  <c r="HR9" i="7"/>
  <c r="HR10" i="7" s="1"/>
  <c r="HU93" i="7"/>
  <c r="BY7" i="7"/>
  <c r="BZ7" i="7" s="1"/>
  <c r="CA7" i="7" s="1"/>
  <c r="CD7" i="7" s="1"/>
  <c r="HS99" i="7"/>
  <c r="IE9" i="7"/>
  <c r="ID9" i="7"/>
  <c r="HU94" i="7"/>
  <c r="HR9" i="24"/>
  <c r="HR10" i="24" s="1"/>
  <c r="HR11" i="24" s="1"/>
  <c r="HR12" i="24" s="1"/>
  <c r="HR13" i="24" s="1"/>
  <c r="HU101" i="7"/>
  <c r="W75" i="24"/>
  <c r="W78" i="24"/>
  <c r="W76" i="24"/>
  <c r="W79" i="24"/>
  <c r="W85" i="24"/>
  <c r="W72" i="24"/>
  <c r="W83" i="24"/>
  <c r="W80" i="24"/>
  <c r="W84" i="24"/>
  <c r="W74" i="24"/>
  <c r="W73" i="24"/>
  <c r="W86" i="24"/>
  <c r="W82" i="24"/>
  <c r="W69" i="7"/>
  <c r="W72" i="7"/>
  <c r="W73" i="7"/>
  <c r="W75" i="7"/>
  <c r="IE14" i="7"/>
  <c r="W79" i="7"/>
  <c r="W84" i="7"/>
  <c r="W74" i="7"/>
  <c r="W76" i="7"/>
  <c r="ID14" i="7"/>
  <c r="W68" i="7"/>
  <c r="W70" i="7"/>
  <c r="W85" i="7"/>
  <c r="W82" i="7"/>
  <c r="W66" i="7"/>
  <c r="W67" i="7"/>
  <c r="W71" i="7"/>
  <c r="W78" i="7"/>
  <c r="W80" i="7"/>
  <c r="W83" i="7"/>
  <c r="W81" i="7"/>
  <c r="W86" i="7"/>
  <c r="W77" i="7"/>
  <c r="HR20" i="24"/>
  <c r="HR21" i="24" s="1"/>
  <c r="HR22" i="24" s="1"/>
  <c r="HR23" i="24" s="1"/>
  <c r="HR24" i="24" s="1"/>
  <c r="HR20" i="7"/>
  <c r="HR21" i="7" s="1"/>
  <c r="HR22" i="7" s="1"/>
  <c r="HR23" i="7" s="1"/>
  <c r="HR24" i="7" s="1"/>
  <c r="HU99" i="7"/>
  <c r="HQ96" i="7"/>
  <c r="HS96" i="7" s="1"/>
  <c r="HR96" i="7"/>
  <c r="HT96" i="7" s="1"/>
  <c r="HR97" i="7"/>
  <c r="HT97" i="7" s="1"/>
  <c r="HQ97" i="7"/>
  <c r="HS97" i="7" s="1"/>
  <c r="EX7" i="24"/>
  <c r="FH7" i="24" s="1"/>
  <c r="GE7" i="24"/>
  <c r="BN7" i="32" s="1"/>
  <c r="CB7" i="24"/>
  <c r="CR7" i="24" s="1"/>
  <c r="BZ7" i="24"/>
  <c r="CA7" i="24" s="1"/>
  <c r="CD7" i="24" s="1"/>
  <c r="HR100" i="7"/>
  <c r="HT100" i="7" s="1"/>
  <c r="HQ100" i="7"/>
  <c r="HS100" i="7" s="1"/>
  <c r="ID8" i="7"/>
  <c r="IE8" i="7"/>
  <c r="G78" i="27" l="1"/>
  <c r="G77" i="27"/>
  <c r="EX7" i="7"/>
  <c r="FH7" i="7" s="1"/>
  <c r="FI7" i="7" s="1"/>
  <c r="G79" i="27"/>
  <c r="G71" i="27"/>
  <c r="G84" i="27"/>
  <c r="G73" i="27"/>
  <c r="G76" i="27"/>
  <c r="G74" i="27"/>
  <c r="CB7" i="7"/>
  <c r="CR7" i="7" s="1"/>
  <c r="CV7" i="7" s="1"/>
  <c r="CX7" i="7" s="1"/>
  <c r="G82" i="27"/>
  <c r="GE7" i="7"/>
  <c r="AA7" i="27" s="1"/>
  <c r="G85" i="27"/>
  <c r="G80" i="27"/>
  <c r="IE10" i="7"/>
  <c r="IE16" i="7" s="1"/>
  <c r="ID10" i="7"/>
  <c r="ID16" i="7" s="1"/>
  <c r="ID17" i="7" s="1"/>
  <c r="G81" i="27"/>
  <c r="HR11" i="7"/>
  <c r="HR12" i="7" s="1"/>
  <c r="HR13" i="7" s="1"/>
  <c r="HU100" i="7"/>
  <c r="G83" i="27"/>
  <c r="G72" i="27"/>
  <c r="G75" i="27"/>
  <c r="FA8" i="24"/>
  <c r="FI7" i="24"/>
  <c r="GF7" i="7"/>
  <c r="EQ7" i="7"/>
  <c r="HU96" i="7"/>
  <c r="HU97" i="7"/>
  <c r="GF7" i="24"/>
  <c r="BO7" i="32" s="1"/>
  <c r="EQ7" i="24"/>
  <c r="CV7" i="24"/>
  <c r="CX7" i="24" s="1"/>
  <c r="CY7" i="24" s="1"/>
  <c r="FA8" i="7" l="1"/>
  <c r="AB7" i="27"/>
  <c r="HV98" i="7"/>
  <c r="ID18" i="7"/>
  <c r="HV97" i="7"/>
  <c r="Z7" i="24"/>
  <c r="EF7" i="24"/>
  <c r="EE8" i="24" s="1"/>
  <c r="DC7" i="24"/>
  <c r="DD7" i="24" s="1"/>
  <c r="DA7" i="24"/>
  <c r="EF7" i="7"/>
  <c r="EE8" i="7" s="1"/>
  <c r="DC7" i="7"/>
  <c r="DD7" i="7" s="1"/>
  <c r="Z7" i="7"/>
  <c r="HV96" i="7"/>
  <c r="HV91" i="7"/>
  <c r="HV101" i="7"/>
  <c r="HV99" i="7"/>
  <c r="HV94" i="7"/>
  <c r="HV92" i="7"/>
  <c r="HV90" i="7"/>
  <c r="HV93" i="7"/>
  <c r="HV95" i="7"/>
  <c r="CY7" i="7"/>
  <c r="HV100" i="7"/>
  <c r="J7" i="27" l="1"/>
  <c r="DA7" i="7"/>
  <c r="DE7" i="7" s="1"/>
  <c r="DF7" i="7" s="1"/>
  <c r="BS8" i="7" s="1"/>
  <c r="AD8" i="24"/>
  <c r="EI8" i="24"/>
  <c r="EG8" i="24"/>
  <c r="EJ8" i="24"/>
  <c r="GL8" i="24"/>
  <c r="BU8" i="32" s="1"/>
  <c r="HX91" i="7"/>
  <c r="HX98" i="7"/>
  <c r="HX100" i="7"/>
  <c r="HX95" i="7"/>
  <c r="HX99" i="7"/>
  <c r="HX93" i="7"/>
  <c r="HX96" i="7"/>
  <c r="HX97" i="7"/>
  <c r="HX92" i="7"/>
  <c r="HX94" i="7"/>
  <c r="HX101" i="7"/>
  <c r="HX90" i="7"/>
  <c r="GL8" i="7"/>
  <c r="AD8" i="7"/>
  <c r="EG8" i="7"/>
  <c r="EI8" i="7"/>
  <c r="EJ8" i="7"/>
  <c r="DE7" i="24"/>
  <c r="N8" i="27" l="1"/>
  <c r="AH8" i="27"/>
  <c r="Y7" i="24"/>
  <c r="DH7" i="24"/>
  <c r="FT7" i="24" s="1"/>
  <c r="AL7" i="7" s="1"/>
  <c r="DJ7" i="24"/>
  <c r="DN7" i="24" s="1"/>
  <c r="DQ7" i="24" s="1"/>
  <c r="CE7" i="24"/>
  <c r="DF7" i="24"/>
  <c r="BS8" i="24" s="1"/>
  <c r="DH7" i="7"/>
  <c r="FT7" i="7" s="1"/>
  <c r="AL7" i="24" s="1"/>
  <c r="Y7" i="7"/>
  <c r="CE7" i="7"/>
  <c r="HZ99" i="7"/>
  <c r="HY99" i="7"/>
  <c r="HY95" i="7"/>
  <c r="HZ95" i="7"/>
  <c r="HY101" i="7"/>
  <c r="HZ101" i="7"/>
  <c r="HY100" i="7"/>
  <c r="HZ100" i="7"/>
  <c r="HY94" i="7"/>
  <c r="HZ94" i="7"/>
  <c r="HZ98" i="7"/>
  <c r="HY98" i="7"/>
  <c r="DJ7" i="7"/>
  <c r="DN7" i="7" s="1"/>
  <c r="DQ7" i="7" s="1"/>
  <c r="HY96" i="7"/>
  <c r="HZ96" i="7"/>
  <c r="HZ93" i="7"/>
  <c r="HY93" i="7"/>
  <c r="HY90" i="7"/>
  <c r="HZ90" i="7"/>
  <c r="IA90" i="7" s="1"/>
  <c r="HY92" i="7"/>
  <c r="HZ92" i="7"/>
  <c r="HY91" i="7"/>
  <c r="HZ91" i="7"/>
  <c r="HZ97" i="7"/>
  <c r="HY97" i="7"/>
  <c r="I7" i="27" l="1"/>
  <c r="IA100" i="7"/>
  <c r="IB100" i="7" s="1"/>
  <c r="C100" i="32" s="1"/>
  <c r="IA95" i="7"/>
  <c r="IB95" i="7" s="1"/>
  <c r="C95" i="32" s="1"/>
  <c r="IA97" i="7"/>
  <c r="IB97" i="7" s="1"/>
  <c r="C97" i="32" s="1"/>
  <c r="IA94" i="7"/>
  <c r="IB94" i="7" s="1"/>
  <c r="C94" i="32" s="1"/>
  <c r="IA93" i="7"/>
  <c r="IB93" i="7" s="1"/>
  <c r="C93" i="32" s="1"/>
  <c r="DG7" i="7"/>
  <c r="DX7" i="7" s="1"/>
  <c r="DW8" i="7" s="1"/>
  <c r="GK8" i="7" s="1"/>
  <c r="IB90" i="7"/>
  <c r="C90" i="32" s="1"/>
  <c r="IA98" i="7"/>
  <c r="IB98" i="7" s="1"/>
  <c r="C98" i="32" s="1"/>
  <c r="AB7" i="24"/>
  <c r="EV7" i="24"/>
  <c r="EU8" i="24" s="1"/>
  <c r="IA99" i="7"/>
  <c r="IB99" i="7" s="1"/>
  <c r="C99" i="32" s="1"/>
  <c r="EO7" i="24"/>
  <c r="EN8" i="24" s="1"/>
  <c r="AA7" i="24"/>
  <c r="DO7" i="24"/>
  <c r="DM8" i="24" s="1"/>
  <c r="AB7" i="7"/>
  <c r="EV7" i="7"/>
  <c r="EU8" i="7" s="1"/>
  <c r="DG7" i="24"/>
  <c r="DX7" i="24" s="1"/>
  <c r="DW8" i="24" s="1"/>
  <c r="IA96" i="7"/>
  <c r="IB96" i="7" s="1"/>
  <c r="C96" i="32" s="1"/>
  <c r="IA91" i="7"/>
  <c r="IB91" i="7" s="1"/>
  <c r="C91" i="32" s="1"/>
  <c r="IA101" i="7"/>
  <c r="IB101" i="7" s="1"/>
  <c r="C101" i="32" s="1"/>
  <c r="IA92" i="7"/>
  <c r="IB92" i="7" s="1"/>
  <c r="C92" i="32" s="1"/>
  <c r="EO7" i="7"/>
  <c r="EN8" i="7" s="1"/>
  <c r="AA7" i="7"/>
  <c r="DO7" i="7"/>
  <c r="DM8" i="7" s="1"/>
  <c r="CH7" i="7"/>
  <c r="CI7" i="24"/>
  <c r="CH7" i="24"/>
  <c r="CI7" i="7"/>
  <c r="EA8" i="7" l="1"/>
  <c r="AC8" i="7"/>
  <c r="DY8" i="7"/>
  <c r="EB8" i="7" s="1"/>
  <c r="CP8" i="7"/>
  <c r="AG8" i="7" s="1"/>
  <c r="GM8" i="24"/>
  <c r="BV8" i="32" s="1"/>
  <c r="EP8" i="24"/>
  <c r="ES8" i="24" s="1"/>
  <c r="AE8" i="24"/>
  <c r="BT8" i="24"/>
  <c r="DY8" i="24"/>
  <c r="EB8" i="24" s="1"/>
  <c r="GK8" i="24"/>
  <c r="BT8" i="32" s="1"/>
  <c r="AC8" i="24"/>
  <c r="EA8" i="24"/>
  <c r="CP8" i="24"/>
  <c r="AG8" i="24" s="1"/>
  <c r="W7" i="7"/>
  <c r="CJ7" i="7"/>
  <c r="CL7" i="7"/>
  <c r="K7" i="27"/>
  <c r="AF8" i="7"/>
  <c r="FB8" i="7"/>
  <c r="EW8" i="7"/>
  <c r="GN8" i="7"/>
  <c r="W7" i="24"/>
  <c r="CJ7" i="24"/>
  <c r="CL7" i="24"/>
  <c r="GN8" i="24"/>
  <c r="BW8" i="32" s="1"/>
  <c r="FB8" i="24"/>
  <c r="AF8" i="24"/>
  <c r="EW8" i="24"/>
  <c r="BT8" i="7"/>
  <c r="EP8" i="7"/>
  <c r="ES8" i="7" s="1"/>
  <c r="GM8" i="7"/>
  <c r="AE8" i="7"/>
  <c r="O8" i="27" s="1"/>
  <c r="L7" i="27"/>
  <c r="AI8" i="27" l="1"/>
  <c r="Q8" i="27"/>
  <c r="M8" i="27"/>
  <c r="G7" i="27"/>
  <c r="AG8" i="27"/>
  <c r="FC8" i="24"/>
  <c r="FD8" i="24"/>
  <c r="FE8" i="24"/>
  <c r="GH7" i="7"/>
  <c r="V7" i="7"/>
  <c r="GG7" i="7"/>
  <c r="CK7" i="7"/>
  <c r="EZ8" i="24"/>
  <c r="FK8" i="24" s="1"/>
  <c r="AJ8" i="27"/>
  <c r="FE8" i="7"/>
  <c r="FD8" i="7"/>
  <c r="FC8" i="7"/>
  <c r="V7" i="24"/>
  <c r="GG7" i="24"/>
  <c r="BP7" i="32" s="1"/>
  <c r="GH7" i="24"/>
  <c r="BQ7" i="32" s="1"/>
  <c r="CK7" i="24"/>
  <c r="P8" i="27"/>
  <c r="EZ8" i="7"/>
  <c r="FK8" i="7" s="1"/>
  <c r="AC7" i="27" l="1"/>
  <c r="F7" i="27"/>
  <c r="FF8" i="7"/>
  <c r="FG8" i="7"/>
  <c r="FF8" i="24"/>
  <c r="FG8" i="24"/>
  <c r="GR8" i="24"/>
  <c r="GP8" i="24"/>
  <c r="GS8" i="24"/>
  <c r="GQ8" i="24"/>
  <c r="GP8" i="7"/>
  <c r="GS8" i="7"/>
  <c r="GQ8" i="7"/>
  <c r="GR8" i="7"/>
  <c r="AD7" i="27"/>
  <c r="GT8" i="7" l="1" a="1"/>
  <c r="GT8" i="7" s="1"/>
  <c r="GU8" i="7" s="1"/>
  <c r="BW8" i="7" s="1"/>
  <c r="GT8" i="24" a="1"/>
  <c r="GT8" i="24" s="1"/>
  <c r="GW8" i="7" l="1"/>
  <c r="GV8" i="7"/>
  <c r="BX8" i="7" s="1"/>
  <c r="EH8" i="7" s="1"/>
  <c r="GX8" i="7"/>
  <c r="GX8" i="24"/>
  <c r="GW8" i="24"/>
  <c r="GV8" i="24"/>
  <c r="BX8" i="24" s="1"/>
  <c r="GU8" i="24"/>
  <c r="BW8" i="24" s="1"/>
  <c r="GC8" i="7"/>
  <c r="DZ8" i="7"/>
  <c r="GD8" i="7" l="1"/>
  <c r="BY8" i="7"/>
  <c r="EX8" i="7" s="1"/>
  <c r="FH8" i="7" s="1"/>
  <c r="DZ8" i="24"/>
  <c r="GC8" i="24"/>
  <c r="BL8" i="32" s="1"/>
  <c r="BY8" i="24"/>
  <c r="CB8" i="24" s="1"/>
  <c r="CR8" i="24" s="1"/>
  <c r="GD8" i="24"/>
  <c r="BM8" i="32" s="1"/>
  <c r="EH8" i="24"/>
  <c r="BZ8" i="7" l="1"/>
  <c r="GF8" i="7" s="1"/>
  <c r="GE8" i="7"/>
  <c r="CB8" i="7"/>
  <c r="CR8" i="7" s="1"/>
  <c r="CV8" i="7" s="1"/>
  <c r="CX8" i="7" s="1"/>
  <c r="CY8" i="7" s="1"/>
  <c r="BZ8" i="24"/>
  <c r="CA8" i="24" s="1"/>
  <c r="CD8" i="24" s="1"/>
  <c r="Y8" i="27"/>
  <c r="CV8" i="24"/>
  <c r="CX8" i="24" s="1"/>
  <c r="GE8" i="24"/>
  <c r="BN8" i="32" s="1"/>
  <c r="EX8" i="24"/>
  <c r="FH8" i="24" s="1"/>
  <c r="Z8" i="27"/>
  <c r="FI8" i="7"/>
  <c r="FA9" i="7"/>
  <c r="GF8" i="24" l="1"/>
  <c r="BO8" i="32" s="1"/>
  <c r="EQ8" i="24"/>
  <c r="EQ8" i="7"/>
  <c r="CA8" i="7"/>
  <c r="CD8" i="7" s="1"/>
  <c r="AA8" i="27"/>
  <c r="AB8" i="27"/>
  <c r="Z8" i="24"/>
  <c r="DC8" i="24"/>
  <c r="DD8" i="24" s="1"/>
  <c r="EF8" i="24"/>
  <c r="EE9" i="24" s="1"/>
  <c r="CY8" i="24"/>
  <c r="FI8" i="24"/>
  <c r="FA9" i="24"/>
  <c r="EF8" i="7"/>
  <c r="EE9" i="7" s="1"/>
  <c r="Z8" i="7"/>
  <c r="DC8" i="7"/>
  <c r="DD8" i="7" s="1"/>
  <c r="DA8" i="7"/>
  <c r="J8" i="27" l="1"/>
  <c r="DA8" i="24"/>
  <c r="DE8" i="24" s="1"/>
  <c r="DE8" i="7"/>
  <c r="DF8" i="7" s="1"/>
  <c r="BS9" i="7" s="1"/>
  <c r="GL9" i="7"/>
  <c r="AD9" i="7"/>
  <c r="EG9" i="7"/>
  <c r="EJ9" i="7"/>
  <c r="EI9" i="7"/>
  <c r="EJ9" i="24"/>
  <c r="AD9" i="24"/>
  <c r="EI9" i="24"/>
  <c r="EG9" i="24"/>
  <c r="GL9" i="24"/>
  <c r="BU9" i="32" s="1"/>
  <c r="N9" i="27" l="1"/>
  <c r="Y8" i="24"/>
  <c r="DH8" i="24"/>
  <c r="FT8" i="24" s="1"/>
  <c r="AL8" i="7" s="1"/>
  <c r="DJ8" i="24"/>
  <c r="DN8" i="24" s="1"/>
  <c r="DQ8" i="24" s="1"/>
  <c r="CE8" i="24"/>
  <c r="DF8" i="24"/>
  <c r="BS9" i="24" s="1"/>
  <c r="AH9" i="27"/>
  <c r="DH8" i="7"/>
  <c r="FT8" i="7" s="1"/>
  <c r="AL8" i="24" s="1"/>
  <c r="Y8" i="7"/>
  <c r="CE8" i="7"/>
  <c r="DJ8" i="7"/>
  <c r="DN8" i="7" s="1"/>
  <c r="DQ8" i="7" s="1"/>
  <c r="AB8" i="24" l="1"/>
  <c r="EV8" i="24"/>
  <c r="EU9" i="24" s="1"/>
  <c r="EV8" i="7"/>
  <c r="EU9" i="7" s="1"/>
  <c r="AB8" i="7"/>
  <c r="EO8" i="7"/>
  <c r="EN9" i="7" s="1"/>
  <c r="AA8" i="7"/>
  <c r="DO8" i="7"/>
  <c r="DM9" i="7" s="1"/>
  <c r="DG8" i="7"/>
  <c r="DX8" i="7" s="1"/>
  <c r="DW9" i="7" s="1"/>
  <c r="I8" i="27"/>
  <c r="AA8" i="24"/>
  <c r="EO8" i="24"/>
  <c r="EN9" i="24" s="1"/>
  <c r="DO8" i="24"/>
  <c r="DM9" i="24" s="1"/>
  <c r="DG8" i="24"/>
  <c r="DX8" i="24" s="1"/>
  <c r="DW9" i="24" s="1"/>
  <c r="CH8" i="24"/>
  <c r="CI8" i="7"/>
  <c r="CH8" i="7"/>
  <c r="CI8" i="24"/>
  <c r="L8" i="27" l="1"/>
  <c r="AE9" i="24"/>
  <c r="EP9" i="24"/>
  <c r="ES9" i="24" s="1"/>
  <c r="GM9" i="24"/>
  <c r="BV9" i="32" s="1"/>
  <c r="BT9" i="7"/>
  <c r="K8" i="27"/>
  <c r="W8" i="7"/>
  <c r="CL8" i="7"/>
  <c r="CJ8" i="7"/>
  <c r="BT9" i="24"/>
  <c r="EP9" i="7"/>
  <c r="ES9" i="7" s="1"/>
  <c r="GM9" i="7"/>
  <c r="AE9" i="7"/>
  <c r="O9" i="27" s="1"/>
  <c r="DY9" i="7"/>
  <c r="EB9" i="7" s="1"/>
  <c r="GK9" i="7"/>
  <c r="EA9" i="7"/>
  <c r="AC9" i="7"/>
  <c r="CP9" i="7"/>
  <c r="AG9" i="7" s="1"/>
  <c r="FB9" i="7"/>
  <c r="GN9" i="7"/>
  <c r="AF9" i="7"/>
  <c r="EW9" i="7"/>
  <c r="GN9" i="24"/>
  <c r="BW9" i="32" s="1"/>
  <c r="FB9" i="24"/>
  <c r="AF9" i="24"/>
  <c r="EW9" i="24"/>
  <c r="EZ9" i="24" s="1"/>
  <c r="EA9" i="24"/>
  <c r="CP9" i="24"/>
  <c r="AG9" i="24" s="1"/>
  <c r="DY9" i="24"/>
  <c r="AC9" i="24"/>
  <c r="EB9" i="24"/>
  <c r="GK9" i="24"/>
  <c r="BT9" i="32" s="1"/>
  <c r="W8" i="24"/>
  <c r="CJ8" i="24"/>
  <c r="CL8" i="24"/>
  <c r="AI9" i="27" l="1"/>
  <c r="P9" i="27"/>
  <c r="Q9" i="27"/>
  <c r="FE9" i="24"/>
  <c r="FC9" i="24"/>
  <c r="FD9" i="24"/>
  <c r="AG9" i="27"/>
  <c r="FK9" i="24"/>
  <c r="AJ9" i="27"/>
  <c r="V8" i="24"/>
  <c r="GG8" i="24"/>
  <c r="BP8" i="32" s="1"/>
  <c r="CK8" i="24"/>
  <c r="GH8" i="24"/>
  <c r="BQ8" i="32" s="1"/>
  <c r="GG8" i="7"/>
  <c r="GH8" i="7"/>
  <c r="CK8" i="7"/>
  <c r="V8" i="7"/>
  <c r="FC9" i="7"/>
  <c r="FE9" i="7"/>
  <c r="FD9" i="7"/>
  <c r="G8" i="27"/>
  <c r="EZ9" i="7"/>
  <c r="FK9" i="7" s="1"/>
  <c r="M9" i="27"/>
  <c r="AD8" i="27" l="1"/>
  <c r="AC8" i="27"/>
  <c r="GS9" i="7"/>
  <c r="GP9" i="7"/>
  <c r="GR9" i="7"/>
  <c r="GQ9" i="7"/>
  <c r="FG9" i="24"/>
  <c r="FF9" i="24"/>
  <c r="FF9" i="7"/>
  <c r="FG9" i="7"/>
  <c r="GQ9" i="24"/>
  <c r="GS9" i="24"/>
  <c r="GP9" i="24"/>
  <c r="GR9" i="24"/>
  <c r="F8" i="27"/>
  <c r="GT9" i="24" l="1" a="1"/>
  <c r="GT9" i="24" s="1"/>
  <c r="GU9" i="24" s="1"/>
  <c r="BW9" i="24" s="1"/>
  <c r="GT9" i="7" a="1"/>
  <c r="GT9" i="7" s="1"/>
  <c r="GX9" i="24" l="1"/>
  <c r="GV9" i="24"/>
  <c r="BX9" i="24" s="1"/>
  <c r="GD9" i="24" s="1"/>
  <c r="BM9" i="32" s="1"/>
  <c r="GW9" i="24"/>
  <c r="GU9" i="7"/>
  <c r="BW9" i="7" s="1"/>
  <c r="GX9" i="7"/>
  <c r="GW9" i="7"/>
  <c r="GV9" i="7"/>
  <c r="BX9" i="7" s="1"/>
  <c r="GC9" i="24"/>
  <c r="BL9" i="32" s="1"/>
  <c r="DZ9" i="24"/>
  <c r="EH9" i="24" l="1"/>
  <c r="BY9" i="24"/>
  <c r="BZ9" i="24" s="1"/>
  <c r="GF9" i="24" s="1"/>
  <c r="BO9" i="32" s="1"/>
  <c r="GD9" i="7"/>
  <c r="Z9" i="27" s="1"/>
  <c r="EH9" i="7"/>
  <c r="GC9" i="7"/>
  <c r="Y9" i="27" s="1"/>
  <c r="DZ9" i="7"/>
  <c r="BY9" i="7"/>
  <c r="CB9" i="24" l="1"/>
  <c r="CR9" i="24" s="1"/>
  <c r="CV9" i="24" s="1"/>
  <c r="CX9" i="24" s="1"/>
  <c r="CA9" i="24"/>
  <c r="CD9" i="24" s="1"/>
  <c r="EQ9" i="24"/>
  <c r="EX9" i="24"/>
  <c r="FH9" i="24" s="1"/>
  <c r="FI9" i="24" s="1"/>
  <c r="GE9" i="24"/>
  <c r="BN9" i="32" s="1"/>
  <c r="EX9" i="7"/>
  <c r="FH9" i="7" s="1"/>
  <c r="GE9" i="7"/>
  <c r="AA9" i="27" s="1"/>
  <c r="CB9" i="7"/>
  <c r="CR9" i="7" s="1"/>
  <c r="BZ9" i="7"/>
  <c r="CA9" i="7" s="1"/>
  <c r="CD9" i="7" s="1"/>
  <c r="FA10" i="24" l="1"/>
  <c r="DC9" i="24"/>
  <c r="DD9" i="24" s="1"/>
  <c r="EF9" i="24"/>
  <c r="EE10" i="24" s="1"/>
  <c r="Z9" i="24"/>
  <c r="EQ9" i="7"/>
  <c r="GF9" i="7"/>
  <c r="AB9" i="27" s="1"/>
  <c r="CV9" i="7"/>
  <c r="CX9" i="7" s="1"/>
  <c r="CY9" i="7" s="1"/>
  <c r="CY9" i="24"/>
  <c r="FI9" i="7"/>
  <c r="FA10" i="7"/>
  <c r="DA9" i="7" l="1"/>
  <c r="DA9" i="24"/>
  <c r="DE9" i="24" s="1"/>
  <c r="DF9" i="24" s="1"/>
  <c r="BS10" i="24" s="1"/>
  <c r="EG10" i="24"/>
  <c r="EI10" i="24"/>
  <c r="GL10" i="24"/>
  <c r="BU10" i="32" s="1"/>
  <c r="EJ10" i="24"/>
  <c r="AD10" i="24"/>
  <c r="DC9" i="7"/>
  <c r="DD9" i="7" s="1"/>
  <c r="Z9" i="7"/>
  <c r="J9" i="27" s="1"/>
  <c r="EF9" i="7"/>
  <c r="EE10" i="7" s="1"/>
  <c r="Y9" i="24" l="1"/>
  <c r="DH9" i="24"/>
  <c r="FT9" i="24" s="1"/>
  <c r="AL9" i="7" s="1"/>
  <c r="CE9" i="24"/>
  <c r="DJ9" i="24"/>
  <c r="DN9" i="24" s="1"/>
  <c r="DE9" i="7"/>
  <c r="DF9" i="7" s="1"/>
  <c r="BS10" i="7" s="1"/>
  <c r="EG10" i="7"/>
  <c r="EJ10" i="7"/>
  <c r="GL10" i="7"/>
  <c r="AH10" i="27" s="1"/>
  <c r="AD10" i="7"/>
  <c r="N10" i="27" s="1"/>
  <c r="EI10" i="7"/>
  <c r="EO9" i="24" l="1"/>
  <c r="EN10" i="24" s="1"/>
  <c r="AA9" i="24"/>
  <c r="DO9" i="24"/>
  <c r="DM10" i="24" s="1"/>
  <c r="DQ9" i="24"/>
  <c r="DG9" i="24"/>
  <c r="DH9" i="7"/>
  <c r="FT9" i="7" s="1"/>
  <c r="AL9" i="24" s="1"/>
  <c r="Y9" i="7"/>
  <c r="I9" i="27" s="1"/>
  <c r="CE9" i="7"/>
  <c r="DJ9" i="7"/>
  <c r="DN9" i="7" s="1"/>
  <c r="DQ9" i="7" s="1"/>
  <c r="CI9" i="24"/>
  <c r="CH9" i="24"/>
  <c r="DG9" i="7" l="1"/>
  <c r="DX9" i="7" s="1"/>
  <c r="DW10" i="7" s="1"/>
  <c r="GK10" i="7" s="1"/>
  <c r="DX9" i="24"/>
  <c r="DW10" i="24" s="1"/>
  <c r="GK10" i="24" s="1"/>
  <c r="BT10" i="32" s="1"/>
  <c r="EV9" i="7"/>
  <c r="EU10" i="7" s="1"/>
  <c r="AB9" i="7"/>
  <c r="EV9" i="24"/>
  <c r="EU10" i="24" s="1"/>
  <c r="AB9" i="24"/>
  <c r="W9" i="24"/>
  <c r="CJ9" i="24"/>
  <c r="CL9" i="24"/>
  <c r="BT10" i="24"/>
  <c r="AA9" i="7"/>
  <c r="K9" i="27" s="1"/>
  <c r="EO9" i="7"/>
  <c r="EN10" i="7" s="1"/>
  <c r="DO9" i="7"/>
  <c r="DM10" i="7" s="1"/>
  <c r="AE10" i="24"/>
  <c r="GM10" i="24"/>
  <c r="BV10" i="32" s="1"/>
  <c r="EP10" i="24"/>
  <c r="ES10" i="24" s="1"/>
  <c r="CH9" i="7"/>
  <c r="CI9" i="7"/>
  <c r="DY10" i="24" l="1"/>
  <c r="EB10" i="24" s="1"/>
  <c r="AC10" i="24"/>
  <c r="DY10" i="7"/>
  <c r="EB10" i="7" s="1"/>
  <c r="CP10" i="24"/>
  <c r="AG10" i="24" s="1"/>
  <c r="EA10" i="24"/>
  <c r="EA10" i="7"/>
  <c r="AC10" i="7"/>
  <c r="CP10" i="7"/>
  <c r="AG10" i="7" s="1"/>
  <c r="GG9" i="24"/>
  <c r="BP9" i="32" s="1"/>
  <c r="GH9" i="24"/>
  <c r="BQ9" i="32" s="1"/>
  <c r="V9" i="24"/>
  <c r="CK9" i="24"/>
  <c r="GM10" i="7"/>
  <c r="AI10" i="27" s="1"/>
  <c r="AE10" i="7"/>
  <c r="O10" i="27" s="1"/>
  <c r="EP10" i="7"/>
  <c r="ES10" i="7" s="1"/>
  <c r="AF10" i="24"/>
  <c r="EW10" i="24"/>
  <c r="EZ10" i="24" s="1"/>
  <c r="GN10" i="24"/>
  <c r="BW10" i="32" s="1"/>
  <c r="FB10" i="24"/>
  <c r="BT10" i="7"/>
  <c r="AG10" i="27"/>
  <c r="W9" i="7"/>
  <c r="G9" i="27" s="1"/>
  <c r="CL9" i="7"/>
  <c r="CJ9" i="7"/>
  <c r="L9" i="27"/>
  <c r="FB10" i="7"/>
  <c r="EW10" i="7"/>
  <c r="EZ10" i="7" s="1"/>
  <c r="GN10" i="7"/>
  <c r="AF10" i="7"/>
  <c r="Q10" i="27" l="1"/>
  <c r="M10" i="27"/>
  <c r="FK10" i="24"/>
  <c r="GP10" i="24" s="1"/>
  <c r="P10" i="27"/>
  <c r="AJ10" i="27"/>
  <c r="FK10" i="7"/>
  <c r="FC10" i="24"/>
  <c r="FE10" i="24"/>
  <c r="FD10" i="24"/>
  <c r="GG9" i="7"/>
  <c r="AC9" i="27" s="1"/>
  <c r="V9" i="7"/>
  <c r="F9" i="27" s="1"/>
  <c r="CK9" i="7"/>
  <c r="GH9" i="7"/>
  <c r="AD9" i="27" s="1"/>
  <c r="FC10" i="7"/>
  <c r="FE10" i="7"/>
  <c r="FD10" i="7"/>
  <c r="GS10" i="24" l="1"/>
  <c r="GR10" i="24"/>
  <c r="GQ10" i="24"/>
  <c r="FG10" i="7"/>
  <c r="FF10" i="7"/>
  <c r="FF10" i="24"/>
  <c r="FG10" i="24"/>
  <c r="GR10" i="7"/>
  <c r="GP10" i="7"/>
  <c r="GQ10" i="7"/>
  <c r="GS10" i="7"/>
  <c r="GT10" i="24" l="1" a="1"/>
  <c r="GT10" i="24" s="1"/>
  <c r="GV10" i="24" s="1"/>
  <c r="BX10" i="24" s="1"/>
  <c r="GT10" i="7" a="1"/>
  <c r="GT10" i="7" s="1"/>
  <c r="GX10" i="7" s="1"/>
  <c r="GW10" i="24"/>
  <c r="GX10" i="24"/>
  <c r="GU10" i="24"/>
  <c r="BW10" i="24" s="1"/>
  <c r="GU10" i="7" l="1"/>
  <c r="BW10" i="7" s="1"/>
  <c r="DZ10" i="7" s="1"/>
  <c r="GV10" i="7"/>
  <c r="BX10" i="7" s="1"/>
  <c r="GD10" i="7" s="1"/>
  <c r="GW10" i="7"/>
  <c r="GC10" i="24"/>
  <c r="BL10" i="32" s="1"/>
  <c r="DZ10" i="24"/>
  <c r="BY10" i="24"/>
  <c r="EH10" i="24"/>
  <c r="GD10" i="24"/>
  <c r="BM10" i="32" s="1"/>
  <c r="Z10" i="27" l="1"/>
  <c r="EH10" i="7"/>
  <c r="BY10" i="7"/>
  <c r="CB10" i="7" s="1"/>
  <c r="CR10" i="7" s="1"/>
  <c r="CV10" i="7" s="1"/>
  <c r="CX10" i="7" s="1"/>
  <c r="CY10" i="7" s="1"/>
  <c r="GC10" i="7"/>
  <c r="Y10" i="27" s="1"/>
  <c r="EX10" i="24"/>
  <c r="FH10" i="24" s="1"/>
  <c r="GE10" i="24"/>
  <c r="BN10" i="32" s="1"/>
  <c r="BZ10" i="24"/>
  <c r="CA10" i="24" s="1"/>
  <c r="CD10" i="24" s="1"/>
  <c r="CB10" i="24"/>
  <c r="CR10" i="24" s="1"/>
  <c r="EX10" i="7" l="1"/>
  <c r="FH10" i="7" s="1"/>
  <c r="FI10" i="7" s="1"/>
  <c r="BZ10" i="7"/>
  <c r="EQ10" i="7" s="1"/>
  <c r="GE10" i="7"/>
  <c r="AA10" i="27" s="1"/>
  <c r="CA10" i="7"/>
  <c r="CD10" i="7" s="1"/>
  <c r="GF10" i="24"/>
  <c r="BO10" i="32" s="1"/>
  <c r="EQ10" i="24"/>
  <c r="FI10" i="24"/>
  <c r="FA11" i="24"/>
  <c r="DA10" i="7"/>
  <c r="CV10" i="24"/>
  <c r="CX10" i="24" s="1"/>
  <c r="DC10" i="7"/>
  <c r="DD10" i="7" s="1"/>
  <c r="Z10" i="7"/>
  <c r="EF10" i="7"/>
  <c r="EE11" i="7" s="1"/>
  <c r="GF10" i="7" l="1"/>
  <c r="AB10" i="27" s="1"/>
  <c r="FA11" i="7"/>
  <c r="Z10" i="24"/>
  <c r="J10" i="27" s="1"/>
  <c r="DC10" i="24"/>
  <c r="DD10" i="24" s="1"/>
  <c r="EF10" i="24"/>
  <c r="EE11" i="24" s="1"/>
  <c r="EI11" i="7"/>
  <c r="EJ11" i="7"/>
  <c r="GL11" i="7"/>
  <c r="AD11" i="7"/>
  <c r="EG11" i="7"/>
  <c r="DE10" i="7"/>
  <c r="CE10" i="7" s="1"/>
  <c r="CY10" i="24"/>
  <c r="DF10" i="7" l="1"/>
  <c r="BS11" i="7" s="1"/>
  <c r="DH10" i="7"/>
  <c r="FT10" i="7" s="1"/>
  <c r="AL10" i="24" s="1"/>
  <c r="Y10" i="7"/>
  <c r="DJ10" i="7"/>
  <c r="DN10" i="7" s="1"/>
  <c r="EI11" i="24"/>
  <c r="EJ11" i="24"/>
  <c r="AD11" i="24"/>
  <c r="N11" i="27" s="1"/>
  <c r="EG11" i="24"/>
  <c r="GL11" i="24"/>
  <c r="BU11" i="32" s="1"/>
  <c r="DA10" i="24"/>
  <c r="DE10" i="24" s="1"/>
  <c r="CI10" i="7"/>
  <c r="CH10" i="7"/>
  <c r="DG10" i="7" l="1"/>
  <c r="AH11" i="27"/>
  <c r="DH10" i="24"/>
  <c r="FT10" i="24" s="1"/>
  <c r="AL10" i="7" s="1"/>
  <c r="DX10" i="7" s="1"/>
  <c r="DW11" i="7" s="1"/>
  <c r="Y10" i="24"/>
  <c r="I10" i="27" s="1"/>
  <c r="CE10" i="24"/>
  <c r="DJ10" i="24"/>
  <c r="DN10" i="24" s="1"/>
  <c r="DQ10" i="24" s="1"/>
  <c r="DF10" i="24"/>
  <c r="BS11" i="24" s="1"/>
  <c r="EO10" i="7"/>
  <c r="EN11" i="7" s="1"/>
  <c r="AA10" i="7"/>
  <c r="DO10" i="7"/>
  <c r="DM11" i="7" s="1"/>
  <c r="DQ10" i="7"/>
  <c r="W10" i="7"/>
  <c r="CJ10" i="7"/>
  <c r="CL10" i="7"/>
  <c r="DG10" i="24" l="1"/>
  <c r="DX10" i="24" s="1"/>
  <c r="DW11" i="24" s="1"/>
  <c r="DY11" i="24" s="1"/>
  <c r="EB11" i="24" s="1"/>
  <c r="AB10" i="24"/>
  <c r="EV10" i="24"/>
  <c r="EU11" i="24" s="1"/>
  <c r="GK11" i="7"/>
  <c r="AC11" i="7"/>
  <c r="DY11" i="7"/>
  <c r="EB11" i="7" s="1"/>
  <c r="EA11" i="7"/>
  <c r="AA10" i="24"/>
  <c r="K10" i="27" s="1"/>
  <c r="EO10" i="24"/>
  <c r="EN11" i="24" s="1"/>
  <c r="DO10" i="24"/>
  <c r="DM11" i="24" s="1"/>
  <c r="AB10" i="7"/>
  <c r="EV10" i="7"/>
  <c r="EU11" i="7" s="1"/>
  <c r="BT11" i="7"/>
  <c r="V10" i="7"/>
  <c r="CK10" i="7"/>
  <c r="GH10" i="7"/>
  <c r="GG10" i="7"/>
  <c r="AE11" i="7"/>
  <c r="GM11" i="7"/>
  <c r="EP11" i="7"/>
  <c r="ES11" i="7" s="1"/>
  <c r="CH10" i="24"/>
  <c r="CI10" i="24"/>
  <c r="EA11" i="24" l="1"/>
  <c r="L10" i="27"/>
  <c r="GK11" i="24"/>
  <c r="BT11" i="32" s="1"/>
  <c r="AC11" i="24"/>
  <c r="M11" i="27" s="1"/>
  <c r="EW11" i="7"/>
  <c r="EZ11" i="7" s="1"/>
  <c r="FK11" i="7" s="1"/>
  <c r="FB11" i="7"/>
  <c r="GN11" i="7"/>
  <c r="AF11" i="7"/>
  <c r="CP11" i="7"/>
  <c r="AG11" i="7" s="1"/>
  <c r="BT11" i="24"/>
  <c r="GM11" i="24"/>
  <c r="BV11" i="32" s="1"/>
  <c r="AE11" i="24"/>
  <c r="O11" i="27" s="1"/>
  <c r="EP11" i="24"/>
  <c r="CP11" i="24"/>
  <c r="AG11" i="24" s="1"/>
  <c r="FB11" i="24"/>
  <c r="EW11" i="24"/>
  <c r="EZ11" i="24" s="1"/>
  <c r="AF11" i="24"/>
  <c r="GN11" i="24"/>
  <c r="BW11" i="32" s="1"/>
  <c r="W10" i="24"/>
  <c r="G10" i="27" s="1"/>
  <c r="CL10" i="24"/>
  <c r="CJ10" i="24"/>
  <c r="AG11" i="27" l="1"/>
  <c r="AJ11" i="27"/>
  <c r="Q11" i="27"/>
  <c r="P11" i="27"/>
  <c r="FC11" i="24"/>
  <c r="FD11" i="24"/>
  <c r="FE11" i="24"/>
  <c r="GH10" i="24"/>
  <c r="V10" i="24"/>
  <c r="F10" i="27" s="1"/>
  <c r="CK10" i="24"/>
  <c r="GG10" i="24"/>
  <c r="AI11" i="27"/>
  <c r="ES11" i="24"/>
  <c r="FK11" i="24" s="1"/>
  <c r="GP11" i="7"/>
  <c r="GQ11" i="7"/>
  <c r="GR11" i="7"/>
  <c r="GS11" i="7"/>
  <c r="FE11" i="7"/>
  <c r="FC11" i="7"/>
  <c r="FD11" i="7"/>
  <c r="BQ10" i="32" l="1"/>
  <c r="AD10" i="27"/>
  <c r="FG11" i="24"/>
  <c r="FF11" i="24"/>
  <c r="GQ11" i="24"/>
  <c r="GS11" i="24"/>
  <c r="GP11" i="24"/>
  <c r="GR11" i="24"/>
  <c r="GT11" i="7" a="1"/>
  <c r="GT11" i="7" s="1"/>
  <c r="FG11" i="7"/>
  <c r="FF11" i="7"/>
  <c r="BP10" i="32"/>
  <c r="AC10" i="27"/>
  <c r="GT11" i="24" l="1" a="1"/>
  <c r="GT11" i="24" s="1"/>
  <c r="GW11" i="7"/>
  <c r="GV11" i="7"/>
  <c r="BX11" i="7" s="1"/>
  <c r="GU11" i="7"/>
  <c r="BW11" i="7" s="1"/>
  <c r="GX11" i="7"/>
  <c r="GC11" i="7" l="1"/>
  <c r="DZ11" i="7"/>
  <c r="BY11" i="7"/>
  <c r="BZ11" i="7" s="1"/>
  <c r="EH11" i="7"/>
  <c r="GD11" i="7"/>
  <c r="GV11" i="24"/>
  <c r="BX11" i="24" s="1"/>
  <c r="GW11" i="24"/>
  <c r="GX11" i="24"/>
  <c r="GU11" i="24"/>
  <c r="BW11" i="24" s="1"/>
  <c r="CB11" i="7" l="1"/>
  <c r="CR11" i="7" s="1"/>
  <c r="CV11" i="7" s="1"/>
  <c r="CX11" i="7" s="1"/>
  <c r="CY11" i="7" s="1"/>
  <c r="EQ11" i="7"/>
  <c r="GF11" i="7"/>
  <c r="GC11" i="24"/>
  <c r="BL11" i="32" s="1"/>
  <c r="DZ11" i="24"/>
  <c r="BY11" i="24"/>
  <c r="CB11" i="24" s="1"/>
  <c r="CR11" i="24" s="1"/>
  <c r="EX11" i="7"/>
  <c r="FH11" i="7" s="1"/>
  <c r="GE11" i="7"/>
  <c r="GD11" i="24"/>
  <c r="BM11" i="32" s="1"/>
  <c r="EH11" i="24"/>
  <c r="CA11" i="7"/>
  <c r="CD11" i="7" s="1"/>
  <c r="Y11" i="27" l="1"/>
  <c r="DA11" i="7"/>
  <c r="EX11" i="24"/>
  <c r="FH11" i="24" s="1"/>
  <c r="GE11" i="24"/>
  <c r="BN11" i="32" s="1"/>
  <c r="CV11" i="24"/>
  <c r="CX11" i="24" s="1"/>
  <c r="CY11" i="24" s="1"/>
  <c r="FI11" i="7"/>
  <c r="FA12" i="7"/>
  <c r="BZ11" i="24"/>
  <c r="Z11" i="27"/>
  <c r="Z11" i="7"/>
  <c r="EF11" i="7"/>
  <c r="EE12" i="7" s="1"/>
  <c r="DC11" i="7"/>
  <c r="DD11" i="7" s="1"/>
  <c r="DA11" i="24" l="1"/>
  <c r="EQ11" i="24"/>
  <c r="GF11" i="24"/>
  <c r="AA11" i="27"/>
  <c r="Z11" i="24"/>
  <c r="J11" i="27" s="1"/>
  <c r="DC11" i="24"/>
  <c r="DD11" i="24" s="1"/>
  <c r="EF11" i="24"/>
  <c r="EE12" i="24" s="1"/>
  <c r="CA11" i="24"/>
  <c r="CD11" i="24" s="1"/>
  <c r="FI11" i="24"/>
  <c r="FA12" i="24"/>
  <c r="DE11" i="7"/>
  <c r="DF11" i="7" s="1"/>
  <c r="BS12" i="7" s="1"/>
  <c r="EI12" i="7"/>
  <c r="EJ12" i="7"/>
  <c r="GL12" i="7"/>
  <c r="AD12" i="7"/>
  <c r="EG12" i="7"/>
  <c r="DE11" i="24" l="1"/>
  <c r="CE11" i="24" s="1"/>
  <c r="CE11" i="7"/>
  <c r="Y11" i="7"/>
  <c r="DH11" i="7"/>
  <c r="FT11" i="7" s="1"/>
  <c r="AL11" i="24" s="1"/>
  <c r="DJ11" i="7"/>
  <c r="DN11" i="7" s="1"/>
  <c r="DQ11" i="7" s="1"/>
  <c r="BO11" i="32"/>
  <c r="AB11" i="27"/>
  <c r="AD12" i="24"/>
  <c r="N12" i="27" s="1"/>
  <c r="EI12" i="24"/>
  <c r="EG12" i="24"/>
  <c r="EJ12" i="24"/>
  <c r="GL12" i="24"/>
  <c r="BU12" i="32" s="1"/>
  <c r="EV11" i="7" l="1"/>
  <c r="EU12" i="7" s="1"/>
  <c r="AB11" i="7"/>
  <c r="AA11" i="7"/>
  <c r="EO11" i="7"/>
  <c r="EN12" i="7" s="1"/>
  <c r="DO11" i="7"/>
  <c r="DM12" i="7" s="1"/>
  <c r="AH12" i="27"/>
  <c r="DG11" i="7"/>
  <c r="Y11" i="24"/>
  <c r="I11" i="27" s="1"/>
  <c r="DH11" i="24"/>
  <c r="FT11" i="24" s="1"/>
  <c r="AL11" i="7" s="1"/>
  <c r="DJ11" i="24"/>
  <c r="DN11" i="24" s="1"/>
  <c r="DF11" i="24"/>
  <c r="BS12" i="24" s="1"/>
  <c r="CI11" i="7"/>
  <c r="CH11" i="24"/>
  <c r="CH11" i="7"/>
  <c r="CI11" i="24"/>
  <c r="DG11" i="24" l="1"/>
  <c r="DX11" i="24" s="1"/>
  <c r="DW12" i="24" s="1"/>
  <c r="AA11" i="24"/>
  <c r="K11" i="27" s="1"/>
  <c r="EO11" i="24"/>
  <c r="EN12" i="24" s="1"/>
  <c r="DO11" i="24"/>
  <c r="DM12" i="24" s="1"/>
  <c r="BT12" i="7"/>
  <c r="W11" i="7"/>
  <c r="CL11" i="7"/>
  <c r="CJ11" i="7"/>
  <c r="EP12" i="7"/>
  <c r="ES12" i="7" s="1"/>
  <c r="AE12" i="7"/>
  <c r="GM12" i="7"/>
  <c r="DX11" i="7"/>
  <c r="DW12" i="7" s="1"/>
  <c r="DQ11" i="24"/>
  <c r="W11" i="24"/>
  <c r="CL11" i="24"/>
  <c r="CJ11" i="24"/>
  <c r="FB12" i="7"/>
  <c r="GN12" i="7"/>
  <c r="EW12" i="7"/>
  <c r="EZ12" i="7" s="1"/>
  <c r="AF12" i="7"/>
  <c r="G11" i="27" l="1"/>
  <c r="GG11" i="24"/>
  <c r="BP11" i="32" s="1"/>
  <c r="GH11" i="24"/>
  <c r="BQ11" i="32" s="1"/>
  <c r="CK11" i="24"/>
  <c r="V11" i="24"/>
  <c r="BT12" i="24"/>
  <c r="AB11" i="24"/>
  <c r="L11" i="27" s="1"/>
  <c r="EV11" i="24"/>
  <c r="EU12" i="24" s="1"/>
  <c r="CP12" i="24" s="1"/>
  <c r="AG12" i="24" s="1"/>
  <c r="AE12" i="24"/>
  <c r="O12" i="27" s="1"/>
  <c r="EP12" i="24"/>
  <c r="GM12" i="24"/>
  <c r="BV12" i="32" s="1"/>
  <c r="V11" i="7"/>
  <c r="GG11" i="7"/>
  <c r="CK11" i="7"/>
  <c r="GH11" i="7"/>
  <c r="AD11" i="27" s="1"/>
  <c r="FD12" i="7"/>
  <c r="FE12" i="7"/>
  <c r="FC12" i="7"/>
  <c r="DY12" i="7"/>
  <c r="EB12" i="7" s="1"/>
  <c r="FK12" i="7" s="1"/>
  <c r="AC12" i="7"/>
  <c r="EA12" i="7"/>
  <c r="GK12" i="7"/>
  <c r="CP12" i="7"/>
  <c r="AG12" i="7" s="1"/>
  <c r="GK12" i="24"/>
  <c r="BT12" i="32" s="1"/>
  <c r="AC12" i="24"/>
  <c r="EA12" i="24"/>
  <c r="DY12" i="24"/>
  <c r="EB12" i="24" s="1"/>
  <c r="F11" i="27" l="1"/>
  <c r="AG12" i="27"/>
  <c r="Q12" i="27"/>
  <c r="AC11" i="27"/>
  <c r="FG12" i="7"/>
  <c r="FF12" i="7"/>
  <c r="ES12" i="24"/>
  <c r="AI12" i="27"/>
  <c r="GS12" i="7"/>
  <c r="GQ12" i="7"/>
  <c r="GP12" i="7"/>
  <c r="GR12" i="7"/>
  <c r="AF12" i="24"/>
  <c r="P12" i="27" s="1"/>
  <c r="FB12" i="24"/>
  <c r="EW12" i="24"/>
  <c r="EZ12" i="24" s="1"/>
  <c r="GN12" i="24"/>
  <c r="M12" i="27"/>
  <c r="FK12" i="24" l="1"/>
  <c r="FD12" i="24"/>
  <c r="FC12" i="24"/>
  <c r="FE12" i="24"/>
  <c r="BW12" i="32"/>
  <c r="AJ12" i="27"/>
  <c r="GT12" i="7" a="1"/>
  <c r="GT12" i="7" s="1"/>
  <c r="GX12" i="7" l="1"/>
  <c r="GW12" i="7"/>
  <c r="GU12" i="7"/>
  <c r="BW12" i="7" s="1"/>
  <c r="GV12" i="7"/>
  <c r="BX12" i="7" s="1"/>
  <c r="FG12" i="24"/>
  <c r="FF12" i="24"/>
  <c r="GP12" i="24"/>
  <c r="GR12" i="24"/>
  <c r="GS12" i="24"/>
  <c r="GQ12" i="24"/>
  <c r="GT12" i="24" l="1" a="1"/>
  <c r="GT12" i="24" s="1"/>
  <c r="GU12" i="24" s="1"/>
  <c r="BW12" i="24" s="1"/>
  <c r="EH12" i="7"/>
  <c r="GD12" i="7"/>
  <c r="DZ12" i="7"/>
  <c r="GC12" i="7"/>
  <c r="BY12" i="7"/>
  <c r="CB12" i="7" s="1"/>
  <c r="CR12" i="7" s="1"/>
  <c r="GW12" i="24" l="1"/>
  <c r="GX12" i="24"/>
  <c r="GV12" i="24"/>
  <c r="BX12" i="24" s="1"/>
  <c r="GD12" i="24" s="1"/>
  <c r="CV12" i="7"/>
  <c r="CX12" i="7" s="1"/>
  <c r="EX12" i="7"/>
  <c r="FH12" i="7" s="1"/>
  <c r="GE12" i="7"/>
  <c r="BZ12" i="7"/>
  <c r="DZ12" i="24"/>
  <c r="GC12" i="24"/>
  <c r="BL12" i="32" s="1"/>
  <c r="BY12" i="24" l="1"/>
  <c r="CB12" i="24" s="1"/>
  <c r="CR12" i="24" s="1"/>
  <c r="CV12" i="24" s="1"/>
  <c r="CX12" i="24" s="1"/>
  <c r="EH12" i="24"/>
  <c r="BM12" i="32"/>
  <c r="Z12" i="27"/>
  <c r="Y12" i="27"/>
  <c r="EQ12" i="7"/>
  <c r="GF12" i="7"/>
  <c r="FI12" i="7"/>
  <c r="FA13" i="7"/>
  <c r="CA12" i="7"/>
  <c r="CD12" i="7" s="1"/>
  <c r="Z12" i="7"/>
  <c r="EF12" i="7"/>
  <c r="EE13" i="7" s="1"/>
  <c r="DC12" i="7"/>
  <c r="DD12" i="7" s="1"/>
  <c r="CY12" i="7"/>
  <c r="BZ12" i="24" l="1"/>
  <c r="CA12" i="24" s="1"/>
  <c r="CD12" i="24" s="1"/>
  <c r="GE12" i="24"/>
  <c r="BN12" i="32" s="1"/>
  <c r="EX12" i="24"/>
  <c r="FH12" i="24" s="1"/>
  <c r="FA13" i="24" s="1"/>
  <c r="EF12" i="24"/>
  <c r="EE13" i="24" s="1"/>
  <c r="DC12" i="24"/>
  <c r="DD12" i="24" s="1"/>
  <c r="Z12" i="24"/>
  <c r="J12" i="27" s="1"/>
  <c r="CY12" i="24"/>
  <c r="DA12" i="7"/>
  <c r="DE12" i="7" s="1"/>
  <c r="AD13" i="7"/>
  <c r="EJ13" i="7"/>
  <c r="GL13" i="7"/>
  <c r="EG13" i="7"/>
  <c r="EI13" i="7"/>
  <c r="FI12" i="24" l="1"/>
  <c r="GF12" i="24"/>
  <c r="BO12" i="32" s="1"/>
  <c r="AA12" i="27"/>
  <c r="EQ12" i="24"/>
  <c r="CE12" i="7"/>
  <c r="CH12" i="7" s="1"/>
  <c r="DF12" i="7"/>
  <c r="BS13" i="7" s="1"/>
  <c r="Y12" i="7"/>
  <c r="DH12" i="7"/>
  <c r="FT12" i="7" s="1"/>
  <c r="AL12" i="24" s="1"/>
  <c r="GL13" i="24"/>
  <c r="BU13" i="32" s="1"/>
  <c r="AD13" i="24"/>
  <c r="N13" i="27" s="1"/>
  <c r="EI13" i="24"/>
  <c r="EJ13" i="24"/>
  <c r="EG13" i="24"/>
  <c r="DJ12" i="7"/>
  <c r="DN12" i="7" s="1"/>
  <c r="DA12" i="24"/>
  <c r="DE12" i="24" s="1"/>
  <c r="CI12" i="7"/>
  <c r="AB12" i="27" l="1"/>
  <c r="AH13" i="27"/>
  <c r="DH12" i="24"/>
  <c r="FT12" i="24" s="1"/>
  <c r="AL12" i="7" s="1"/>
  <c r="Y12" i="24"/>
  <c r="DJ12" i="24"/>
  <c r="DN12" i="24" s="1"/>
  <c r="DQ12" i="24" s="1"/>
  <c r="DF12" i="24"/>
  <c r="BS13" i="24" s="1"/>
  <c r="CE12" i="24"/>
  <c r="W12" i="7"/>
  <c r="CJ12" i="7"/>
  <c r="CL12" i="7"/>
  <c r="DG12" i="7"/>
  <c r="I12" i="27"/>
  <c r="AA12" i="7"/>
  <c r="EO12" i="7"/>
  <c r="EN13" i="7" s="1"/>
  <c r="DO12" i="7"/>
  <c r="DM13" i="7" s="1"/>
  <c r="DQ12" i="7"/>
  <c r="BT13" i="7" l="1"/>
  <c r="EV12" i="24"/>
  <c r="EU13" i="24" s="1"/>
  <c r="AB12" i="24"/>
  <c r="AE13" i="7"/>
  <c r="GM13" i="7"/>
  <c r="EP13" i="7"/>
  <c r="ES13" i="7" s="1"/>
  <c r="AA12" i="24"/>
  <c r="K12" i="27" s="1"/>
  <c r="EO12" i="24"/>
  <c r="EN13" i="24" s="1"/>
  <c r="DO12" i="24"/>
  <c r="DM13" i="24" s="1"/>
  <c r="DX12" i="7"/>
  <c r="DW13" i="7" s="1"/>
  <c r="EV12" i="7"/>
  <c r="EU13" i="7" s="1"/>
  <c r="AB12" i="7"/>
  <c r="GG12" i="7"/>
  <c r="V12" i="7"/>
  <c r="CK12" i="7"/>
  <c r="GH12" i="7"/>
  <c r="DG12" i="24"/>
  <c r="DX12" i="24" s="1"/>
  <c r="DW13" i="24" s="1"/>
  <c r="CH12" i="24"/>
  <c r="CI12" i="24"/>
  <c r="L12" i="27" l="1"/>
  <c r="BT13" i="24"/>
  <c r="AE13" i="24"/>
  <c r="O13" i="27" s="1"/>
  <c r="GM13" i="24"/>
  <c r="BV13" i="32" s="1"/>
  <c r="EP13" i="24"/>
  <c r="ES13" i="24" s="1"/>
  <c r="AF13" i="24"/>
  <c r="EW13" i="24"/>
  <c r="GN13" i="24"/>
  <c r="BW13" i="32" s="1"/>
  <c r="FB13" i="24"/>
  <c r="FB13" i="7"/>
  <c r="GN13" i="7"/>
  <c r="AF13" i="7"/>
  <c r="EW13" i="7"/>
  <c r="W12" i="24"/>
  <c r="G12" i="27" s="1"/>
  <c r="CL12" i="24"/>
  <c r="CJ12" i="24"/>
  <c r="DY13" i="24"/>
  <c r="EB13" i="24" s="1"/>
  <c r="CP13" i="24"/>
  <c r="AG13" i="24" s="1"/>
  <c r="EA13" i="24"/>
  <c r="GK13" i="24"/>
  <c r="BT13" i="32" s="1"/>
  <c r="AC13" i="24"/>
  <c r="GK13" i="7"/>
  <c r="EA13" i="7"/>
  <c r="AC13" i="7"/>
  <c r="CP13" i="7"/>
  <c r="AG13" i="7" s="1"/>
  <c r="DY13" i="7"/>
  <c r="EB13" i="7" s="1"/>
  <c r="Q13" i="27" l="1"/>
  <c r="AJ13" i="27"/>
  <c r="M13" i="27"/>
  <c r="P13" i="27"/>
  <c r="FC13" i="7"/>
  <c r="FE13" i="7"/>
  <c r="FD13" i="7"/>
  <c r="EZ13" i="24"/>
  <c r="FK13" i="24" s="1"/>
  <c r="EZ13" i="7"/>
  <c r="FK13" i="7" s="1"/>
  <c r="AG13" i="27"/>
  <c r="AI13" i="27"/>
  <c r="GG12" i="24"/>
  <c r="GH12" i="24"/>
  <c r="V12" i="24"/>
  <c r="F12" i="27" s="1"/>
  <c r="CK12" i="24"/>
  <c r="FC13" i="24"/>
  <c r="FD13" i="24"/>
  <c r="FE13" i="24"/>
  <c r="GS13" i="24" l="1"/>
  <c r="GP13" i="24"/>
  <c r="GR13" i="24"/>
  <c r="GQ13" i="24"/>
  <c r="GQ13" i="7"/>
  <c r="GS13" i="7"/>
  <c r="GR13" i="7"/>
  <c r="GP13" i="7"/>
  <c r="GT13" i="7" s="1" a="1"/>
  <c r="GT13" i="7" s="1"/>
  <c r="BQ12" i="32"/>
  <c r="AD12" i="27"/>
  <c r="FG13" i="7"/>
  <c r="FF13" i="7"/>
  <c r="BP12" i="32"/>
  <c r="AC12" i="27"/>
  <c r="FG13" i="24"/>
  <c r="FF13" i="24"/>
  <c r="GX13" i="7" l="1"/>
  <c r="GW13" i="7"/>
  <c r="GU13" i="7"/>
  <c r="BW13" i="7" s="1"/>
  <c r="GV13" i="7"/>
  <c r="BX13" i="7" s="1"/>
  <c r="GT13" i="24" a="1"/>
  <c r="GT13" i="24" s="1"/>
  <c r="GU13" i="24" l="1"/>
  <c r="BW13" i="24" s="1"/>
  <c r="GX13" i="24"/>
  <c r="GV13" i="24"/>
  <c r="BX13" i="24" s="1"/>
  <c r="GW13" i="24"/>
  <c r="GD13" i="7"/>
  <c r="EH13" i="7"/>
  <c r="GC13" i="7"/>
  <c r="BY13" i="7"/>
  <c r="CB13" i="7" s="1"/>
  <c r="CR13" i="7" s="1"/>
  <c r="DZ13" i="7"/>
  <c r="CV13" i="7" l="1"/>
  <c r="CX13" i="7" s="1"/>
  <c r="CY13" i="7" s="1"/>
  <c r="BZ13" i="7"/>
  <c r="EH13" i="24"/>
  <c r="GD13" i="24"/>
  <c r="BM13" i="32" s="1"/>
  <c r="EX13" i="7"/>
  <c r="FH13" i="7" s="1"/>
  <c r="GE13" i="7"/>
  <c r="GC13" i="24"/>
  <c r="BL13" i="32" s="1"/>
  <c r="BY13" i="24"/>
  <c r="DZ13" i="24"/>
  <c r="BZ13" i="24" l="1"/>
  <c r="CA13" i="24" s="1"/>
  <c r="CD13" i="24" s="1"/>
  <c r="DA13" i="7"/>
  <c r="GF13" i="7"/>
  <c r="EQ13" i="7"/>
  <c r="EX13" i="24"/>
  <c r="FH13" i="24" s="1"/>
  <c r="GE13" i="24"/>
  <c r="BN13" i="32" s="1"/>
  <c r="Z13" i="27"/>
  <c r="Y13" i="27"/>
  <c r="CA13" i="7"/>
  <c r="CD13" i="7" s="1"/>
  <c r="FI13" i="7"/>
  <c r="FA14" i="7"/>
  <c r="CB13" i="24"/>
  <c r="CR13" i="24" s="1"/>
  <c r="Z13" i="7"/>
  <c r="EF13" i="7"/>
  <c r="EE14" i="7" s="1"/>
  <c r="DC13" i="7"/>
  <c r="DD13" i="7" s="1"/>
  <c r="AA13" i="27" l="1"/>
  <c r="EQ13" i="24"/>
  <c r="GF13" i="24"/>
  <c r="BO13" i="32" s="1"/>
  <c r="DE13" i="7"/>
  <c r="DF13" i="7" s="1"/>
  <c r="BS14" i="7" s="1"/>
  <c r="GL14" i="7"/>
  <c r="AD14" i="7"/>
  <c r="EJ14" i="7"/>
  <c r="EG14" i="7"/>
  <c r="EI14" i="7"/>
  <c r="FI13" i="24"/>
  <c r="FA14" i="24"/>
  <c r="CV13" i="24"/>
  <c r="CX13" i="24" s="1"/>
  <c r="CY13" i="24" s="1"/>
  <c r="AB13" i="27" l="1"/>
  <c r="DA13" i="24"/>
  <c r="Y13" i="7"/>
  <c r="DH13" i="7"/>
  <c r="FT13" i="7" s="1"/>
  <c r="AL13" i="24" s="1"/>
  <c r="DJ13" i="7"/>
  <c r="DN13" i="7" s="1"/>
  <c r="CE13" i="7"/>
  <c r="DC13" i="24"/>
  <c r="DD13" i="24" s="1"/>
  <c r="Z13" i="24"/>
  <c r="J13" i="27" s="1"/>
  <c r="EF13" i="24"/>
  <c r="EE14" i="24" s="1"/>
  <c r="DG13" i="7" l="1"/>
  <c r="AD14" i="24"/>
  <c r="N14" i="27" s="1"/>
  <c r="EG14" i="24"/>
  <c r="EI14" i="24"/>
  <c r="GL14" i="24"/>
  <c r="EJ14" i="24"/>
  <c r="DE13" i="24"/>
  <c r="AA13" i="7"/>
  <c r="EO13" i="7"/>
  <c r="EN14" i="7" s="1"/>
  <c r="DO13" i="7"/>
  <c r="DM14" i="7" s="1"/>
  <c r="DQ13" i="7"/>
  <c r="CI13" i="7"/>
  <c r="CH13" i="7"/>
  <c r="AB13" i="7" l="1"/>
  <c r="EV13" i="7"/>
  <c r="EU14" i="7" s="1"/>
  <c r="BT14" i="7"/>
  <c r="AE14" i="7"/>
  <c r="GM14" i="7"/>
  <c r="EP14" i="7"/>
  <c r="ES14" i="7" s="1"/>
  <c r="BU14" i="32"/>
  <c r="AH14" i="27"/>
  <c r="W13" i="7"/>
  <c r="CJ13" i="7"/>
  <c r="CL13" i="7"/>
  <c r="DH13" i="24"/>
  <c r="FT13" i="24" s="1"/>
  <c r="AL13" i="7" s="1"/>
  <c r="DX13" i="7" s="1"/>
  <c r="DW14" i="7" s="1"/>
  <c r="Y13" i="24"/>
  <c r="I13" i="27" s="1"/>
  <c r="DJ13" i="24"/>
  <c r="DN13" i="24" s="1"/>
  <c r="CE13" i="24"/>
  <c r="DF13" i="24"/>
  <c r="BS14" i="24" s="1"/>
  <c r="DG13" i="24" l="1"/>
  <c r="DX13" i="24" s="1"/>
  <c r="DW14" i="24" s="1"/>
  <c r="AC14" i="24" s="1"/>
  <c r="CK13" i="7"/>
  <c r="GG13" i="7"/>
  <c r="GH13" i="7"/>
  <c r="V13" i="7"/>
  <c r="AA13" i="24"/>
  <c r="K13" i="27" s="1"/>
  <c r="EO13" i="24"/>
  <c r="EN14" i="24" s="1"/>
  <c r="DO13" i="24"/>
  <c r="DM14" i="24" s="1"/>
  <c r="DQ13" i="24"/>
  <c r="GN14" i="7"/>
  <c r="EW14" i="7"/>
  <c r="AF14" i="7"/>
  <c r="FB14" i="7"/>
  <c r="GK14" i="7"/>
  <c r="CP14" i="7"/>
  <c r="AG14" i="7" s="1"/>
  <c r="AC14" i="7"/>
  <c r="EA14" i="7"/>
  <c r="DY14" i="7"/>
  <c r="EB14" i="7" s="1"/>
  <c r="CI13" i="24"/>
  <c r="CH13" i="24"/>
  <c r="EA14" i="24" l="1"/>
  <c r="DY14" i="24"/>
  <c r="EB14" i="24" s="1"/>
  <c r="GK14" i="24"/>
  <c r="BT14" i="32" s="1"/>
  <c r="M14" i="27"/>
  <c r="FD14" i="7"/>
  <c r="FC14" i="7"/>
  <c r="FE14" i="7"/>
  <c r="W13" i="24"/>
  <c r="G13" i="27" s="1"/>
  <c r="CJ13" i="24"/>
  <c r="CL13" i="24"/>
  <c r="EV13" i="24"/>
  <c r="EU14" i="24" s="1"/>
  <c r="AB13" i="24"/>
  <c r="L13" i="27" s="1"/>
  <c r="AG14" i="27"/>
  <c r="BT14" i="24"/>
  <c r="EZ14" i="7"/>
  <c r="FK14" i="7" s="1"/>
  <c r="EP14" i="24"/>
  <c r="ES14" i="24" s="1"/>
  <c r="GM14" i="24"/>
  <c r="AE14" i="24"/>
  <c r="O14" i="27" s="1"/>
  <c r="GS14" i="7" l="1"/>
  <c r="GP14" i="7"/>
  <c r="GQ14" i="7"/>
  <c r="GR14" i="7"/>
  <c r="GG13" i="24"/>
  <c r="CK13" i="24"/>
  <c r="V13" i="24"/>
  <c r="F13" i="27" s="1"/>
  <c r="GH13" i="24"/>
  <c r="FF14" i="7"/>
  <c r="FG14" i="7"/>
  <c r="AF14" i="24"/>
  <c r="P14" i="27" s="1"/>
  <c r="GN14" i="24"/>
  <c r="FB14" i="24"/>
  <c r="EW14" i="24"/>
  <c r="EZ14" i="24" s="1"/>
  <c r="FK14" i="24" s="1"/>
  <c r="CP14" i="24"/>
  <c r="AG14" i="24" s="1"/>
  <c r="Q14" i="27" s="1"/>
  <c r="BV14" i="32"/>
  <c r="AI14" i="27"/>
  <c r="GS14" i="24" l="1"/>
  <c r="GR14" i="24"/>
  <c r="GP14" i="24"/>
  <c r="GQ14" i="24"/>
  <c r="BW14" i="32"/>
  <c r="AJ14" i="27"/>
  <c r="BP13" i="32"/>
  <c r="AC13" i="27"/>
  <c r="GT14" i="7" a="1"/>
  <c r="GT14" i="7" s="1"/>
  <c r="FE14" i="24"/>
  <c r="FD14" i="24"/>
  <c r="FC14" i="24"/>
  <c r="BQ13" i="32"/>
  <c r="AD13" i="27"/>
  <c r="GT14" i="24" l="1" a="1"/>
  <c r="GT14" i="24" s="1"/>
  <c r="FF14" i="24"/>
  <c r="FG14" i="24"/>
  <c r="GU14" i="7"/>
  <c r="BW14" i="7" s="1"/>
  <c r="GX14" i="7"/>
  <c r="GV14" i="7"/>
  <c r="BX14" i="7" s="1"/>
  <c r="GW14" i="7"/>
  <c r="GD14" i="7" l="1"/>
  <c r="EH14" i="7"/>
  <c r="DZ14" i="7"/>
  <c r="GC14" i="7"/>
  <c r="BY14" i="7"/>
  <c r="GW14" i="24"/>
  <c r="GX14" i="24"/>
  <c r="GV14" i="24"/>
  <c r="BX14" i="24" s="1"/>
  <c r="GU14" i="24"/>
  <c r="BW14" i="24" s="1"/>
  <c r="EX14" i="7" l="1"/>
  <c r="FH14" i="7" s="1"/>
  <c r="GE14" i="7"/>
  <c r="BY14" i="24"/>
  <c r="BZ14" i="24" s="1"/>
  <c r="DZ14" i="24"/>
  <c r="GC14" i="24"/>
  <c r="BL14" i="32" s="1"/>
  <c r="EH14" i="24"/>
  <c r="GD14" i="24"/>
  <c r="BM14" i="32" s="1"/>
  <c r="CB14" i="7"/>
  <c r="CR14" i="7" s="1"/>
  <c r="BZ14" i="7"/>
  <c r="Z14" i="27" l="1"/>
  <c r="CA14" i="24"/>
  <c r="CD14" i="24" s="1"/>
  <c r="Y14" i="27"/>
  <c r="GF14" i="7"/>
  <c r="EQ14" i="7"/>
  <c r="CA14" i="7"/>
  <c r="CD14" i="7" s="1"/>
  <c r="CB14" i="24"/>
  <c r="CR14" i="24" s="1"/>
  <c r="CV14" i="7"/>
  <c r="CX14" i="7" s="1"/>
  <c r="EX14" i="24"/>
  <c r="FH14" i="24" s="1"/>
  <c r="GE14" i="24"/>
  <c r="BN14" i="32" s="1"/>
  <c r="EQ14" i="24"/>
  <c r="GF14" i="24"/>
  <c r="BO14" i="32" s="1"/>
  <c r="FI14" i="7"/>
  <c r="FA15" i="7"/>
  <c r="AA14" i="27" l="1"/>
  <c r="Z14" i="7"/>
  <c r="DC14" i="7"/>
  <c r="DD14" i="7" s="1"/>
  <c r="EF14" i="7"/>
  <c r="EE15" i="7" s="1"/>
  <c r="CY14" i="7"/>
  <c r="CV14" i="24"/>
  <c r="CX14" i="24" s="1"/>
  <c r="CY14" i="24" s="1"/>
  <c r="AB14" i="27"/>
  <c r="FI14" i="24"/>
  <c r="FA15" i="24"/>
  <c r="DA14" i="24" l="1"/>
  <c r="DA14" i="7"/>
  <c r="DE14" i="7" s="1"/>
  <c r="Z14" i="24"/>
  <c r="J14" i="27" s="1"/>
  <c r="DC14" i="24"/>
  <c r="DD14" i="24" s="1"/>
  <c r="EF14" i="24"/>
  <c r="EE15" i="24" s="1"/>
  <c r="EJ15" i="7"/>
  <c r="EG15" i="7"/>
  <c r="AD15" i="7"/>
  <c r="EI15" i="7"/>
  <c r="GL15" i="7"/>
  <c r="Y14" i="7" l="1"/>
  <c r="DH14" i="7"/>
  <c r="FT14" i="7" s="1"/>
  <c r="AL14" i="24" s="1"/>
  <c r="CE14" i="7"/>
  <c r="DF14" i="7"/>
  <c r="BS15" i="7" s="1"/>
  <c r="DJ14" i="7"/>
  <c r="DN14" i="7" s="1"/>
  <c r="DQ14" i="7" s="1"/>
  <c r="EJ15" i="24"/>
  <c r="EI15" i="24"/>
  <c r="EG15" i="24"/>
  <c r="AD15" i="24"/>
  <c r="N15" i="27" s="1"/>
  <c r="GL15" i="24"/>
  <c r="BU15" i="32" s="1"/>
  <c r="DE14" i="24"/>
  <c r="AA14" i="7" l="1"/>
  <c r="EO14" i="7"/>
  <c r="EN15" i="7" s="1"/>
  <c r="DO14" i="7"/>
  <c r="DM15" i="7" s="1"/>
  <c r="AB14" i="7"/>
  <c r="EV14" i="7"/>
  <c r="EU15" i="7" s="1"/>
  <c r="DG14" i="7"/>
  <c r="Y14" i="24"/>
  <c r="I14" i="27" s="1"/>
  <c r="DH14" i="24"/>
  <c r="FT14" i="24" s="1"/>
  <c r="AL14" i="7" s="1"/>
  <c r="DJ14" i="24"/>
  <c r="DN14" i="24" s="1"/>
  <c r="CE14" i="24"/>
  <c r="DF14" i="24"/>
  <c r="BS15" i="24" s="1"/>
  <c r="AH15" i="27"/>
  <c r="CH14" i="7"/>
  <c r="CI14" i="7"/>
  <c r="DX14" i="7" l="1"/>
  <c r="DW15" i="7" s="1"/>
  <c r="CP15" i="7" s="1"/>
  <c r="AG15" i="7" s="1"/>
  <c r="W14" i="7"/>
  <c r="CJ14" i="7"/>
  <c r="CL14" i="7"/>
  <c r="AA14" i="24"/>
  <c r="K14" i="27" s="1"/>
  <c r="EO14" i="24"/>
  <c r="EN15" i="24" s="1"/>
  <c r="DO14" i="24"/>
  <c r="DM15" i="24" s="1"/>
  <c r="GN15" i="7"/>
  <c r="FB15" i="7"/>
  <c r="EW15" i="7"/>
  <c r="EZ15" i="7" s="1"/>
  <c r="AF15" i="7"/>
  <c r="EA15" i="7"/>
  <c r="GK15" i="7"/>
  <c r="DY15" i="7"/>
  <c r="EB15" i="7" s="1"/>
  <c r="AC15" i="7"/>
  <c r="DG14" i="24"/>
  <c r="DX14" i="24" s="1"/>
  <c r="DW15" i="24" s="1"/>
  <c r="BT15" i="7"/>
  <c r="DQ14" i="24"/>
  <c r="GM15" i="7"/>
  <c r="EP15" i="7"/>
  <c r="ES15" i="7" s="1"/>
  <c r="AE15" i="7"/>
  <c r="CH14" i="24"/>
  <c r="CI14" i="24"/>
  <c r="FK15" i="7" l="1"/>
  <c r="GP15" i="7" s="1"/>
  <c r="BT15" i="24"/>
  <c r="GM15" i="24"/>
  <c r="BV15" i="32" s="1"/>
  <c r="EP15" i="24"/>
  <c r="ES15" i="24" s="1"/>
  <c r="AE15" i="24"/>
  <c r="O15" i="27" s="1"/>
  <c r="AC15" i="24"/>
  <c r="M15" i="27" s="1"/>
  <c r="GK15" i="24"/>
  <c r="BT15" i="32" s="1"/>
  <c r="EA15" i="24"/>
  <c r="DY15" i="24"/>
  <c r="EB15" i="24" s="1"/>
  <c r="V14" i="7"/>
  <c r="CK14" i="7"/>
  <c r="GG14" i="7"/>
  <c r="GH14" i="7"/>
  <c r="W14" i="24"/>
  <c r="G14" i="27" s="1"/>
  <c r="CJ14" i="24"/>
  <c r="CL14" i="24"/>
  <c r="EV14" i="24"/>
  <c r="EU15" i="24" s="1"/>
  <c r="CP15" i="24" s="1"/>
  <c r="AG15" i="24" s="1"/>
  <c r="Q15" i="27" s="1"/>
  <c r="AB14" i="24"/>
  <c r="L14" i="27" s="1"/>
  <c r="FE15" i="7"/>
  <c r="FC15" i="7"/>
  <c r="FD15" i="7"/>
  <c r="GQ15" i="7" l="1"/>
  <c r="GR15" i="7"/>
  <c r="GS15" i="7"/>
  <c r="FF15" i="7"/>
  <c r="FG15" i="7"/>
  <c r="AF15" i="24"/>
  <c r="P15" i="27" s="1"/>
  <c r="FB15" i="24"/>
  <c r="EW15" i="24"/>
  <c r="EZ15" i="24" s="1"/>
  <c r="FK15" i="24" s="1"/>
  <c r="GN15" i="24"/>
  <c r="AG15" i="27"/>
  <c r="CK14" i="24"/>
  <c r="V14" i="24"/>
  <c r="F14" i="27" s="1"/>
  <c r="GH14" i="24"/>
  <c r="BQ14" i="32" s="1"/>
  <c r="GG14" i="24"/>
  <c r="BP14" i="32" s="1"/>
  <c r="AI15" i="27"/>
  <c r="GT15" i="7" l="1" a="1"/>
  <c r="GT15" i="7" s="1"/>
  <c r="GV15" i="7" s="1"/>
  <c r="BX15" i="7" s="1"/>
  <c r="GD15" i="7" s="1"/>
  <c r="GS15" i="24"/>
  <c r="GR15" i="24"/>
  <c r="GQ15" i="24"/>
  <c r="GP15" i="24"/>
  <c r="FC15" i="24"/>
  <c r="FD15" i="24"/>
  <c r="FE15" i="24"/>
  <c r="AD14" i="27"/>
  <c r="BW15" i="32"/>
  <c r="AJ15" i="27"/>
  <c r="AC14" i="27"/>
  <c r="GX15" i="7" l="1"/>
  <c r="GW15" i="7"/>
  <c r="EH15" i="7"/>
  <c r="GU15" i="7"/>
  <c r="BW15" i="7" s="1"/>
  <c r="GT15" i="24" a="1"/>
  <c r="GT15" i="24" s="1"/>
  <c r="GV15" i="24" s="1"/>
  <c r="BX15" i="24" s="1"/>
  <c r="FF15" i="24"/>
  <c r="FG15" i="24"/>
  <c r="DZ15" i="7" l="1"/>
  <c r="GC15" i="7"/>
  <c r="BY15" i="7"/>
  <c r="GX15" i="24"/>
  <c r="GW15" i="24"/>
  <c r="GU15" i="24"/>
  <c r="BW15" i="24" s="1"/>
  <c r="BY15" i="24" s="1"/>
  <c r="BZ15" i="24" s="1"/>
  <c r="EH15" i="24"/>
  <c r="GD15" i="24"/>
  <c r="CB15" i="7" l="1"/>
  <c r="CR15" i="7" s="1"/>
  <c r="CV15" i="7" s="1"/>
  <c r="CX15" i="7" s="1"/>
  <c r="EX15" i="7"/>
  <c r="FH15" i="7" s="1"/>
  <c r="GE15" i="7"/>
  <c r="BZ15" i="7"/>
  <c r="DZ15" i="24"/>
  <c r="GC15" i="24"/>
  <c r="Y15" i="27" s="1"/>
  <c r="CA15" i="24"/>
  <c r="CD15" i="24" s="1"/>
  <c r="BM15" i="32"/>
  <c r="Z15" i="27"/>
  <c r="CB15" i="24"/>
  <c r="CR15" i="24" s="1"/>
  <c r="GE15" i="24"/>
  <c r="EX15" i="24"/>
  <c r="FH15" i="24" s="1"/>
  <c r="EQ15" i="24"/>
  <c r="GF15" i="24"/>
  <c r="BO15" i="32" s="1"/>
  <c r="EQ15" i="7" l="1"/>
  <c r="GF15" i="7"/>
  <c r="AB15" i="27" s="1"/>
  <c r="FA16" i="7"/>
  <c r="FI15" i="7"/>
  <c r="CY15" i="7"/>
  <c r="DA15" i="7" s="1"/>
  <c r="EF15" i="7"/>
  <c r="EE16" i="7" s="1"/>
  <c r="DC15" i="7"/>
  <c r="DD15" i="7" s="1"/>
  <c r="DE15" i="7" s="1"/>
  <c r="DH15" i="7" s="1"/>
  <c r="FT15" i="7" s="1"/>
  <c r="AL15" i="24" s="1"/>
  <c r="Z15" i="7"/>
  <c r="CA15" i="7"/>
  <c r="CD15" i="7" s="1"/>
  <c r="BL15" i="32"/>
  <c r="FI15" i="24"/>
  <c r="FA16" i="24"/>
  <c r="CV15" i="24"/>
  <c r="CX15" i="24" s="1"/>
  <c r="BN15" i="32"/>
  <c r="AA15" i="27"/>
  <c r="DJ15" i="7" l="1"/>
  <c r="DN15" i="7" s="1"/>
  <c r="DQ15" i="7" s="1"/>
  <c r="EV15" i="7" s="1"/>
  <c r="EU16" i="7" s="1"/>
  <c r="AD16" i="7"/>
  <c r="GL16" i="7"/>
  <c r="EG16" i="7"/>
  <c r="EJ16" i="7"/>
  <c r="EI16" i="7"/>
  <c r="CE15" i="7"/>
  <c r="CI15" i="7" s="1"/>
  <c r="Y15" i="7"/>
  <c r="DF15" i="7"/>
  <c r="BS16" i="7" s="1"/>
  <c r="Z15" i="24"/>
  <c r="J15" i="27" s="1"/>
  <c r="EF15" i="24"/>
  <c r="EE16" i="24" s="1"/>
  <c r="DC15" i="24"/>
  <c r="DD15" i="24" s="1"/>
  <c r="CY15" i="24"/>
  <c r="DG15" i="7"/>
  <c r="AB15" i="7" l="1"/>
  <c r="DO15" i="7"/>
  <c r="DM16" i="7" s="1"/>
  <c r="BT16" i="7" s="1"/>
  <c r="AA15" i="7"/>
  <c r="EO15" i="7"/>
  <c r="EN16" i="7" s="1"/>
  <c r="AE16" i="7" s="1"/>
  <c r="CH15" i="7"/>
  <c r="W15" i="7" s="1"/>
  <c r="EW16" i="7"/>
  <c r="EZ16" i="7" s="1"/>
  <c r="GN16" i="7"/>
  <c r="AF16" i="7"/>
  <c r="FB16" i="7"/>
  <c r="EJ16" i="24"/>
  <c r="AD16" i="24"/>
  <c r="N16" i="27" s="1"/>
  <c r="GL16" i="24"/>
  <c r="EG16" i="24"/>
  <c r="EI16" i="24"/>
  <c r="DA15" i="24"/>
  <c r="DE15" i="24" s="1"/>
  <c r="EP16" i="7" l="1"/>
  <c r="ES16" i="7" s="1"/>
  <c r="GM16" i="7"/>
  <c r="CL15" i="7"/>
  <c r="CJ15" i="7"/>
  <c r="GG15" i="7" s="1"/>
  <c r="DH15" i="24"/>
  <c r="FT15" i="24" s="1"/>
  <c r="AL15" i="7" s="1"/>
  <c r="DX15" i="7" s="1"/>
  <c r="DW16" i="7" s="1"/>
  <c r="Y15" i="24"/>
  <c r="I15" i="27" s="1"/>
  <c r="CE15" i="24"/>
  <c r="DF15" i="24"/>
  <c r="BS16" i="24" s="1"/>
  <c r="DJ15" i="24"/>
  <c r="DN15" i="24" s="1"/>
  <c r="DQ15" i="24" s="1"/>
  <c r="BU16" i="32"/>
  <c r="AH16" i="27"/>
  <c r="V15" i="7"/>
  <c r="CK15" i="7"/>
  <c r="GH15" i="7"/>
  <c r="FE16" i="7"/>
  <c r="FC16" i="7"/>
  <c r="FD16" i="7"/>
  <c r="DG15" i="24" l="1"/>
  <c r="DX15" i="24" s="1"/>
  <c r="DW16" i="24" s="1"/>
  <c r="EA16" i="24" s="1"/>
  <c r="EO15" i="24"/>
  <c r="EN16" i="24" s="1"/>
  <c r="AA15" i="24"/>
  <c r="K15" i="27" s="1"/>
  <c r="DO15" i="24"/>
  <c r="DM16" i="24" s="1"/>
  <c r="EV15" i="24"/>
  <c r="EU16" i="24" s="1"/>
  <c r="AB15" i="24"/>
  <c r="L15" i="27" s="1"/>
  <c r="FG16" i="7"/>
  <c r="FF16" i="7"/>
  <c r="CP16" i="7"/>
  <c r="AG16" i="7" s="1"/>
  <c r="AC16" i="7"/>
  <c r="EA16" i="7"/>
  <c r="GK16" i="7"/>
  <c r="DY16" i="7"/>
  <c r="EB16" i="7" s="1"/>
  <c r="FK16" i="7" s="1"/>
  <c r="CH15" i="24"/>
  <c r="CI15" i="24"/>
  <c r="CP16" i="24" l="1"/>
  <c r="AG16" i="24" s="1"/>
  <c r="DY16" i="24"/>
  <c r="EB16" i="24" s="1"/>
  <c r="GK16" i="24"/>
  <c r="BT16" i="32" s="1"/>
  <c r="AC16" i="24"/>
  <c r="M16" i="27" s="1"/>
  <c r="Q16" i="27"/>
  <c r="GP16" i="7"/>
  <c r="GS16" i="7"/>
  <c r="GQ16" i="7"/>
  <c r="GR16" i="7"/>
  <c r="FB16" i="24"/>
  <c r="EW16" i="24"/>
  <c r="AF16" i="24"/>
  <c r="P16" i="27" s="1"/>
  <c r="GN16" i="24"/>
  <c r="BT16" i="24"/>
  <c r="W15" i="24"/>
  <c r="G15" i="27" s="1"/>
  <c r="CJ15" i="24"/>
  <c r="CL15" i="24"/>
  <c r="GM16" i="24"/>
  <c r="EP16" i="24"/>
  <c r="ES16" i="24" s="1"/>
  <c r="AE16" i="24"/>
  <c r="O16" i="27" s="1"/>
  <c r="AG16" i="27" l="1"/>
  <c r="FE16" i="24"/>
  <c r="FD16" i="24"/>
  <c r="FC16" i="24"/>
  <c r="BV16" i="32"/>
  <c r="AI16" i="27"/>
  <c r="BW16" i="32"/>
  <c r="AJ16" i="27"/>
  <c r="GT16" i="7" a="1"/>
  <c r="GT16" i="7" s="1"/>
  <c r="GH15" i="24"/>
  <c r="V15" i="24"/>
  <c r="F15" i="27" s="1"/>
  <c r="CK15" i="24"/>
  <c r="GG15" i="24"/>
  <c r="EZ16" i="24"/>
  <c r="FK16" i="24" s="1"/>
  <c r="GR16" i="24" l="1"/>
  <c r="GS16" i="24"/>
  <c r="GP16" i="24"/>
  <c r="GQ16" i="24"/>
  <c r="BP15" i="32"/>
  <c r="AC15" i="27"/>
  <c r="BQ15" i="32"/>
  <c r="AD15" i="27"/>
  <c r="FG16" i="24"/>
  <c r="FF16" i="24"/>
  <c r="GV16" i="7"/>
  <c r="BX16" i="7" s="1"/>
  <c r="GU16" i="7"/>
  <c r="BW16" i="7" s="1"/>
  <c r="GW16" i="7"/>
  <c r="GX16" i="7"/>
  <c r="DZ16" i="7" l="1"/>
  <c r="GC16" i="7"/>
  <c r="BY16" i="7"/>
  <c r="BZ16" i="7" s="1"/>
  <c r="GT16" i="24" a="1"/>
  <c r="GT16" i="24" s="1"/>
  <c r="GD16" i="7"/>
  <c r="EH16" i="7"/>
  <c r="EQ16" i="7" l="1"/>
  <c r="GF16" i="7"/>
  <c r="EX16" i="7"/>
  <c r="FH16" i="7" s="1"/>
  <c r="GE16" i="7"/>
  <c r="GX16" i="24"/>
  <c r="GV16" i="24"/>
  <c r="BX16" i="24" s="1"/>
  <c r="GW16" i="24"/>
  <c r="GU16" i="24"/>
  <c r="BW16" i="24" s="1"/>
  <c r="CA16" i="7"/>
  <c r="CD16" i="7" s="1"/>
  <c r="CB16" i="7"/>
  <c r="CR16" i="7" s="1"/>
  <c r="EH16" i="24" l="1"/>
  <c r="GD16" i="24"/>
  <c r="CV16" i="7"/>
  <c r="CX16" i="7" s="1"/>
  <c r="CY16" i="7" s="1"/>
  <c r="FI16" i="7"/>
  <c r="FA17" i="7"/>
  <c r="GC16" i="24"/>
  <c r="DZ16" i="24"/>
  <c r="BY16" i="24"/>
  <c r="BZ16" i="24" s="1"/>
  <c r="DA16" i="7" l="1"/>
  <c r="GF16" i="24"/>
  <c r="EQ16" i="24"/>
  <c r="CA16" i="24"/>
  <c r="CD16" i="24" s="1"/>
  <c r="CB16" i="24"/>
  <c r="CR16" i="24" s="1"/>
  <c r="DC16" i="7"/>
  <c r="DD16" i="7" s="1"/>
  <c r="Z16" i="7"/>
  <c r="EF16" i="7"/>
  <c r="EE17" i="7" s="1"/>
  <c r="BL16" i="32"/>
  <c r="Y16" i="27"/>
  <c r="BM16" i="32"/>
  <c r="Z16" i="27"/>
  <c r="GE16" i="24"/>
  <c r="EX16" i="24"/>
  <c r="FH16" i="24" s="1"/>
  <c r="EI17" i="7" l="1"/>
  <c r="EJ17" i="7"/>
  <c r="AD17" i="7"/>
  <c r="GL17" i="7"/>
  <c r="EG17" i="7"/>
  <c r="BO16" i="32"/>
  <c r="AB16" i="27"/>
  <c r="FI16" i="24"/>
  <c r="FA17" i="24"/>
  <c r="DE16" i="7"/>
  <c r="DF16" i="7" s="1"/>
  <c r="BS17" i="7" s="1"/>
  <c r="CV16" i="24"/>
  <c r="CX16" i="24" s="1"/>
  <c r="CY16" i="24" s="1"/>
  <c r="BN16" i="32"/>
  <c r="AA16" i="27"/>
  <c r="Y16" i="7" l="1"/>
  <c r="DH16" i="7"/>
  <c r="FT16" i="7" s="1"/>
  <c r="AL16" i="24" s="1"/>
  <c r="DJ16" i="7"/>
  <c r="DN16" i="7" s="1"/>
  <c r="DQ16" i="7" s="1"/>
  <c r="CE16" i="7"/>
  <c r="DA16" i="24"/>
  <c r="Z16" i="24"/>
  <c r="J16" i="27" s="1"/>
  <c r="EF16" i="24"/>
  <c r="EE17" i="24" s="1"/>
  <c r="DC16" i="24"/>
  <c r="DD16" i="24" s="1"/>
  <c r="EO16" i="7" l="1"/>
  <c r="EN17" i="7" s="1"/>
  <c r="AA16" i="7"/>
  <c r="DO16" i="7"/>
  <c r="DM17" i="7" s="1"/>
  <c r="EG17" i="24"/>
  <c r="GL17" i="24"/>
  <c r="AD17" i="24"/>
  <c r="N17" i="27" s="1"/>
  <c r="EJ17" i="24"/>
  <c r="EI17" i="24"/>
  <c r="DG16" i="7"/>
  <c r="AB16" i="7"/>
  <c r="EV16" i="7"/>
  <c r="EU17" i="7" s="1"/>
  <c r="DE16" i="24"/>
  <c r="DF16" i="24" s="1"/>
  <c r="BS17" i="24" s="1"/>
  <c r="CH16" i="7"/>
  <c r="CI16" i="7"/>
  <c r="BU17" i="32" l="1"/>
  <c r="AH17" i="27"/>
  <c r="BT17" i="7"/>
  <c r="FB17" i="7"/>
  <c r="AF17" i="7"/>
  <c r="EW17" i="7"/>
  <c r="GN17" i="7"/>
  <c r="AE17" i="7"/>
  <c r="EP17" i="7"/>
  <c r="ES17" i="7" s="1"/>
  <c r="GM17" i="7"/>
  <c r="Y16" i="24"/>
  <c r="I16" i="27" s="1"/>
  <c r="DH16" i="24"/>
  <c r="FT16" i="24" s="1"/>
  <c r="AL16" i="7" s="1"/>
  <c r="DX16" i="7" s="1"/>
  <c r="DW17" i="7" s="1"/>
  <c r="CE16" i="24"/>
  <c r="DJ16" i="24"/>
  <c r="DN16" i="24" s="1"/>
  <c r="DQ16" i="24" s="1"/>
  <c r="W16" i="7"/>
  <c r="CJ16" i="7"/>
  <c r="CL16" i="7"/>
  <c r="DG16" i="24" l="1"/>
  <c r="DX16" i="24" s="1"/>
  <c r="DW17" i="24" s="1"/>
  <c r="DY17" i="24" s="1"/>
  <c r="EB17" i="24" s="1"/>
  <c r="GK17" i="7"/>
  <c r="DY17" i="7"/>
  <c r="EB17" i="7" s="1"/>
  <c r="EA17" i="7"/>
  <c r="AC17" i="7"/>
  <c r="M17" i="27" s="1"/>
  <c r="CP17" i="7"/>
  <c r="AG17" i="7" s="1"/>
  <c r="AB16" i="24"/>
  <c r="L16" i="27" s="1"/>
  <c r="EV16" i="24"/>
  <c r="EU17" i="24" s="1"/>
  <c r="AC17" i="24"/>
  <c r="GK17" i="24"/>
  <c r="BT17" i="32" s="1"/>
  <c r="FD17" i="7"/>
  <c r="FE17" i="7"/>
  <c r="FC17" i="7"/>
  <c r="GH16" i="7"/>
  <c r="CK16" i="7"/>
  <c r="GG16" i="7"/>
  <c r="V16" i="7"/>
  <c r="AA16" i="24"/>
  <c r="K16" i="27" s="1"/>
  <c r="EO16" i="24"/>
  <c r="EN17" i="24" s="1"/>
  <c r="DO16" i="24"/>
  <c r="DM17" i="24" s="1"/>
  <c r="EZ17" i="7"/>
  <c r="CH16" i="24"/>
  <c r="CI16" i="24"/>
  <c r="EA17" i="24" l="1"/>
  <c r="EP17" i="24"/>
  <c r="ES17" i="24" s="1"/>
  <c r="GM17" i="24"/>
  <c r="AE17" i="24"/>
  <c r="O17" i="27" s="1"/>
  <c r="FF17" i="7"/>
  <c r="FG17" i="7"/>
  <c r="CP17" i="24"/>
  <c r="AG17" i="24" s="1"/>
  <c r="Q17" i="27" s="1"/>
  <c r="FK17" i="7"/>
  <c r="W16" i="24"/>
  <c r="G16" i="27" s="1"/>
  <c r="CL16" i="24"/>
  <c r="CJ16" i="24"/>
  <c r="BT17" i="24"/>
  <c r="AF17" i="24"/>
  <c r="P17" i="27" s="1"/>
  <c r="FB17" i="24"/>
  <c r="EW17" i="24"/>
  <c r="EZ17" i="24" s="1"/>
  <c r="GN17" i="24"/>
  <c r="AG17" i="27"/>
  <c r="FK17" i="24" l="1"/>
  <c r="GR17" i="24" s="1"/>
  <c r="BV17" i="32"/>
  <c r="AI17" i="27"/>
  <c r="GR17" i="7"/>
  <c r="GS17" i="7"/>
  <c r="GP17" i="7"/>
  <c r="GQ17" i="7"/>
  <c r="GG16" i="24"/>
  <c r="V16" i="24"/>
  <c r="F16" i="27" s="1"/>
  <c r="CK16" i="24"/>
  <c r="GH16" i="24"/>
  <c r="BW17" i="32"/>
  <c r="AJ17" i="27"/>
  <c r="FC17" i="24"/>
  <c r="FE17" i="24"/>
  <c r="FD17" i="24"/>
  <c r="GQ17" i="24" l="1"/>
  <c r="GP17" i="24"/>
  <c r="GS17" i="24"/>
  <c r="BQ16" i="32"/>
  <c r="AD16" i="27"/>
  <c r="BP16" i="32"/>
  <c r="AC16" i="27"/>
  <c r="FG17" i="24"/>
  <c r="FF17" i="24"/>
  <c r="GT17" i="7" a="1"/>
  <c r="GT17" i="7" s="1"/>
  <c r="GT17" i="24" l="1" a="1"/>
  <c r="GT17" i="24" s="1"/>
  <c r="GV17" i="24" s="1"/>
  <c r="BX17" i="24" s="1"/>
  <c r="GW17" i="7"/>
  <c r="GU17" i="7"/>
  <c r="BW17" i="7" s="1"/>
  <c r="GX17" i="7"/>
  <c r="GV17" i="7"/>
  <c r="BX17" i="7" s="1"/>
  <c r="GW17" i="24" l="1"/>
  <c r="GX17" i="24"/>
  <c r="GU17" i="24"/>
  <c r="BW17" i="24" s="1"/>
  <c r="DZ17" i="24" s="1"/>
  <c r="GC17" i="7"/>
  <c r="BY17" i="7"/>
  <c r="DZ17" i="7"/>
  <c r="GD17" i="7"/>
  <c r="EH17" i="7"/>
  <c r="EH17" i="24"/>
  <c r="GD17" i="24"/>
  <c r="BM17" i="32" s="1"/>
  <c r="BY17" i="24" l="1"/>
  <c r="BZ17" i="24" s="1"/>
  <c r="CA17" i="24" s="1"/>
  <c r="CD17" i="24" s="1"/>
  <c r="GC17" i="24"/>
  <c r="BL17" i="32" s="1"/>
  <c r="Z17" i="27"/>
  <c r="GE17" i="7"/>
  <c r="EX17" i="7"/>
  <c r="FH17" i="7" s="1"/>
  <c r="CB17" i="7"/>
  <c r="CR17" i="7" s="1"/>
  <c r="BZ17" i="7"/>
  <c r="CA17" i="7" s="1"/>
  <c r="CD17" i="7" s="1"/>
  <c r="EQ17" i="24" l="1"/>
  <c r="GF17" i="24"/>
  <c r="BO17" i="32" s="1"/>
  <c r="EX17" i="24"/>
  <c r="FH17" i="24" s="1"/>
  <c r="FI17" i="24" s="1"/>
  <c r="GE17" i="24"/>
  <c r="BN17" i="32" s="1"/>
  <c r="CB17" i="24"/>
  <c r="CR17" i="24" s="1"/>
  <c r="CV17" i="24" s="1"/>
  <c r="CX17" i="24" s="1"/>
  <c r="CY17" i="24" s="1"/>
  <c r="DA17" i="24" s="1"/>
  <c r="Y17" i="27"/>
  <c r="AA17" i="27"/>
  <c r="CV17" i="7"/>
  <c r="CX17" i="7" s="1"/>
  <c r="CY17" i="7" s="1"/>
  <c r="FI17" i="7"/>
  <c r="FA18" i="7"/>
  <c r="GF17" i="7"/>
  <c r="AB17" i="27" s="1"/>
  <c r="EQ17" i="7"/>
  <c r="Z17" i="24" l="1"/>
  <c r="DC17" i="24"/>
  <c r="DD17" i="24" s="1"/>
  <c r="DE17" i="24" s="1"/>
  <c r="DF17" i="24" s="1"/>
  <c r="BS18" i="24" s="1"/>
  <c r="EF17" i="24"/>
  <c r="EE18" i="24" s="1"/>
  <c r="EJ18" i="24" s="1"/>
  <c r="FA18" i="24"/>
  <c r="EI18" i="24"/>
  <c r="AD18" i="24"/>
  <c r="GL18" i="24"/>
  <c r="BU18" i="32" s="1"/>
  <c r="EG18" i="24"/>
  <c r="Z17" i="7"/>
  <c r="J17" i="27" s="1"/>
  <c r="DC17" i="7"/>
  <c r="DD17" i="7" s="1"/>
  <c r="EF17" i="7"/>
  <c r="EE18" i="7" s="1"/>
  <c r="DA17" i="7"/>
  <c r="EJ18" i="7" l="1"/>
  <c r="GL18" i="7"/>
  <c r="AH18" i="27" s="1"/>
  <c r="AD18" i="7"/>
  <c r="N18" i="27" s="1"/>
  <c r="EG18" i="7"/>
  <c r="EI18" i="7"/>
  <c r="DE17" i="7"/>
  <c r="DF17" i="7" s="1"/>
  <c r="BS18" i="7" s="1"/>
  <c r="Y17" i="24"/>
  <c r="DH17" i="24"/>
  <c r="FT17" i="24" s="1"/>
  <c r="AL17" i="7" s="1"/>
  <c r="DJ17" i="24"/>
  <c r="DN17" i="24" s="1"/>
  <c r="CE17" i="24"/>
  <c r="Y17" i="7" l="1"/>
  <c r="I17" i="27" s="1"/>
  <c r="DH17" i="7"/>
  <c r="FT17" i="7" s="1"/>
  <c r="AL17" i="24" s="1"/>
  <c r="CE17" i="7"/>
  <c r="DJ17" i="7"/>
  <c r="DN17" i="7" s="1"/>
  <c r="DQ17" i="7" s="1"/>
  <c r="AA17" i="24"/>
  <c r="EO17" i="24"/>
  <c r="EN18" i="24" s="1"/>
  <c r="DO17" i="24"/>
  <c r="DM18" i="24" s="1"/>
  <c r="DQ17" i="24"/>
  <c r="DG17" i="24"/>
  <c r="CH17" i="24"/>
  <c r="CI17" i="24"/>
  <c r="DX17" i="24" l="1"/>
  <c r="DW18" i="24" s="1"/>
  <c r="EA18" i="24" s="1"/>
  <c r="AB17" i="7"/>
  <c r="EV17" i="7"/>
  <c r="EU18" i="7" s="1"/>
  <c r="AA17" i="7"/>
  <c r="K17" i="27" s="1"/>
  <c r="EO17" i="7"/>
  <c r="EN18" i="7" s="1"/>
  <c r="DO17" i="7"/>
  <c r="DM18" i="7" s="1"/>
  <c r="W17" i="24"/>
  <c r="CL17" i="24"/>
  <c r="CJ17" i="24"/>
  <c r="DG17" i="7"/>
  <c r="DX17" i="7" s="1"/>
  <c r="DW18" i="7" s="1"/>
  <c r="EV17" i="24"/>
  <c r="EU18" i="24" s="1"/>
  <c r="AB17" i="24"/>
  <c r="BT18" i="24"/>
  <c r="GM18" i="24"/>
  <c r="BV18" i="32" s="1"/>
  <c r="AE18" i="24"/>
  <c r="EP18" i="24"/>
  <c r="ES18" i="24" s="1"/>
  <c r="CI17" i="7"/>
  <c r="CH17" i="7"/>
  <c r="GK18" i="24" l="1"/>
  <c r="BT18" i="32" s="1"/>
  <c r="AC18" i="24"/>
  <c r="DY18" i="24"/>
  <c r="EB18" i="24" s="1"/>
  <c r="CP18" i="24"/>
  <c r="AG18" i="24" s="1"/>
  <c r="W17" i="7"/>
  <c r="G17" i="27" s="1"/>
  <c r="CL17" i="7"/>
  <c r="CJ17" i="7"/>
  <c r="BT18" i="7"/>
  <c r="AF18" i="24"/>
  <c r="EW18" i="24"/>
  <c r="FB18" i="24"/>
  <c r="GN18" i="24"/>
  <c r="BW18" i="32" s="1"/>
  <c r="AE18" i="7"/>
  <c r="O18" i="27" s="1"/>
  <c r="GM18" i="7"/>
  <c r="AI18" i="27" s="1"/>
  <c r="EP18" i="7"/>
  <c r="ES18" i="7" s="1"/>
  <c r="AC18" i="7"/>
  <c r="M18" i="27" s="1"/>
  <c r="CP18" i="7"/>
  <c r="AG18" i="7" s="1"/>
  <c r="EA18" i="7"/>
  <c r="DY18" i="7"/>
  <c r="EB18" i="7" s="1"/>
  <c r="GK18" i="7"/>
  <c r="FB18" i="7"/>
  <c r="GN18" i="7"/>
  <c r="EW18" i="7"/>
  <c r="EZ18" i="7" s="1"/>
  <c r="AF18" i="7"/>
  <c r="GG17" i="24"/>
  <c r="BP17" i="32" s="1"/>
  <c r="V17" i="24"/>
  <c r="CK17" i="24"/>
  <c r="GH17" i="24"/>
  <c r="BQ17" i="32" s="1"/>
  <c r="L17" i="27"/>
  <c r="P18" i="27" l="1"/>
  <c r="AG18" i="27"/>
  <c r="Q18" i="27"/>
  <c r="FK18" i="7"/>
  <c r="GR18" i="7" s="1"/>
  <c r="AJ18" i="27"/>
  <c r="FD18" i="7"/>
  <c r="FC18" i="7"/>
  <c r="FE18" i="7"/>
  <c r="EZ18" i="24"/>
  <c r="FK18" i="24" s="1"/>
  <c r="GH17" i="7"/>
  <c r="AD17" i="27" s="1"/>
  <c r="V17" i="7"/>
  <c r="F17" i="27" s="1"/>
  <c r="GG17" i="7"/>
  <c r="AC17" i="27" s="1"/>
  <c r="CK17" i="7"/>
  <c r="FC18" i="24"/>
  <c r="FD18" i="24"/>
  <c r="FE18" i="24"/>
  <c r="GP18" i="7" l="1"/>
  <c r="GQ18" i="7"/>
  <c r="GS18" i="7"/>
  <c r="FF18" i="7"/>
  <c r="FG18" i="7"/>
  <c r="FF18" i="24"/>
  <c r="FG18" i="24"/>
  <c r="GP18" i="24"/>
  <c r="GS18" i="24"/>
  <c r="GR18" i="24"/>
  <c r="GQ18" i="24"/>
  <c r="GT18" i="7" l="1" a="1"/>
  <c r="GT18" i="7" s="1"/>
  <c r="GT18" i="24" a="1"/>
  <c r="GT18" i="24" s="1"/>
  <c r="GU18" i="7" l="1"/>
  <c r="BW18" i="7" s="1"/>
  <c r="GV18" i="7"/>
  <c r="BX18" i="7" s="1"/>
  <c r="GX18" i="7"/>
  <c r="GW18" i="7"/>
  <c r="GW18" i="24"/>
  <c r="GU18" i="24"/>
  <c r="BW18" i="24" s="1"/>
  <c r="GX18" i="24"/>
  <c r="GV18" i="24"/>
  <c r="BX18" i="24" s="1"/>
  <c r="EH18" i="7" l="1"/>
  <c r="GD18" i="7"/>
  <c r="GC18" i="7"/>
  <c r="DZ18" i="7"/>
  <c r="BY18" i="7"/>
  <c r="DZ18" i="24"/>
  <c r="BY18" i="24"/>
  <c r="CB18" i="24" s="1"/>
  <c r="CR18" i="24" s="1"/>
  <c r="GC18" i="24"/>
  <c r="EH18" i="24"/>
  <c r="GD18" i="24"/>
  <c r="CB18" i="7" l="1"/>
  <c r="CR18" i="7" s="1"/>
  <c r="CV18" i="7" s="1"/>
  <c r="CX18" i="7" s="1"/>
  <c r="CY18" i="7" s="1"/>
  <c r="DA18" i="7" s="1"/>
  <c r="EX18" i="7"/>
  <c r="FH18" i="7" s="1"/>
  <c r="BZ18" i="7"/>
  <c r="CA18" i="7" s="1"/>
  <c r="CD18" i="7" s="1"/>
  <c r="GE18" i="7"/>
  <c r="BM18" i="32"/>
  <c r="Z18" i="27"/>
  <c r="BL18" i="32"/>
  <c r="Y18" i="27"/>
  <c r="CV18" i="24"/>
  <c r="CX18" i="24" s="1"/>
  <c r="CY18" i="24" s="1"/>
  <c r="GE18" i="24"/>
  <c r="EX18" i="24"/>
  <c r="FH18" i="24" s="1"/>
  <c r="BZ18" i="24"/>
  <c r="Z18" i="7" l="1"/>
  <c r="EF18" i="7"/>
  <c r="EE19" i="7" s="1"/>
  <c r="EG19" i="7" s="1"/>
  <c r="DC18" i="7"/>
  <c r="DD18" i="7" s="1"/>
  <c r="DE18" i="7" s="1"/>
  <c r="DF18" i="7" s="1"/>
  <c r="BS19" i="7" s="1"/>
  <c r="GF18" i="7"/>
  <c r="EQ18" i="7"/>
  <c r="FI18" i="7"/>
  <c r="FA19" i="7"/>
  <c r="DA18" i="24"/>
  <c r="FI18" i="24"/>
  <c r="FA19" i="24"/>
  <c r="Z18" i="24"/>
  <c r="DC18" i="24"/>
  <c r="DD18" i="24" s="1"/>
  <c r="EF18" i="24"/>
  <c r="EE19" i="24" s="1"/>
  <c r="EJ19" i="7"/>
  <c r="GF18" i="24"/>
  <c r="EQ18" i="24"/>
  <c r="CA18" i="24"/>
  <c r="CD18" i="24" s="1"/>
  <c r="BN18" i="32"/>
  <c r="AA18" i="27"/>
  <c r="EI19" i="7" l="1"/>
  <c r="AD19" i="7"/>
  <c r="GL19" i="7"/>
  <c r="J18" i="27"/>
  <c r="DE18" i="24"/>
  <c r="CE18" i="24" s="1"/>
  <c r="Y18" i="7"/>
  <c r="DH18" i="7"/>
  <c r="FT18" i="7" s="1"/>
  <c r="AL18" i="24" s="1"/>
  <c r="DJ18" i="7"/>
  <c r="DN18" i="7" s="1"/>
  <c r="DQ18" i="7" s="1"/>
  <c r="CE18" i="7"/>
  <c r="BO18" i="32"/>
  <c r="AB18" i="27"/>
  <c r="EJ19" i="24"/>
  <c r="EI19" i="24"/>
  <c r="AD19" i="24"/>
  <c r="GL19" i="24"/>
  <c r="BU19" i="32" s="1"/>
  <c r="EG19" i="24"/>
  <c r="AH19" i="27" l="1"/>
  <c r="N19" i="27"/>
  <c r="DG18" i="7"/>
  <c r="AB18" i="7"/>
  <c r="EV18" i="7"/>
  <c r="EU19" i="7" s="1"/>
  <c r="EO18" i="7"/>
  <c r="EN19" i="7" s="1"/>
  <c r="AA18" i="7"/>
  <c r="DO18" i="7"/>
  <c r="DM19" i="7" s="1"/>
  <c r="Y18" i="24"/>
  <c r="I18" i="27" s="1"/>
  <c r="DH18" i="24"/>
  <c r="FT18" i="24" s="1"/>
  <c r="AL18" i="7" s="1"/>
  <c r="DJ18" i="24"/>
  <c r="DN18" i="24" s="1"/>
  <c r="DQ18" i="24" s="1"/>
  <c r="DF18" i="24"/>
  <c r="BS19" i="24" s="1"/>
  <c r="CI18" i="24"/>
  <c r="CH18" i="24"/>
  <c r="CH18" i="7"/>
  <c r="CI18" i="7"/>
  <c r="DX18" i="7" l="1"/>
  <c r="DW19" i="7" s="1"/>
  <c r="AC19" i="7" s="1"/>
  <c r="EV18" i="24"/>
  <c r="EU19" i="24" s="1"/>
  <c r="AB18" i="24"/>
  <c r="W18" i="24"/>
  <c r="CL18" i="24"/>
  <c r="CJ18" i="24"/>
  <c r="BT19" i="7"/>
  <c r="AA18" i="24"/>
  <c r="K18" i="27" s="1"/>
  <c r="EO18" i="24"/>
  <c r="EN19" i="24" s="1"/>
  <c r="DO18" i="24"/>
  <c r="DM19" i="24" s="1"/>
  <c r="GM19" i="7"/>
  <c r="AE19" i="7"/>
  <c r="EP19" i="7"/>
  <c r="ES19" i="7" s="1"/>
  <c r="DG18" i="24"/>
  <c r="DX18" i="24" s="1"/>
  <c r="DW19" i="24" s="1"/>
  <c r="GN19" i="7"/>
  <c r="FB19" i="7"/>
  <c r="EW19" i="7"/>
  <c r="EZ19" i="7" s="1"/>
  <c r="AF19" i="7"/>
  <c r="W18" i="7"/>
  <c r="CL18" i="7"/>
  <c r="CJ18" i="7"/>
  <c r="L18" i="27"/>
  <c r="CP19" i="7" l="1"/>
  <c r="AG19" i="7" s="1"/>
  <c r="GK19" i="7"/>
  <c r="DY19" i="7"/>
  <c r="EB19" i="7" s="1"/>
  <c r="FK19" i="7" s="1"/>
  <c r="EA19" i="7"/>
  <c r="G18" i="27"/>
  <c r="FD19" i="7"/>
  <c r="FC19" i="7"/>
  <c r="FE19" i="7"/>
  <c r="CK18" i="24"/>
  <c r="GG18" i="24"/>
  <c r="BP18" i="32" s="1"/>
  <c r="GH18" i="24"/>
  <c r="BQ18" i="32" s="1"/>
  <c r="V18" i="24"/>
  <c r="BT19" i="24"/>
  <c r="CK18" i="7"/>
  <c r="GH18" i="7"/>
  <c r="GG18" i="7"/>
  <c r="V18" i="7"/>
  <c r="GM19" i="24"/>
  <c r="BV19" i="32" s="1"/>
  <c r="EP19" i="24"/>
  <c r="ES19" i="24" s="1"/>
  <c r="AE19" i="24"/>
  <c r="O19" i="27"/>
  <c r="EA19" i="24"/>
  <c r="CP19" i="24"/>
  <c r="AG19" i="24" s="1"/>
  <c r="Q19" i="27" s="1"/>
  <c r="DY19" i="24"/>
  <c r="EB19" i="24" s="1"/>
  <c r="AC19" i="24"/>
  <c r="M19" i="27" s="1"/>
  <c r="GK19" i="24"/>
  <c r="BT19" i="32" s="1"/>
  <c r="EW19" i="24"/>
  <c r="EZ19" i="24" s="1"/>
  <c r="GN19" i="24"/>
  <c r="BW19" i="32" s="1"/>
  <c r="FB19" i="24"/>
  <c r="AF19" i="24"/>
  <c r="P19" i="27" s="1"/>
  <c r="AC18" i="27" l="1"/>
  <c r="FK19" i="24"/>
  <c r="AD18" i="27"/>
  <c r="GP19" i="24"/>
  <c r="GS19" i="24"/>
  <c r="GQ19" i="24"/>
  <c r="GR19" i="24"/>
  <c r="AJ19" i="27"/>
  <c r="GR19" i="7"/>
  <c r="GS19" i="7"/>
  <c r="GP19" i="7"/>
  <c r="GQ19" i="7"/>
  <c r="F18" i="27"/>
  <c r="FG19" i="7"/>
  <c r="FF19" i="7"/>
  <c r="FC19" i="24"/>
  <c r="FE19" i="24"/>
  <c r="FD19" i="24"/>
  <c r="AG19" i="27"/>
  <c r="AI19" i="27"/>
  <c r="GT19" i="7" l="1" a="1"/>
  <c r="GT19" i="7" s="1"/>
  <c r="GW19" i="7" s="1"/>
  <c r="FG19" i="24"/>
  <c r="FF19" i="24"/>
  <c r="GT19" i="24" a="1"/>
  <c r="GT19" i="24" s="1"/>
  <c r="GX19" i="7" l="1"/>
  <c r="GV19" i="7"/>
  <c r="BX19" i="7" s="1"/>
  <c r="GD19" i="7" s="1"/>
  <c r="GU19" i="7"/>
  <c r="BW19" i="7" s="1"/>
  <c r="GC19" i="7" s="1"/>
  <c r="GX19" i="24"/>
  <c r="GV19" i="24"/>
  <c r="BX19" i="24" s="1"/>
  <c r="GW19" i="24"/>
  <c r="GU19" i="24"/>
  <c r="BW19" i="24" s="1"/>
  <c r="EH19" i="7" l="1"/>
  <c r="DZ19" i="7"/>
  <c r="BY19" i="7"/>
  <c r="EX19" i="7" s="1"/>
  <c r="FH19" i="7" s="1"/>
  <c r="DZ19" i="24"/>
  <c r="GC19" i="24"/>
  <c r="BL19" i="32" s="1"/>
  <c r="BY19" i="24"/>
  <c r="BZ19" i="24" s="1"/>
  <c r="GD19" i="24"/>
  <c r="BM19" i="32" s="1"/>
  <c r="EH19" i="24"/>
  <c r="GE19" i="7" l="1"/>
  <c r="CB19" i="7"/>
  <c r="CR19" i="7" s="1"/>
  <c r="CV19" i="7" s="1"/>
  <c r="CX19" i="7" s="1"/>
  <c r="CY19" i="7" s="1"/>
  <c r="BZ19" i="7"/>
  <c r="CA19" i="7" s="1"/>
  <c r="CD19" i="7" s="1"/>
  <c r="CB19" i="24"/>
  <c r="CR19" i="24" s="1"/>
  <c r="CV19" i="24" s="1"/>
  <c r="CX19" i="24" s="1"/>
  <c r="CY19" i="24" s="1"/>
  <c r="EQ19" i="24"/>
  <c r="GF19" i="24"/>
  <c r="BO19" i="32" s="1"/>
  <c r="CA19" i="24"/>
  <c r="CD19" i="24" s="1"/>
  <c r="FI19" i="7"/>
  <c r="FA20" i="7"/>
  <c r="Z19" i="27"/>
  <c r="Y19" i="27"/>
  <c r="EX19" i="24"/>
  <c r="FH19" i="24" s="1"/>
  <c r="GE19" i="24"/>
  <c r="BN19" i="32" s="1"/>
  <c r="GF19" i="7" l="1"/>
  <c r="AB19" i="27" s="1"/>
  <c r="EQ19" i="7"/>
  <c r="DA19" i="24"/>
  <c r="DA19" i="7"/>
  <c r="Z19" i="7"/>
  <c r="J19" i="27" s="1"/>
  <c r="EF19" i="7"/>
  <c r="EE20" i="7" s="1"/>
  <c r="DC19" i="7"/>
  <c r="DD19" i="7" s="1"/>
  <c r="FI19" i="24"/>
  <c r="FA20" i="24"/>
  <c r="EF19" i="24"/>
  <c r="EE20" i="24" s="1"/>
  <c r="Z19" i="24"/>
  <c r="DC19" i="24"/>
  <c r="DD19" i="24" s="1"/>
  <c r="AA19" i="27"/>
  <c r="DE19" i="24" l="1"/>
  <c r="DF19" i="24" s="1"/>
  <c r="BS20" i="24" s="1"/>
  <c r="EI20" i="24"/>
  <c r="EJ20" i="24"/>
  <c r="AD20" i="24"/>
  <c r="GL20" i="24"/>
  <c r="BU20" i="32" s="1"/>
  <c r="EG20" i="24"/>
  <c r="DE19" i="7"/>
  <c r="DF19" i="7" s="1"/>
  <c r="BS20" i="7" s="1"/>
  <c r="EG20" i="7"/>
  <c r="EJ20" i="7"/>
  <c r="GL20" i="7"/>
  <c r="AD20" i="7"/>
  <c r="EI20" i="7"/>
  <c r="N20" i="27" l="1"/>
  <c r="AH20" i="27"/>
  <c r="Y19" i="7"/>
  <c r="DH19" i="7"/>
  <c r="FT19" i="7" s="1"/>
  <c r="AL19" i="24" s="1"/>
  <c r="CE19" i="7"/>
  <c r="DJ19" i="7"/>
  <c r="DN19" i="7" s="1"/>
  <c r="DQ19" i="7" s="1"/>
  <c r="CE19" i="24"/>
  <c r="DH19" i="24"/>
  <c r="FT19" i="24" s="1"/>
  <c r="AL19" i="7" s="1"/>
  <c r="Y19" i="24"/>
  <c r="DJ19" i="24"/>
  <c r="DN19" i="24" s="1"/>
  <c r="DQ19" i="24" s="1"/>
  <c r="DG19" i="7" l="1"/>
  <c r="DX19" i="7" s="1"/>
  <c r="DW20" i="7" s="1"/>
  <c r="AA19" i="7"/>
  <c r="EO19" i="7"/>
  <c r="EN20" i="7" s="1"/>
  <c r="DO19" i="7"/>
  <c r="DM20" i="7" s="1"/>
  <c r="EV19" i="7"/>
  <c r="EU20" i="7" s="1"/>
  <c r="AB19" i="7"/>
  <c r="AA19" i="24"/>
  <c r="EO19" i="24"/>
  <c r="EN20" i="24" s="1"/>
  <c r="DO19" i="24"/>
  <c r="DM20" i="24" s="1"/>
  <c r="EV19" i="24"/>
  <c r="EU20" i="24" s="1"/>
  <c r="AB19" i="24"/>
  <c r="DG19" i="24"/>
  <c r="DX19" i="24" s="1"/>
  <c r="DW20" i="24" s="1"/>
  <c r="I19" i="27"/>
  <c r="CH19" i="7"/>
  <c r="CI19" i="24"/>
  <c r="CI19" i="7"/>
  <c r="CH19" i="24"/>
  <c r="L19" i="27" l="1"/>
  <c r="W19" i="7"/>
  <c r="CL19" i="7"/>
  <c r="CJ19" i="7"/>
  <c r="FB20" i="7"/>
  <c r="GN20" i="7"/>
  <c r="AF20" i="7"/>
  <c r="EW20" i="7"/>
  <c r="EZ20" i="7" s="1"/>
  <c r="EA20" i="7"/>
  <c r="GK20" i="7"/>
  <c r="AC20" i="7"/>
  <c r="CP20" i="7"/>
  <c r="AG20" i="7" s="1"/>
  <c r="DY20" i="7"/>
  <c r="EB20" i="7" s="1"/>
  <c r="BT20" i="7"/>
  <c r="AF20" i="24"/>
  <c r="GN20" i="24"/>
  <c r="BW20" i="32" s="1"/>
  <c r="FB20" i="24"/>
  <c r="EW20" i="24"/>
  <c r="GM20" i="7"/>
  <c r="AE20" i="7"/>
  <c r="EP20" i="7"/>
  <c r="ES20" i="7" s="1"/>
  <c r="AC20" i="24"/>
  <c r="EA20" i="24"/>
  <c r="DY20" i="24"/>
  <c r="EB20" i="24" s="1"/>
  <c r="CP20" i="24"/>
  <c r="AG20" i="24" s="1"/>
  <c r="GK20" i="24"/>
  <c r="BT20" i="32" s="1"/>
  <c r="BT20" i="24"/>
  <c r="GM20" i="24"/>
  <c r="BV20" i="32" s="1"/>
  <c r="EP20" i="24"/>
  <c r="ES20" i="24" s="1"/>
  <c r="AE20" i="24"/>
  <c r="K19" i="27"/>
  <c r="W19" i="24"/>
  <c r="CL19" i="24"/>
  <c r="CJ19" i="24"/>
  <c r="P20" i="27" l="1"/>
  <c r="M20" i="27"/>
  <c r="G19" i="27"/>
  <c r="FK20" i="7"/>
  <c r="FE20" i="7"/>
  <c r="FC20" i="7"/>
  <c r="FD20" i="7"/>
  <c r="FE20" i="24"/>
  <c r="FC20" i="24"/>
  <c r="FD20" i="24"/>
  <c r="EZ20" i="24"/>
  <c r="FK20" i="24" s="1"/>
  <c r="Q20" i="27"/>
  <c r="CK19" i="24"/>
  <c r="GG19" i="24"/>
  <c r="BP19" i="32" s="1"/>
  <c r="GH19" i="24"/>
  <c r="BQ19" i="32" s="1"/>
  <c r="V19" i="24"/>
  <c r="O20" i="27"/>
  <c r="AJ20" i="27"/>
  <c r="AG20" i="27"/>
  <c r="GG19" i="7"/>
  <c r="GH19" i="7"/>
  <c r="V19" i="7"/>
  <c r="CK19" i="7"/>
  <c r="AI20" i="27"/>
  <c r="F19" i="27" l="1"/>
  <c r="AD19" i="27"/>
  <c r="AC19" i="27"/>
  <c r="GR20" i="24"/>
  <c r="GS20" i="24"/>
  <c r="GQ20" i="24"/>
  <c r="GP20" i="24"/>
  <c r="FF20" i="24"/>
  <c r="FG20" i="24"/>
  <c r="FF20" i="7"/>
  <c r="FG20" i="7"/>
  <c r="GR20" i="7"/>
  <c r="GP20" i="7"/>
  <c r="GS20" i="7"/>
  <c r="GQ20" i="7"/>
  <c r="GT20" i="24" l="1" a="1"/>
  <c r="GT20" i="24" s="1"/>
  <c r="GT20" i="7" a="1"/>
  <c r="GT20" i="7" s="1"/>
  <c r="GV20" i="24" l="1"/>
  <c r="BX20" i="24" s="1"/>
  <c r="GX20" i="24"/>
  <c r="GU20" i="24"/>
  <c r="BW20" i="24" s="1"/>
  <c r="GW20" i="24"/>
  <c r="GU20" i="7"/>
  <c r="BW20" i="7" s="1"/>
  <c r="GW20" i="7"/>
  <c r="GV20" i="7"/>
  <c r="BX20" i="7" s="1"/>
  <c r="GX20" i="7"/>
  <c r="GD20" i="7" l="1"/>
  <c r="EH20" i="7"/>
  <c r="GC20" i="7"/>
  <c r="BY20" i="7"/>
  <c r="CB20" i="7" s="1"/>
  <c r="CR20" i="7" s="1"/>
  <c r="DZ20" i="7"/>
  <c r="BY20" i="24"/>
  <c r="CB20" i="24" s="1"/>
  <c r="CR20" i="24" s="1"/>
  <c r="GC20" i="24"/>
  <c r="BL20" i="32" s="1"/>
  <c r="DZ20" i="24"/>
  <c r="EH20" i="24"/>
  <c r="GD20" i="24"/>
  <c r="BM20" i="32" s="1"/>
  <c r="BZ20" i="24" l="1"/>
  <c r="CA20" i="24" s="1"/>
  <c r="CD20" i="24" s="1"/>
  <c r="CV20" i="7"/>
  <c r="CX20" i="7" s="1"/>
  <c r="CV20" i="24"/>
  <c r="CX20" i="24" s="1"/>
  <c r="CY20" i="24" s="1"/>
  <c r="BZ20" i="7"/>
  <c r="CA20" i="7" s="1"/>
  <c r="CD20" i="7" s="1"/>
  <c r="GE20" i="7"/>
  <c r="EX20" i="7"/>
  <c r="FH20" i="7" s="1"/>
  <c r="Y20" i="27"/>
  <c r="GE20" i="24"/>
  <c r="BN20" i="32" s="1"/>
  <c r="EX20" i="24"/>
  <c r="FH20" i="24" s="1"/>
  <c r="Z20" i="27"/>
  <c r="GF20" i="24" l="1"/>
  <c r="BO20" i="32" s="1"/>
  <c r="EQ20" i="24"/>
  <c r="GF20" i="7"/>
  <c r="EQ20" i="7"/>
  <c r="DA20" i="24"/>
  <c r="Z20" i="24"/>
  <c r="EF20" i="24"/>
  <c r="EE21" i="24" s="1"/>
  <c r="DC20" i="24"/>
  <c r="DD20" i="24" s="1"/>
  <c r="EF20" i="7"/>
  <c r="EE21" i="7" s="1"/>
  <c r="DC20" i="7"/>
  <c r="DD20" i="7" s="1"/>
  <c r="Z20" i="7"/>
  <c r="FI20" i="7"/>
  <c r="FA21" i="7"/>
  <c r="CY20" i="7"/>
  <c r="FI20" i="24"/>
  <c r="FA21" i="24"/>
  <c r="AA20" i="27"/>
  <c r="AB20" i="27" l="1"/>
  <c r="J20" i="27"/>
  <c r="DA20" i="7"/>
  <c r="DE20" i="7" s="1"/>
  <c r="GL21" i="24"/>
  <c r="BU21" i="32" s="1"/>
  <c r="EJ21" i="24"/>
  <c r="EG21" i="24"/>
  <c r="AD21" i="24"/>
  <c r="EI21" i="24"/>
  <c r="EI21" i="7"/>
  <c r="AD21" i="7"/>
  <c r="GL21" i="7"/>
  <c r="EG21" i="7"/>
  <c r="EJ21" i="7"/>
  <c r="DE20" i="24"/>
  <c r="DF20" i="24" s="1"/>
  <c r="BS21" i="24" s="1"/>
  <c r="AH21" i="27" l="1"/>
  <c r="DH20" i="7"/>
  <c r="FT20" i="7" s="1"/>
  <c r="AL20" i="24" s="1"/>
  <c r="Y20" i="7"/>
  <c r="DF20" i="7"/>
  <c r="BS21" i="7" s="1"/>
  <c r="DJ20" i="7"/>
  <c r="DN20" i="7" s="1"/>
  <c r="CE20" i="7"/>
  <c r="N21" i="27"/>
  <c r="Y20" i="24"/>
  <c r="DH20" i="24"/>
  <c r="FT20" i="24" s="1"/>
  <c r="AL20" i="7" s="1"/>
  <c r="DJ20" i="24"/>
  <c r="DN20" i="24" s="1"/>
  <c r="DQ20" i="24" s="1"/>
  <c r="CE20" i="24"/>
  <c r="I20" i="27" l="1"/>
  <c r="EV20" i="24"/>
  <c r="EU21" i="24" s="1"/>
  <c r="AB20" i="24"/>
  <c r="EO20" i="7"/>
  <c r="EN21" i="7" s="1"/>
  <c r="AA20" i="7"/>
  <c r="DO20" i="7"/>
  <c r="DM21" i="7" s="1"/>
  <c r="EO20" i="24"/>
  <c r="EN21" i="24" s="1"/>
  <c r="AA20" i="24"/>
  <c r="DO20" i="24"/>
  <c r="DM21" i="24" s="1"/>
  <c r="DQ20" i="7"/>
  <c r="DG20" i="24"/>
  <c r="DX20" i="24" s="1"/>
  <c r="DW21" i="24" s="1"/>
  <c r="DG20" i="7"/>
  <c r="DX20" i="7" s="1"/>
  <c r="DW21" i="7" s="1"/>
  <c r="CI20" i="24"/>
  <c r="CH20" i="24"/>
  <c r="CI20" i="7"/>
  <c r="CH20" i="7"/>
  <c r="K20" i="27" l="1"/>
  <c r="BT21" i="7"/>
  <c r="GK21" i="7"/>
  <c r="AC21" i="7"/>
  <c r="EA21" i="7"/>
  <c r="DY21" i="7"/>
  <c r="EB21" i="7" s="1"/>
  <c r="EP21" i="7"/>
  <c r="ES21" i="7" s="1"/>
  <c r="AE21" i="7"/>
  <c r="GM21" i="7"/>
  <c r="W20" i="7"/>
  <c r="CJ20" i="7"/>
  <c r="CL20" i="7"/>
  <c r="GK21" i="24"/>
  <c r="BT21" i="32" s="1"/>
  <c r="AC21" i="24"/>
  <c r="EA21" i="24"/>
  <c r="CP21" i="24"/>
  <c r="AG21" i="24" s="1"/>
  <c r="DY21" i="24"/>
  <c r="BT21" i="24"/>
  <c r="AB20" i="7"/>
  <c r="L20" i="27" s="1"/>
  <c r="EV20" i="7"/>
  <c r="EU21" i="7" s="1"/>
  <c r="CP21" i="7" s="1"/>
  <c r="AG21" i="7" s="1"/>
  <c r="EP21" i="24"/>
  <c r="ES21" i="24" s="1"/>
  <c r="GM21" i="24"/>
  <c r="BV21" i="32" s="1"/>
  <c r="AE21" i="24"/>
  <c r="W20" i="24"/>
  <c r="CL20" i="24"/>
  <c r="CJ20" i="24"/>
  <c r="GN21" i="24"/>
  <c r="BW21" i="32" s="1"/>
  <c r="FB21" i="24"/>
  <c r="AF21" i="24"/>
  <c r="EW21" i="24"/>
  <c r="Q21" i="27" l="1"/>
  <c r="M21" i="27"/>
  <c r="O21" i="27"/>
  <c r="G20" i="27"/>
  <c r="AG21" i="27"/>
  <c r="AI21" i="27"/>
  <c r="GH20" i="7"/>
  <c r="GG20" i="7"/>
  <c r="CK20" i="7"/>
  <c r="V20" i="7"/>
  <c r="AF21" i="7"/>
  <c r="P21" i="27" s="1"/>
  <c r="GN21" i="7"/>
  <c r="AJ21" i="27" s="1"/>
  <c r="EW21" i="7"/>
  <c r="FB21" i="7"/>
  <c r="EB21" i="24"/>
  <c r="FD21" i="24"/>
  <c r="FC21" i="24"/>
  <c r="FE21" i="24"/>
  <c r="GH20" i="24"/>
  <c r="BQ20" i="32" s="1"/>
  <c r="V20" i="24"/>
  <c r="GG20" i="24"/>
  <c r="BP20" i="32" s="1"/>
  <c r="CK20" i="24"/>
  <c r="EZ21" i="24"/>
  <c r="AD20" i="27" l="1"/>
  <c r="F20" i="27"/>
  <c r="FK21" i="24"/>
  <c r="AC20" i="27"/>
  <c r="FE21" i="7"/>
  <c r="FD21" i="7"/>
  <c r="FC21" i="7"/>
  <c r="EZ21" i="7"/>
  <c r="FK21" i="7" s="1"/>
  <c r="FG21" i="24"/>
  <c r="FF21" i="24"/>
  <c r="FF21" i="7" l="1"/>
  <c r="FG21" i="7"/>
  <c r="GP21" i="7"/>
  <c r="GQ21" i="7"/>
  <c r="GS21" i="7"/>
  <c r="GR21" i="7"/>
  <c r="GP21" i="24"/>
  <c r="GS21" i="24"/>
  <c r="GQ21" i="24"/>
  <c r="GR21" i="24"/>
  <c r="GT21" i="24" l="1" a="1"/>
  <c r="GT21" i="24" s="1"/>
  <c r="GU21" i="24" s="1"/>
  <c r="BW21" i="24" s="1"/>
  <c r="GT21" i="7" a="1"/>
  <c r="GT21" i="7" s="1"/>
  <c r="GW21" i="24" l="1"/>
  <c r="GV21" i="24"/>
  <c r="BX21" i="24" s="1"/>
  <c r="GD21" i="24" s="1"/>
  <c r="BM21" i="32" s="1"/>
  <c r="GX21" i="24"/>
  <c r="DZ21" i="24"/>
  <c r="GC21" i="24"/>
  <c r="BL21" i="32" s="1"/>
  <c r="GW21" i="7"/>
  <c r="GX21" i="7"/>
  <c r="GU21" i="7"/>
  <c r="BW21" i="7" s="1"/>
  <c r="GV21" i="7"/>
  <c r="BX21" i="7" s="1"/>
  <c r="BY21" i="24" l="1"/>
  <c r="CB21" i="24" s="1"/>
  <c r="CR21" i="24" s="1"/>
  <c r="EH21" i="24"/>
  <c r="GD21" i="7"/>
  <c r="Z21" i="27" s="1"/>
  <c r="EH21" i="7"/>
  <c r="GC21" i="7"/>
  <c r="Y21" i="27" s="1"/>
  <c r="BY21" i="7"/>
  <c r="BZ21" i="7" s="1"/>
  <c r="DZ21" i="7"/>
  <c r="BZ21" i="24" l="1"/>
  <c r="CA21" i="24" s="1"/>
  <c r="CD21" i="24" s="1"/>
  <c r="EX21" i="24"/>
  <c r="FH21" i="24" s="1"/>
  <c r="GE21" i="24"/>
  <c r="BN21" i="32" s="1"/>
  <c r="EQ21" i="7"/>
  <c r="GF21" i="7"/>
  <c r="GE21" i="7"/>
  <c r="AA21" i="27" s="1"/>
  <c r="EX21" i="7"/>
  <c r="FH21" i="7" s="1"/>
  <c r="CV21" i="24"/>
  <c r="CX21" i="24" s="1"/>
  <c r="CY21" i="24" s="1"/>
  <c r="CB21" i="7"/>
  <c r="CR21" i="7" s="1"/>
  <c r="FI21" i="24"/>
  <c r="FA22" i="24"/>
  <c r="CA21" i="7"/>
  <c r="CD21" i="7" s="1"/>
  <c r="GF21" i="24" l="1"/>
  <c r="BO21" i="32" s="1"/>
  <c r="EQ21" i="24"/>
  <c r="DA21" i="24"/>
  <c r="Z21" i="24"/>
  <c r="DC21" i="24"/>
  <c r="DD21" i="24" s="1"/>
  <c r="EF21" i="24"/>
  <c r="EE22" i="24" s="1"/>
  <c r="FI21" i="7"/>
  <c r="FA22" i="7"/>
  <c r="AB21" i="27"/>
  <c r="CV21" i="7"/>
  <c r="CX21" i="7" s="1"/>
  <c r="CY21" i="7" s="1"/>
  <c r="DA21" i="7" l="1"/>
  <c r="EI22" i="24"/>
  <c r="AD22" i="24"/>
  <c r="EG22" i="24"/>
  <c r="GL22" i="24"/>
  <c r="BU22" i="32" s="1"/>
  <c r="EJ22" i="24"/>
  <c r="DE21" i="24"/>
  <c r="DF21" i="24" s="1"/>
  <c r="BS22" i="24" s="1"/>
  <c r="EF21" i="7"/>
  <c r="EE22" i="7" s="1"/>
  <c r="DC21" i="7"/>
  <c r="DD21" i="7" s="1"/>
  <c r="Z21" i="7"/>
  <c r="J21" i="27" s="1"/>
  <c r="DE21" i="7" l="1"/>
  <c r="EJ22" i="7"/>
  <c r="AD22" i="7"/>
  <c r="N22" i="27" s="1"/>
  <c r="EI22" i="7"/>
  <c r="GL22" i="7"/>
  <c r="AH22" i="27" s="1"/>
  <c r="EG22" i="7"/>
  <c r="Y21" i="24"/>
  <c r="DH21" i="24"/>
  <c r="FT21" i="24" s="1"/>
  <c r="AL21" i="7" s="1"/>
  <c r="CE21" i="24"/>
  <c r="DJ21" i="24"/>
  <c r="DN21" i="24" s="1"/>
  <c r="DQ21" i="24" s="1"/>
  <c r="EV21" i="24" l="1"/>
  <c r="EU22" i="24" s="1"/>
  <c r="AB21" i="24"/>
  <c r="AA21" i="24"/>
  <c r="EO21" i="24"/>
  <c r="EN22" i="24" s="1"/>
  <c r="DO21" i="24"/>
  <c r="DM22" i="24" s="1"/>
  <c r="Y21" i="7"/>
  <c r="I21" i="27" s="1"/>
  <c r="DH21" i="7"/>
  <c r="FT21" i="7" s="1"/>
  <c r="AL21" i="24" s="1"/>
  <c r="DJ21" i="7"/>
  <c r="DN21" i="7" s="1"/>
  <c r="DQ21" i="7" s="1"/>
  <c r="CE21" i="7"/>
  <c r="DG21" i="24"/>
  <c r="DF21" i="7"/>
  <c r="BS22" i="7" s="1"/>
  <c r="CI21" i="24"/>
  <c r="CH21" i="24"/>
  <c r="AB21" i="7" l="1"/>
  <c r="L21" i="27" s="1"/>
  <c r="EV21" i="7"/>
  <c r="EU22" i="7" s="1"/>
  <c r="DG21" i="7"/>
  <c r="DX21" i="7" s="1"/>
  <c r="DW22" i="7" s="1"/>
  <c r="W21" i="24"/>
  <c r="CJ21" i="24"/>
  <c r="CL21" i="24"/>
  <c r="DX21" i="24"/>
  <c r="DW22" i="24" s="1"/>
  <c r="BT22" i="24"/>
  <c r="GM22" i="24"/>
  <c r="BV22" i="32" s="1"/>
  <c r="AE22" i="24"/>
  <c r="EP22" i="24"/>
  <c r="ES22" i="24" s="1"/>
  <c r="EO21" i="7"/>
  <c r="EN22" i="7" s="1"/>
  <c r="AA21" i="7"/>
  <c r="K21" i="27" s="1"/>
  <c r="DO21" i="7"/>
  <c r="DM22" i="7" s="1"/>
  <c r="AF22" i="24"/>
  <c r="GN22" i="24"/>
  <c r="BW22" i="32" s="1"/>
  <c r="FB22" i="24"/>
  <c r="EW22" i="24"/>
  <c r="EZ22" i="24" s="1"/>
  <c r="CH21" i="7"/>
  <c r="CI21" i="7"/>
  <c r="DY22" i="24" l="1"/>
  <c r="EB22" i="24" s="1"/>
  <c r="FK22" i="24" s="1"/>
  <c r="GK22" i="24"/>
  <c r="BT22" i="32" s="1"/>
  <c r="EA22" i="24"/>
  <c r="CP22" i="24"/>
  <c r="AG22" i="24" s="1"/>
  <c r="AC22" i="24"/>
  <c r="CK21" i="24"/>
  <c r="GH21" i="24"/>
  <c r="BQ21" i="32" s="1"/>
  <c r="V21" i="24"/>
  <c r="GG21" i="24"/>
  <c r="BP21" i="32" s="1"/>
  <c r="BT22" i="7"/>
  <c r="EA22" i="7"/>
  <c r="DY22" i="7"/>
  <c r="EB22" i="7" s="1"/>
  <c r="AC22" i="7"/>
  <c r="M22" i="27" s="1"/>
  <c r="GK22" i="7"/>
  <c r="AG22" i="27" s="1"/>
  <c r="CP22" i="7"/>
  <c r="AG22" i="7" s="1"/>
  <c r="AE22" i="7"/>
  <c r="O22" i="27" s="1"/>
  <c r="EP22" i="7"/>
  <c r="ES22" i="7" s="1"/>
  <c r="GM22" i="7"/>
  <c r="AI22" i="27" s="1"/>
  <c r="EW22" i="7"/>
  <c r="EZ22" i="7" s="1"/>
  <c r="AF22" i="7"/>
  <c r="P22" i="27" s="1"/>
  <c r="FB22" i="7"/>
  <c r="GN22" i="7"/>
  <c r="AJ22" i="27" s="1"/>
  <c r="FC22" i="24"/>
  <c r="FD22" i="24"/>
  <c r="FE22" i="24"/>
  <c r="W21" i="7"/>
  <c r="G21" i="27" s="1"/>
  <c r="CJ21" i="7"/>
  <c r="CL21" i="7"/>
  <c r="Q22" i="27" l="1"/>
  <c r="FK22" i="7"/>
  <c r="CK21" i="7"/>
  <c r="GG21" i="7"/>
  <c r="AC21" i="27" s="1"/>
  <c r="V21" i="7"/>
  <c r="F21" i="27" s="1"/>
  <c r="GH21" i="7"/>
  <c r="AD21" i="27" s="1"/>
  <c r="GR22" i="24"/>
  <c r="GS22" i="24"/>
  <c r="GQ22" i="24"/>
  <c r="GP22" i="24"/>
  <c r="FF22" i="24"/>
  <c r="FG22" i="24"/>
  <c r="FC22" i="7"/>
  <c r="FE22" i="7"/>
  <c r="FD22" i="7"/>
  <c r="GT22" i="24" l="1" a="1"/>
  <c r="GT22" i="24" s="1"/>
  <c r="GP22" i="7"/>
  <c r="GS22" i="7"/>
  <c r="GQ22" i="7"/>
  <c r="GR22" i="7"/>
  <c r="FG22" i="7"/>
  <c r="FF22" i="7"/>
  <c r="GT22" i="7" l="1" a="1"/>
  <c r="GT22" i="7" s="1"/>
  <c r="GX22" i="24"/>
  <c r="GU22" i="24"/>
  <c r="BW22" i="24" s="1"/>
  <c r="GV22" i="24"/>
  <c r="BX22" i="24" s="1"/>
  <c r="GW22" i="24"/>
  <c r="EH22" i="24" l="1"/>
  <c r="GD22" i="24"/>
  <c r="BM22" i="32" s="1"/>
  <c r="DZ22" i="24"/>
  <c r="GC22" i="24"/>
  <c r="BL22" i="32" s="1"/>
  <c r="BY22" i="24"/>
  <c r="BZ22" i="24" s="1"/>
  <c r="GV22" i="7"/>
  <c r="BX22" i="7" s="1"/>
  <c r="GX22" i="7"/>
  <c r="GU22" i="7"/>
  <c r="BW22" i="7" s="1"/>
  <c r="GW22" i="7"/>
  <c r="GF22" i="24" l="1"/>
  <c r="BO22" i="32" s="1"/>
  <c r="EQ22" i="24"/>
  <c r="EX22" i="24"/>
  <c r="FH22" i="24" s="1"/>
  <c r="GE22" i="24"/>
  <c r="BN22" i="32" s="1"/>
  <c r="CA22" i="24"/>
  <c r="CD22" i="24" s="1"/>
  <c r="GC22" i="7"/>
  <c r="Y22" i="27" s="1"/>
  <c r="BY22" i="7"/>
  <c r="DZ22" i="7"/>
  <c r="EH22" i="7"/>
  <c r="GD22" i="7"/>
  <c r="Z22" i="27" s="1"/>
  <c r="CB22" i="24"/>
  <c r="CR22" i="24" s="1"/>
  <c r="EX22" i="7" l="1"/>
  <c r="FH22" i="7" s="1"/>
  <c r="GE22" i="7"/>
  <c r="AA22" i="27" s="1"/>
  <c r="CV22" i="24"/>
  <c r="CX22" i="24" s="1"/>
  <c r="CB22" i="7"/>
  <c r="CR22" i="7" s="1"/>
  <c r="FI22" i="24"/>
  <c r="FA23" i="24"/>
  <c r="BZ22" i="7"/>
  <c r="CA22" i="7" s="1"/>
  <c r="CD22" i="7" s="1"/>
  <c r="CV22" i="7" l="1"/>
  <c r="CX22" i="7" s="1"/>
  <c r="Z22" i="24"/>
  <c r="EF22" i="24"/>
  <c r="EE23" i="24" s="1"/>
  <c r="DC22" i="24"/>
  <c r="DD22" i="24" s="1"/>
  <c r="CY22" i="24"/>
  <c r="EQ22" i="7"/>
  <c r="GF22" i="7"/>
  <c r="AB22" i="27" s="1"/>
  <c r="FI22" i="7"/>
  <c r="FA23" i="7"/>
  <c r="DA22" i="24" l="1"/>
  <c r="DE22" i="24" s="1"/>
  <c r="DF22" i="24" s="1"/>
  <c r="BS23" i="24" s="1"/>
  <c r="GL23" i="24"/>
  <c r="BU23" i="32" s="1"/>
  <c r="EG23" i="24"/>
  <c r="EJ23" i="24"/>
  <c r="EI23" i="24"/>
  <c r="AD23" i="24"/>
  <c r="Z22" i="7"/>
  <c r="J22" i="27" s="1"/>
  <c r="EF22" i="7"/>
  <c r="EE23" i="7" s="1"/>
  <c r="DC22" i="7"/>
  <c r="DD22" i="7" s="1"/>
  <c r="CY22" i="7"/>
  <c r="Y22" i="24" l="1"/>
  <c r="DH22" i="24"/>
  <c r="FT22" i="24" s="1"/>
  <c r="AL22" i="7" s="1"/>
  <c r="CE22" i="24"/>
  <c r="DJ22" i="24"/>
  <c r="DN22" i="24" s="1"/>
  <c r="EJ23" i="7"/>
  <c r="AD23" i="7"/>
  <c r="N23" i="27" s="1"/>
  <c r="GL23" i="7"/>
  <c r="AH23" i="27" s="1"/>
  <c r="EG23" i="7"/>
  <c r="EI23" i="7"/>
  <c r="DA22" i="7"/>
  <c r="DE22" i="7" s="1"/>
  <c r="DG22" i="24" l="1"/>
  <c r="Y22" i="7"/>
  <c r="I22" i="27" s="1"/>
  <c r="DH22" i="7"/>
  <c r="FT22" i="7" s="1"/>
  <c r="AL22" i="24" s="1"/>
  <c r="CE22" i="7"/>
  <c r="DF22" i="7"/>
  <c r="BS23" i="7" s="1"/>
  <c r="DJ22" i="7"/>
  <c r="DN22" i="7" s="1"/>
  <c r="DQ22" i="7" s="1"/>
  <c r="EO22" i="24"/>
  <c r="EN23" i="24" s="1"/>
  <c r="AA22" i="24"/>
  <c r="DO22" i="24"/>
  <c r="DM23" i="24" s="1"/>
  <c r="DQ22" i="24"/>
  <c r="CI22" i="24"/>
  <c r="CH22" i="24"/>
  <c r="DX22" i="24" l="1"/>
  <c r="DW23" i="24" s="1"/>
  <c r="DY23" i="24" s="1"/>
  <c r="EB23" i="24" s="1"/>
  <c r="DG22" i="7"/>
  <c r="DX22" i="7" s="1"/>
  <c r="DW23" i="7" s="1"/>
  <c r="EV22" i="7"/>
  <c r="EU23" i="7" s="1"/>
  <c r="AB22" i="7"/>
  <c r="AC23" i="24"/>
  <c r="EA23" i="24"/>
  <c r="GK23" i="24"/>
  <c r="BT23" i="32" s="1"/>
  <c r="W22" i="24"/>
  <c r="CL22" i="24"/>
  <c r="CJ22" i="24"/>
  <c r="AA22" i="7"/>
  <c r="K22" i="27" s="1"/>
  <c r="EO22" i="7"/>
  <c r="EN23" i="7" s="1"/>
  <c r="DO22" i="7"/>
  <c r="DM23" i="7" s="1"/>
  <c r="AC23" i="7"/>
  <c r="GK23" i="7"/>
  <c r="AG23" i="27" s="1"/>
  <c r="DY23" i="7"/>
  <c r="EB23" i="7" s="1"/>
  <c r="EA23" i="7"/>
  <c r="AB22" i="24"/>
  <c r="EV22" i="24"/>
  <c r="EU23" i="24" s="1"/>
  <c r="BT23" i="24"/>
  <c r="EP23" i="24"/>
  <c r="ES23" i="24" s="1"/>
  <c r="AE23" i="24"/>
  <c r="GM23" i="24"/>
  <c r="BV23" i="32" s="1"/>
  <c r="CH22" i="7"/>
  <c r="CI22" i="7"/>
  <c r="CP23" i="24" l="1"/>
  <c r="AG23" i="24" s="1"/>
  <c r="M23" i="27"/>
  <c r="EP23" i="7"/>
  <c r="ES23" i="7" s="1"/>
  <c r="AE23" i="7"/>
  <c r="O23" i="27" s="1"/>
  <c r="GM23" i="7"/>
  <c r="AI23" i="27" s="1"/>
  <c r="CP23" i="7"/>
  <c r="AG23" i="7" s="1"/>
  <c r="W22" i="7"/>
  <c r="G22" i="27" s="1"/>
  <c r="CL22" i="7"/>
  <c r="CJ22" i="7"/>
  <c r="GH22" i="24"/>
  <c r="BQ22" i="32" s="1"/>
  <c r="V22" i="24"/>
  <c r="CK22" i="24"/>
  <c r="GG22" i="24"/>
  <c r="BP22" i="32" s="1"/>
  <c r="L22" i="27"/>
  <c r="FB23" i="24"/>
  <c r="AF23" i="24"/>
  <c r="GN23" i="24"/>
  <c r="BW23" i="32" s="1"/>
  <c r="EW23" i="24"/>
  <c r="EZ23" i="24" s="1"/>
  <c r="FK23" i="24" s="1"/>
  <c r="BT23" i="7"/>
  <c r="FB23" i="7"/>
  <c r="EW23" i="7"/>
  <c r="EZ23" i="7" s="1"/>
  <c r="AF23" i="7"/>
  <c r="GN23" i="7"/>
  <c r="Q23" i="27" l="1"/>
  <c r="P23" i="27"/>
  <c r="FK23" i="7"/>
  <c r="GQ23" i="7" s="1"/>
  <c r="AJ23" i="27"/>
  <c r="GR23" i="24"/>
  <c r="GP23" i="24"/>
  <c r="GQ23" i="24"/>
  <c r="GS23" i="24"/>
  <c r="GG22" i="7"/>
  <c r="AC22" i="27" s="1"/>
  <c r="GH22" i="7"/>
  <c r="AD22" i="27" s="1"/>
  <c r="V22" i="7"/>
  <c r="F22" i="27" s="1"/>
  <c r="CK22" i="7"/>
  <c r="FE23" i="24"/>
  <c r="FC23" i="24"/>
  <c r="FD23" i="24"/>
  <c r="FD23" i="7"/>
  <c r="FE23" i="7"/>
  <c r="FC23" i="7"/>
  <c r="GR23" i="7" l="1"/>
  <c r="GP23" i="7"/>
  <c r="GS23" i="7"/>
  <c r="GT23" i="7" s="1" a="1"/>
  <c r="GT23" i="7" s="1"/>
  <c r="FG23" i="24"/>
  <c r="FF23" i="24"/>
  <c r="FG23" i="7"/>
  <c r="FF23" i="7"/>
  <c r="GT23" i="24" a="1"/>
  <c r="GT23" i="24" s="1"/>
  <c r="GU23" i="7" l="1"/>
  <c r="BW23" i="7" s="1"/>
  <c r="GV23" i="7"/>
  <c r="BX23" i="7" s="1"/>
  <c r="GW23" i="7"/>
  <c r="GX23" i="7"/>
  <c r="GV23" i="24"/>
  <c r="BX23" i="24" s="1"/>
  <c r="GU23" i="24"/>
  <c r="BW23" i="24" s="1"/>
  <c r="GX23" i="24"/>
  <c r="GW23" i="24"/>
  <c r="GC23" i="24" l="1"/>
  <c r="BL23" i="32" s="1"/>
  <c r="DZ23" i="24"/>
  <c r="BY23" i="24"/>
  <c r="GD23" i="24"/>
  <c r="BM23" i="32" s="1"/>
  <c r="EH23" i="24"/>
  <c r="EH23" i="7"/>
  <c r="GD23" i="7"/>
  <c r="BY23" i="7"/>
  <c r="BZ23" i="7" s="1"/>
  <c r="DZ23" i="7"/>
  <c r="GC23" i="7"/>
  <c r="Y23" i="27" l="1"/>
  <c r="CB23" i="7"/>
  <c r="CR23" i="7" s="1"/>
  <c r="CV23" i="7" s="1"/>
  <c r="CX23" i="7" s="1"/>
  <c r="CY23" i="7" s="1"/>
  <c r="CB23" i="24"/>
  <c r="CR23" i="24" s="1"/>
  <c r="GF23" i="7"/>
  <c r="EQ23" i="7"/>
  <c r="EX23" i="24"/>
  <c r="FH23" i="24" s="1"/>
  <c r="GE23" i="24"/>
  <c r="BN23" i="32" s="1"/>
  <c r="EX23" i="7"/>
  <c r="FH23" i="7" s="1"/>
  <c r="GE23" i="7"/>
  <c r="Z23" i="27"/>
  <c r="CA23" i="7"/>
  <c r="CD23" i="7" s="1"/>
  <c r="BZ23" i="24"/>
  <c r="FI23" i="24" l="1"/>
  <c r="FA24" i="24"/>
  <c r="GF23" i="24"/>
  <c r="BO23" i="32" s="1"/>
  <c r="EQ23" i="24"/>
  <c r="AB23" i="27"/>
  <c r="CV23" i="24"/>
  <c r="CX23" i="24" s="1"/>
  <c r="DA23" i="7"/>
  <c r="AA23" i="27"/>
  <c r="EF23" i="7"/>
  <c r="EE24" i="7" s="1"/>
  <c r="DC23" i="7"/>
  <c r="DD23" i="7" s="1"/>
  <c r="Z23" i="7"/>
  <c r="FI23" i="7"/>
  <c r="FA24" i="7"/>
  <c r="CA23" i="24"/>
  <c r="CD23" i="24" s="1"/>
  <c r="Z23" i="24" l="1"/>
  <c r="J23" i="27" s="1"/>
  <c r="DC23" i="24"/>
  <c r="DD23" i="24" s="1"/>
  <c r="EF23" i="24"/>
  <c r="EE24" i="24" s="1"/>
  <c r="DE23" i="7"/>
  <c r="DF23" i="7" s="1"/>
  <c r="BS24" i="7" s="1"/>
  <c r="EJ24" i="7"/>
  <c r="EI24" i="7"/>
  <c r="GL24" i="7"/>
  <c r="AD24" i="7"/>
  <c r="EG24" i="7"/>
  <c r="CY23" i="24"/>
  <c r="DH23" i="7" l="1"/>
  <c r="FT23" i="7" s="1"/>
  <c r="AL23" i="24" s="1"/>
  <c r="Y23" i="7"/>
  <c r="DJ23" i="7"/>
  <c r="DN23" i="7" s="1"/>
  <c r="DQ23" i="7" s="1"/>
  <c r="GL24" i="24"/>
  <c r="BU24" i="32" s="1"/>
  <c r="AD24" i="24"/>
  <c r="N24" i="27" s="1"/>
  <c r="EI24" i="24"/>
  <c r="EJ24" i="24"/>
  <c r="EG24" i="24"/>
  <c r="DA23" i="24"/>
  <c r="DE23" i="24" s="1"/>
  <c r="CE23" i="7"/>
  <c r="AH24" i="27" l="1"/>
  <c r="DG23" i="7"/>
  <c r="EV23" i="7"/>
  <c r="EU24" i="7" s="1"/>
  <c r="AB23" i="7"/>
  <c r="Y23" i="24"/>
  <c r="I23" i="27" s="1"/>
  <c r="DH23" i="24"/>
  <c r="FT23" i="24" s="1"/>
  <c r="AL23" i="7" s="1"/>
  <c r="CE23" i="24"/>
  <c r="DJ23" i="24"/>
  <c r="DN23" i="24" s="1"/>
  <c r="DF23" i="24"/>
  <c r="BS24" i="24" s="1"/>
  <c r="AA23" i="7"/>
  <c r="EO23" i="7"/>
  <c r="EN24" i="7" s="1"/>
  <c r="DO23" i="7"/>
  <c r="DM24" i="7" s="1"/>
  <c r="CI23" i="7"/>
  <c r="CH23" i="7"/>
  <c r="DX23" i="7" l="1"/>
  <c r="DW24" i="7" s="1"/>
  <c r="CP24" i="7" s="1"/>
  <c r="AG24" i="7" s="1"/>
  <c r="AA23" i="24"/>
  <c r="K23" i="27" s="1"/>
  <c r="EO23" i="24"/>
  <c r="EN24" i="24" s="1"/>
  <c r="DO23" i="24"/>
  <c r="DM24" i="24" s="1"/>
  <c r="W23" i="7"/>
  <c r="CL23" i="7"/>
  <c r="CJ23" i="7"/>
  <c r="DG23" i="24"/>
  <c r="DX23" i="24" s="1"/>
  <c r="DW24" i="24" s="1"/>
  <c r="EP24" i="7"/>
  <c r="ES24" i="7" s="1"/>
  <c r="AE24" i="7"/>
  <c r="GM24" i="7"/>
  <c r="BT24" i="7"/>
  <c r="DQ23" i="24"/>
  <c r="GN24" i="7"/>
  <c r="FB24" i="7"/>
  <c r="EW24" i="7"/>
  <c r="EZ24" i="7" s="1"/>
  <c r="AF24" i="7"/>
  <c r="CI23" i="24"/>
  <c r="CH23" i="24"/>
  <c r="EA24" i="7" l="1"/>
  <c r="GK24" i="7"/>
  <c r="AC24" i="7"/>
  <c r="DY24" i="7"/>
  <c r="EB24" i="7" s="1"/>
  <c r="FK24" i="7" s="1"/>
  <c r="W23" i="24"/>
  <c r="CJ23" i="24"/>
  <c r="CL23" i="24"/>
  <c r="FC24" i="7"/>
  <c r="FD24" i="7"/>
  <c r="FE24" i="7"/>
  <c r="GH23" i="7"/>
  <c r="GG23" i="7"/>
  <c r="CK23" i="7"/>
  <c r="V23" i="7"/>
  <c r="G23" i="27"/>
  <c r="BT24" i="24"/>
  <c r="DY24" i="24"/>
  <c r="EB24" i="24" s="1"/>
  <c r="EA24" i="24"/>
  <c r="AC24" i="24"/>
  <c r="M24" i="27" s="1"/>
  <c r="GK24" i="24"/>
  <c r="BT24" i="32" s="1"/>
  <c r="AB23" i="24"/>
  <c r="L23" i="27" s="1"/>
  <c r="EV23" i="24"/>
  <c r="EU24" i="24" s="1"/>
  <c r="GM24" i="24"/>
  <c r="BV24" i="32" s="1"/>
  <c r="AE24" i="24"/>
  <c r="O24" i="27" s="1"/>
  <c r="EP24" i="24"/>
  <c r="ES24" i="24" s="1"/>
  <c r="GN24" i="24" l="1"/>
  <c r="AF24" i="24"/>
  <c r="P24" i="27" s="1"/>
  <c r="FB24" i="24"/>
  <c r="EW24" i="24"/>
  <c r="EZ24" i="24" s="1"/>
  <c r="FK24" i="24" s="1"/>
  <c r="AG24" i="27"/>
  <c r="GP24" i="7"/>
  <c r="GR24" i="7"/>
  <c r="GQ24" i="7"/>
  <c r="GS24" i="7"/>
  <c r="FG24" i="7"/>
  <c r="FF24" i="7"/>
  <c r="CP24" i="24"/>
  <c r="AG24" i="24" s="1"/>
  <c r="Q24" i="27" s="1"/>
  <c r="V23" i="24"/>
  <c r="F23" i="27" s="1"/>
  <c r="GG23" i="24"/>
  <c r="BP23" i="32" s="1"/>
  <c r="CK23" i="24"/>
  <c r="GH23" i="24"/>
  <c r="BQ23" i="32" s="1"/>
  <c r="AI24" i="27"/>
  <c r="GQ24" i="24" l="1"/>
  <c r="GP24" i="24"/>
  <c r="GS24" i="24"/>
  <c r="GR24" i="24"/>
  <c r="AD23" i="27"/>
  <c r="FE24" i="24"/>
  <c r="FD24" i="24"/>
  <c r="FC24" i="24"/>
  <c r="AC23" i="27"/>
  <c r="BW24" i="32"/>
  <c r="AJ24" i="27"/>
  <c r="GT24" i="7" a="1"/>
  <c r="GT24" i="7" s="1"/>
  <c r="FF24" i="24" l="1"/>
  <c r="FG24" i="24"/>
  <c r="GW24" i="7"/>
  <c r="GX24" i="7"/>
  <c r="GU24" i="7"/>
  <c r="BW24" i="7" s="1"/>
  <c r="GV24" i="7"/>
  <c r="BX24" i="7" s="1"/>
  <c r="GT24" i="24" a="1"/>
  <c r="GT24" i="24" s="1"/>
  <c r="GV24" i="24" l="1"/>
  <c r="BX24" i="24" s="1"/>
  <c r="GX24" i="24"/>
  <c r="GU24" i="24"/>
  <c r="BW24" i="24" s="1"/>
  <c r="GW24" i="24"/>
  <c r="GD24" i="7"/>
  <c r="EH24" i="7"/>
  <c r="DZ24" i="7"/>
  <c r="BY24" i="7"/>
  <c r="CB24" i="7" s="1"/>
  <c r="CR24" i="7" s="1"/>
  <c r="GC24" i="7"/>
  <c r="CV24" i="7" l="1"/>
  <c r="CX24" i="7" s="1"/>
  <c r="CY24" i="7" s="1"/>
  <c r="GC24" i="24"/>
  <c r="BL24" i="32" s="1"/>
  <c r="BY24" i="24"/>
  <c r="BZ24" i="24" s="1"/>
  <c r="DZ24" i="24"/>
  <c r="GE24" i="7"/>
  <c r="EX24" i="7"/>
  <c r="FH24" i="7" s="1"/>
  <c r="BZ24" i="7"/>
  <c r="EH24" i="24"/>
  <c r="GD24" i="24"/>
  <c r="BM24" i="32" s="1"/>
  <c r="Z24" i="27" l="1"/>
  <c r="GF24" i="24"/>
  <c r="BO24" i="32" s="1"/>
  <c r="EQ24" i="24"/>
  <c r="CB24" i="24"/>
  <c r="CR24" i="24" s="1"/>
  <c r="GF24" i="7"/>
  <c r="AB24" i="27" s="1"/>
  <c r="EQ24" i="7"/>
  <c r="CA24" i="7"/>
  <c r="CD24" i="7" s="1"/>
  <c r="GE24" i="24"/>
  <c r="BN24" i="32" s="1"/>
  <c r="EX24" i="24"/>
  <c r="FH24" i="24" s="1"/>
  <c r="FI24" i="7"/>
  <c r="FA25" i="7"/>
  <c r="Y24" i="27"/>
  <c r="DA24" i="7"/>
  <c r="CA24" i="24"/>
  <c r="CD24" i="24" s="1"/>
  <c r="Z24" i="7"/>
  <c r="EF24" i="7"/>
  <c r="EE25" i="7" s="1"/>
  <c r="DC24" i="7"/>
  <c r="DD24" i="7" s="1"/>
  <c r="FI24" i="24" l="1"/>
  <c r="FA25" i="24"/>
  <c r="AA24" i="27"/>
  <c r="CV24" i="24"/>
  <c r="CX24" i="24" s="1"/>
  <c r="CY24" i="24" s="1"/>
  <c r="DE24" i="7"/>
  <c r="DF24" i="7" s="1"/>
  <c r="BS25" i="7" s="1"/>
  <c r="GL25" i="7"/>
  <c r="EG25" i="7"/>
  <c r="EJ25" i="7"/>
  <c r="EI25" i="7"/>
  <c r="AD25" i="7"/>
  <c r="CE24" i="7" l="1"/>
  <c r="CI24" i="7" s="1"/>
  <c r="DA24" i="24"/>
  <c r="Y24" i="7"/>
  <c r="DH24" i="7"/>
  <c r="FT24" i="7" s="1"/>
  <c r="AL24" i="24" s="1"/>
  <c r="DJ24" i="7"/>
  <c r="DN24" i="7" s="1"/>
  <c r="DQ24" i="7" s="1"/>
  <c r="Z24" i="24"/>
  <c r="J24" i="27" s="1"/>
  <c r="EF24" i="24"/>
  <c r="EE25" i="24" s="1"/>
  <c r="DC24" i="24"/>
  <c r="DD24" i="24" s="1"/>
  <c r="CH24" i="7"/>
  <c r="EG25" i="24" l="1"/>
  <c r="EI25" i="24"/>
  <c r="AD25" i="24"/>
  <c r="N25" i="27" s="1"/>
  <c r="GL25" i="24"/>
  <c r="EJ25" i="24"/>
  <c r="W24" i="7"/>
  <c r="CL24" i="7"/>
  <c r="CJ24" i="7"/>
  <c r="AA24" i="7"/>
  <c r="EO24" i="7"/>
  <c r="EN25" i="7" s="1"/>
  <c r="DO24" i="7"/>
  <c r="DM25" i="7" s="1"/>
  <c r="EV24" i="7"/>
  <c r="EU25" i="7" s="1"/>
  <c r="AB24" i="7"/>
  <c r="DG24" i="7"/>
  <c r="DE24" i="24"/>
  <c r="AF25" i="7" l="1"/>
  <c r="FB25" i="7"/>
  <c r="GN25" i="7"/>
  <c r="EW25" i="7"/>
  <c r="BT25" i="7"/>
  <c r="BU25" i="32"/>
  <c r="AH25" i="27"/>
  <c r="AE25" i="7"/>
  <c r="EP25" i="7"/>
  <c r="ES25" i="7" s="1"/>
  <c r="GM25" i="7"/>
  <c r="Y24" i="24"/>
  <c r="I24" i="27" s="1"/>
  <c r="DH24" i="24"/>
  <c r="FT24" i="24" s="1"/>
  <c r="AL24" i="7" s="1"/>
  <c r="DX24" i="7" s="1"/>
  <c r="DW25" i="7" s="1"/>
  <c r="DJ24" i="24"/>
  <c r="DN24" i="24" s="1"/>
  <c r="DQ24" i="24" s="1"/>
  <c r="CE24" i="24"/>
  <c r="DF24" i="24"/>
  <c r="BS25" i="24" s="1"/>
  <c r="CK24" i="7"/>
  <c r="V24" i="7"/>
  <c r="GG24" i="7"/>
  <c r="GH24" i="7"/>
  <c r="DG24" i="24" l="1"/>
  <c r="DX24" i="24" s="1"/>
  <c r="DW25" i="24" s="1"/>
  <c r="GK25" i="24" s="1"/>
  <c r="BT25" i="32" s="1"/>
  <c r="GK25" i="7"/>
  <c r="CP25" i="7"/>
  <c r="AG25" i="7" s="1"/>
  <c r="EA25" i="7"/>
  <c r="DY25" i="7"/>
  <c r="EB25" i="7" s="1"/>
  <c r="AC25" i="7"/>
  <c r="AA24" i="24"/>
  <c r="K24" i="27" s="1"/>
  <c r="EO24" i="24"/>
  <c r="EN25" i="24" s="1"/>
  <c r="DO24" i="24"/>
  <c r="DM25" i="24" s="1"/>
  <c r="FE25" i="7"/>
  <c r="FD25" i="7"/>
  <c r="FC25" i="7"/>
  <c r="EZ25" i="7"/>
  <c r="EV24" i="24"/>
  <c r="EU25" i="24" s="1"/>
  <c r="AB24" i="24"/>
  <c r="L24" i="27" s="1"/>
  <c r="CI24" i="24"/>
  <c r="CH24" i="24"/>
  <c r="AC25" i="24" l="1"/>
  <c r="M25" i="27" s="1"/>
  <c r="EA25" i="24"/>
  <c r="DY25" i="24"/>
  <c r="EB25" i="24" s="1"/>
  <c r="CP25" i="24"/>
  <c r="AG25" i="24" s="1"/>
  <c r="FK25" i="7"/>
  <c r="EW25" i="24"/>
  <c r="EZ25" i="24" s="1"/>
  <c r="AF25" i="24"/>
  <c r="P25" i="27" s="1"/>
  <c r="FB25" i="24"/>
  <c r="GN25" i="24"/>
  <c r="FG25" i="7"/>
  <c r="FF25" i="7"/>
  <c r="W24" i="24"/>
  <c r="G24" i="27" s="1"/>
  <c r="CJ24" i="24"/>
  <c r="CL24" i="24"/>
  <c r="BT25" i="24"/>
  <c r="EP25" i="24"/>
  <c r="ES25" i="24" s="1"/>
  <c r="AE25" i="24"/>
  <c r="O25" i="27" s="1"/>
  <c r="GM25" i="24"/>
  <c r="Q25" i="27"/>
  <c r="AG25" i="27"/>
  <c r="FK25" i="24" l="1"/>
  <c r="GS25" i="24" s="1"/>
  <c r="GP25" i="24"/>
  <c r="GR25" i="24"/>
  <c r="BW25" i="32"/>
  <c r="AJ25" i="27"/>
  <c r="FE25" i="24"/>
  <c r="FC25" i="24"/>
  <c r="FD25" i="24"/>
  <c r="BV25" i="32"/>
  <c r="AI25" i="27"/>
  <c r="GH24" i="24"/>
  <c r="CK24" i="24"/>
  <c r="GG24" i="24"/>
  <c r="V24" i="24"/>
  <c r="F24" i="27" s="1"/>
  <c r="GR25" i="7"/>
  <c r="GP25" i="7"/>
  <c r="GS25" i="7"/>
  <c r="GQ25" i="7"/>
  <c r="GQ25" i="24" l="1"/>
  <c r="GT25" i="24" s="1" a="1"/>
  <c r="GT25" i="24" s="1"/>
  <c r="FF25" i="24"/>
  <c r="FG25" i="24"/>
  <c r="BQ24" i="32"/>
  <c r="AD24" i="27"/>
  <c r="BP24" i="32"/>
  <c r="AC24" i="27"/>
  <c r="GT25" i="7" a="1"/>
  <c r="GT25" i="7" s="1"/>
  <c r="GU25" i="24" l="1"/>
  <c r="BW25" i="24" s="1"/>
  <c r="GX25" i="24"/>
  <c r="GW25" i="24"/>
  <c r="GV25" i="24"/>
  <c r="BX25" i="24" s="1"/>
  <c r="GV25" i="7"/>
  <c r="BX25" i="7" s="1"/>
  <c r="GU25" i="7"/>
  <c r="BW25" i="7" s="1"/>
  <c r="GX25" i="7"/>
  <c r="GW25" i="7"/>
  <c r="DZ25" i="7" l="1"/>
  <c r="GC25" i="7"/>
  <c r="BY25" i="7"/>
  <c r="GD25" i="7"/>
  <c r="EH25" i="7"/>
  <c r="EH25" i="24"/>
  <c r="GD25" i="24"/>
  <c r="BM25" i="32" s="1"/>
  <c r="DZ25" i="24"/>
  <c r="GC25" i="24"/>
  <c r="BL25" i="32" s="1"/>
  <c r="BY25" i="24"/>
  <c r="CB25" i="24" s="1"/>
  <c r="CR25" i="24" s="1"/>
  <c r="Y25" i="27" l="1"/>
  <c r="Z25" i="27"/>
  <c r="BZ25" i="24"/>
  <c r="CA25" i="24" s="1"/>
  <c r="CD25" i="24" s="1"/>
  <c r="CV25" i="24"/>
  <c r="CX25" i="24" s="1"/>
  <c r="EX25" i="7"/>
  <c r="FH25" i="7" s="1"/>
  <c r="GE25" i="7"/>
  <c r="BZ25" i="7"/>
  <c r="CA25" i="7" s="1"/>
  <c r="CD25" i="7" s="1"/>
  <c r="GE25" i="24"/>
  <c r="BN25" i="32" s="1"/>
  <c r="EX25" i="24"/>
  <c r="FH25" i="24" s="1"/>
  <c r="CB25" i="7"/>
  <c r="CR25" i="7" s="1"/>
  <c r="AA25" i="27" l="1"/>
  <c r="EQ25" i="24"/>
  <c r="GF25" i="24"/>
  <c r="BO25" i="32" s="1"/>
  <c r="FI25" i="7"/>
  <c r="FA26" i="7"/>
  <c r="CV25" i="7"/>
  <c r="CX25" i="7" s="1"/>
  <c r="CY25" i="7" s="1"/>
  <c r="DC25" i="24"/>
  <c r="DD25" i="24" s="1"/>
  <c r="EF25" i="24"/>
  <c r="EE26" i="24" s="1"/>
  <c r="Z25" i="24"/>
  <c r="FI25" i="24"/>
  <c r="FA26" i="24"/>
  <c r="CY25" i="24"/>
  <c r="EQ25" i="7"/>
  <c r="GF25" i="7"/>
  <c r="AB25" i="27" l="1"/>
  <c r="DA25" i="7"/>
  <c r="AD26" i="24"/>
  <c r="EI26" i="24"/>
  <c r="GL26" i="24"/>
  <c r="BU26" i="32" s="1"/>
  <c r="EJ26" i="24"/>
  <c r="EG26" i="24"/>
  <c r="DA25" i="24"/>
  <c r="DE25" i="24" s="1"/>
  <c r="EF25" i="7"/>
  <c r="EE26" i="7" s="1"/>
  <c r="Z25" i="7"/>
  <c r="J25" i="27" s="1"/>
  <c r="DC25" i="7"/>
  <c r="DD25" i="7" s="1"/>
  <c r="DH25" i="24" l="1"/>
  <c r="FT25" i="24" s="1"/>
  <c r="AL25" i="7" s="1"/>
  <c r="Y25" i="24"/>
  <c r="CE25" i="24"/>
  <c r="DF25" i="24"/>
  <c r="BS26" i="24" s="1"/>
  <c r="DJ25" i="24"/>
  <c r="DN25" i="24" s="1"/>
  <c r="DQ25" i="24" s="1"/>
  <c r="EJ26" i="7"/>
  <c r="EG26" i="7"/>
  <c r="GL26" i="7"/>
  <c r="AH26" i="27" s="1"/>
  <c r="AD26" i="7"/>
  <c r="N26" i="27" s="1"/>
  <c r="EI26" i="7"/>
  <c r="DE25" i="7"/>
  <c r="DF25" i="7" s="1"/>
  <c r="BS26" i="7" s="1"/>
  <c r="DG25" i="24" l="1"/>
  <c r="AB25" i="24"/>
  <c r="EV25" i="24"/>
  <c r="EU26" i="24" s="1"/>
  <c r="DH25" i="7"/>
  <c r="FT25" i="7" s="1"/>
  <c r="AL25" i="24" s="1"/>
  <c r="Y25" i="7"/>
  <c r="I25" i="27" s="1"/>
  <c r="DJ25" i="7"/>
  <c r="DN25" i="7" s="1"/>
  <c r="DQ25" i="7" s="1"/>
  <c r="CE25" i="7"/>
  <c r="AA25" i="24"/>
  <c r="EO25" i="24"/>
  <c r="EN26" i="24" s="1"/>
  <c r="DO25" i="24"/>
  <c r="DM26" i="24" s="1"/>
  <c r="CI25" i="24"/>
  <c r="CH25" i="24"/>
  <c r="DX25" i="24" l="1"/>
  <c r="DW26" i="24" s="1"/>
  <c r="DY26" i="24" s="1"/>
  <c r="EB26" i="24" s="1"/>
  <c r="DG25" i="7"/>
  <c r="DX25" i="7" s="1"/>
  <c r="DW26" i="7" s="1"/>
  <c r="AC26" i="7" s="1"/>
  <c r="AB25" i="7"/>
  <c r="L25" i="27" s="1"/>
  <c r="EV25" i="7"/>
  <c r="EU26" i="7" s="1"/>
  <c r="AC26" i="24"/>
  <c r="EO25" i="7"/>
  <c r="EN26" i="7" s="1"/>
  <c r="AA25" i="7"/>
  <c r="K25" i="27" s="1"/>
  <c r="DO25" i="7"/>
  <c r="DM26" i="7" s="1"/>
  <c r="W25" i="24"/>
  <c r="CL25" i="24"/>
  <c r="CJ25" i="24"/>
  <c r="DY26" i="7"/>
  <c r="EB26" i="7" s="1"/>
  <c r="GK26" i="7"/>
  <c r="EA26" i="7"/>
  <c r="BT26" i="24"/>
  <c r="EP26" i="24"/>
  <c r="ES26" i="24" s="1"/>
  <c r="GM26" i="24"/>
  <c r="BV26" i="32" s="1"/>
  <c r="AE26" i="24"/>
  <c r="EW26" i="24"/>
  <c r="EZ26" i="24" s="1"/>
  <c r="FB26" i="24"/>
  <c r="AF26" i="24"/>
  <c r="GN26" i="24"/>
  <c r="BW26" i="32" s="1"/>
  <c r="CI25" i="7"/>
  <c r="CH25" i="7"/>
  <c r="GK26" i="24" l="1"/>
  <c r="BT26" i="32" s="1"/>
  <c r="EA26" i="24"/>
  <c r="CP26" i="24"/>
  <c r="AG26" i="24" s="1"/>
  <c r="CP26" i="7"/>
  <c r="AG26" i="7" s="1"/>
  <c r="M26" i="27"/>
  <c r="FE26" i="24"/>
  <c r="FD26" i="24"/>
  <c r="FC26" i="24"/>
  <c r="GH25" i="24"/>
  <c r="BQ25" i="32" s="1"/>
  <c r="V25" i="24"/>
  <c r="CK25" i="24"/>
  <c r="GG25" i="24"/>
  <c r="BP25" i="32" s="1"/>
  <c r="FK26" i="24"/>
  <c r="BT26" i="7"/>
  <c r="W25" i="7"/>
  <c r="G25" i="27" s="1"/>
  <c r="CJ25" i="7"/>
  <c r="CL25" i="7"/>
  <c r="AG26" i="27"/>
  <c r="AE26" i="7"/>
  <c r="O26" i="27" s="1"/>
  <c r="GM26" i="7"/>
  <c r="AI26" i="27" s="1"/>
  <c r="EP26" i="7"/>
  <c r="ES26" i="7" s="1"/>
  <c r="GN26" i="7"/>
  <c r="AJ26" i="27" s="1"/>
  <c r="FB26" i="7"/>
  <c r="AF26" i="7"/>
  <c r="P26" i="27" s="1"/>
  <c r="EW26" i="7"/>
  <c r="EZ26" i="7" s="1"/>
  <c r="Q26" i="27" l="1"/>
  <c r="FK26" i="7"/>
  <c r="GR26" i="7" s="1"/>
  <c r="GR26" i="24"/>
  <c r="GP26" i="24"/>
  <c r="GS26" i="24"/>
  <c r="GQ26" i="24"/>
  <c r="GG25" i="7"/>
  <c r="AC25" i="27" s="1"/>
  <c r="GH25" i="7"/>
  <c r="AD25" i="27" s="1"/>
  <c r="V25" i="7"/>
  <c r="F25" i="27" s="1"/>
  <c r="CK25" i="7"/>
  <c r="FC26" i="7"/>
  <c r="FE26" i="7"/>
  <c r="FD26" i="7"/>
  <c r="FF26" i="24"/>
  <c r="FG26" i="24"/>
  <c r="GP26" i="7" l="1"/>
  <c r="GQ26" i="7"/>
  <c r="GS26" i="7"/>
  <c r="GT26" i="24" a="1"/>
  <c r="GT26" i="24" s="1"/>
  <c r="FF26" i="7"/>
  <c r="FG26" i="7"/>
  <c r="GT26" i="7" l="1" a="1"/>
  <c r="GT26" i="7" s="1"/>
  <c r="GU26" i="7" s="1"/>
  <c r="BW26" i="7" s="1"/>
  <c r="GU26" i="24"/>
  <c r="BW26" i="24" s="1"/>
  <c r="GX26" i="24"/>
  <c r="GV26" i="24"/>
  <c r="BX26" i="24" s="1"/>
  <c r="GW26" i="24"/>
  <c r="GX26" i="7" l="1"/>
  <c r="GV26" i="7"/>
  <c r="BX26" i="7" s="1"/>
  <c r="EH26" i="7" s="1"/>
  <c r="GW26" i="7"/>
  <c r="BY26" i="24"/>
  <c r="BZ26" i="24" s="1"/>
  <c r="CA26" i="24" s="1"/>
  <c r="CD26" i="24" s="1"/>
  <c r="DZ26" i="24"/>
  <c r="GC26" i="24"/>
  <c r="BL26" i="32" s="1"/>
  <c r="GD26" i="24"/>
  <c r="BM26" i="32" s="1"/>
  <c r="EH26" i="24"/>
  <c r="GC26" i="7"/>
  <c r="DZ26" i="7"/>
  <c r="BY26" i="7" l="1"/>
  <c r="GD26" i="7"/>
  <c r="Y26" i="27"/>
  <c r="CB26" i="24"/>
  <c r="CR26" i="24" s="1"/>
  <c r="CV26" i="24" s="1"/>
  <c r="CX26" i="24" s="1"/>
  <c r="CY26" i="24" s="1"/>
  <c r="GE26" i="7"/>
  <c r="EX26" i="7"/>
  <c r="FH26" i="7" s="1"/>
  <c r="EQ26" i="24"/>
  <c r="GF26" i="24"/>
  <c r="BO26" i="32" s="1"/>
  <c r="Z26" i="27"/>
  <c r="BZ26" i="7"/>
  <c r="CB26" i="7"/>
  <c r="CR26" i="7" s="1"/>
  <c r="EX26" i="24"/>
  <c r="FH26" i="24" s="1"/>
  <c r="GE26" i="24"/>
  <c r="BN26" i="32" s="1"/>
  <c r="DA26" i="24" l="1"/>
  <c r="FI26" i="7"/>
  <c r="FA27" i="7"/>
  <c r="AA26" i="27"/>
  <c r="FI26" i="24"/>
  <c r="FA27" i="24"/>
  <c r="CV26" i="7"/>
  <c r="CX26" i="7" s="1"/>
  <c r="CY26" i="7" s="1"/>
  <c r="GF26" i="7"/>
  <c r="AB26" i="27" s="1"/>
  <c r="EQ26" i="7"/>
  <c r="CA26" i="7"/>
  <c r="CD26" i="7" s="1"/>
  <c r="DC26" i="24"/>
  <c r="DD26" i="24" s="1"/>
  <c r="Z26" i="24"/>
  <c r="EF26" i="24"/>
  <c r="EE27" i="24" s="1"/>
  <c r="DE26" i="24" l="1"/>
  <c r="DF26" i="24" s="1"/>
  <c r="BS27" i="24" s="1"/>
  <c r="DA26" i="7"/>
  <c r="EI27" i="24"/>
  <c r="EG27" i="24"/>
  <c r="AD27" i="24"/>
  <c r="EJ27" i="24"/>
  <c r="GL27" i="24"/>
  <c r="BU27" i="32" s="1"/>
  <c r="EF26" i="7"/>
  <c r="EE27" i="7" s="1"/>
  <c r="Z26" i="7"/>
  <c r="J26" i="27" s="1"/>
  <c r="DC26" i="7"/>
  <c r="DD26" i="7" s="1"/>
  <c r="Y26" i="24" l="1"/>
  <c r="DH26" i="24"/>
  <c r="FT26" i="24" s="1"/>
  <c r="AL26" i="7" s="1"/>
  <c r="DJ26" i="24"/>
  <c r="DN26" i="24" s="1"/>
  <c r="EJ27" i="7"/>
  <c r="EI27" i="7"/>
  <c r="AD27" i="7"/>
  <c r="N27" i="27" s="1"/>
  <c r="GL27" i="7"/>
  <c r="AH27" i="27" s="1"/>
  <c r="EG27" i="7"/>
  <c r="CE26" i="24"/>
  <c r="DE26" i="7"/>
  <c r="DF26" i="7" s="1"/>
  <c r="BS27" i="7" s="1"/>
  <c r="DH26" i="7" l="1"/>
  <c r="FT26" i="7" s="1"/>
  <c r="AL26" i="24" s="1"/>
  <c r="Y26" i="7"/>
  <c r="I26" i="27" s="1"/>
  <c r="DJ26" i="7"/>
  <c r="DN26" i="7" s="1"/>
  <c r="DQ26" i="7" s="1"/>
  <c r="CE26" i="7"/>
  <c r="AA26" i="24"/>
  <c r="EO26" i="24"/>
  <c r="EN27" i="24" s="1"/>
  <c r="DO26" i="24"/>
  <c r="DM27" i="24" s="1"/>
  <c r="DQ26" i="24"/>
  <c r="DG26" i="24"/>
  <c r="CI26" i="24"/>
  <c r="CH26" i="24"/>
  <c r="DX26" i="24" l="1"/>
  <c r="DW27" i="24" s="1"/>
  <c r="GK27" i="24" s="1"/>
  <c r="BT27" i="32" s="1"/>
  <c r="EV26" i="7"/>
  <c r="EU27" i="7" s="1"/>
  <c r="AB26" i="7"/>
  <c r="EA27" i="24"/>
  <c r="AB26" i="24"/>
  <c r="EV26" i="24"/>
  <c r="EU27" i="24" s="1"/>
  <c r="AA26" i="7"/>
  <c r="K26" i="27" s="1"/>
  <c r="EO26" i="7"/>
  <c r="EN27" i="7" s="1"/>
  <c r="DO26" i="7"/>
  <c r="DM27" i="7" s="1"/>
  <c r="W26" i="24"/>
  <c r="CL26" i="24"/>
  <c r="CJ26" i="24"/>
  <c r="DG26" i="7"/>
  <c r="DX26" i="7" s="1"/>
  <c r="DW27" i="7" s="1"/>
  <c r="BT27" i="24"/>
  <c r="AE27" i="24"/>
  <c r="GM27" i="24"/>
  <c r="BV27" i="32" s="1"/>
  <c r="EP27" i="24"/>
  <c r="ES27" i="24" s="1"/>
  <c r="CH26" i="7"/>
  <c r="CI26" i="7"/>
  <c r="AC27" i="24" l="1"/>
  <c r="DY27" i="24"/>
  <c r="BT27" i="7"/>
  <c r="AE27" i="7"/>
  <c r="O27" i="27" s="1"/>
  <c r="GM27" i="7"/>
  <c r="AI27" i="27" s="1"/>
  <c r="EP27" i="7"/>
  <c r="ES27" i="7" s="1"/>
  <c r="EB27" i="24"/>
  <c r="FB27" i="24"/>
  <c r="AF27" i="24"/>
  <c r="EW27" i="24"/>
  <c r="EZ27" i="24" s="1"/>
  <c r="GN27" i="24"/>
  <c r="BW27" i="32" s="1"/>
  <c r="GG26" i="24"/>
  <c r="BP26" i="32" s="1"/>
  <c r="GH26" i="24"/>
  <c r="BQ26" i="32" s="1"/>
  <c r="CK26" i="24"/>
  <c r="V26" i="24"/>
  <c r="W26" i="7"/>
  <c r="G26" i="27" s="1"/>
  <c r="CL26" i="7"/>
  <c r="CJ26" i="7"/>
  <c r="L26" i="27"/>
  <c r="EA27" i="7"/>
  <c r="AC27" i="7"/>
  <c r="CP27" i="7"/>
  <c r="AG27" i="7" s="1"/>
  <c r="GK27" i="7"/>
  <c r="AG27" i="27" s="1"/>
  <c r="DY27" i="7"/>
  <c r="EB27" i="7" s="1"/>
  <c r="CP27" i="24"/>
  <c r="AG27" i="24" s="1"/>
  <c r="FB27" i="7"/>
  <c r="AF27" i="7"/>
  <c r="GN27" i="7"/>
  <c r="EW27" i="7"/>
  <c r="M27" i="27" l="1"/>
  <c r="AJ27" i="27"/>
  <c r="Q27" i="27"/>
  <c r="P27" i="27"/>
  <c r="CK26" i="7"/>
  <c r="GH26" i="7"/>
  <c r="AD26" i="27" s="1"/>
  <c r="GG26" i="7"/>
  <c r="AC26" i="27" s="1"/>
  <c r="V26" i="7"/>
  <c r="F26" i="27" s="1"/>
  <c r="FC27" i="24"/>
  <c r="FE27" i="24"/>
  <c r="FD27" i="24"/>
  <c r="FD27" i="7"/>
  <c r="FC27" i="7"/>
  <c r="FE27" i="7"/>
  <c r="FK27" i="24"/>
  <c r="EZ27" i="7"/>
  <c r="FK27" i="7" s="1"/>
  <c r="GR27" i="7" l="1"/>
  <c r="GP27" i="7"/>
  <c r="GQ27" i="7"/>
  <c r="GS27" i="7"/>
  <c r="FF27" i="24"/>
  <c r="FG27" i="24"/>
  <c r="GR27" i="24"/>
  <c r="GS27" i="24"/>
  <c r="GP27" i="24"/>
  <c r="GQ27" i="24"/>
  <c r="FG27" i="7"/>
  <c r="FF27" i="7"/>
  <c r="GT27" i="7" l="1" a="1"/>
  <c r="GT27" i="7" s="1"/>
  <c r="GT27" i="24" a="1"/>
  <c r="GT27" i="24" s="1"/>
  <c r="GV27" i="24" l="1"/>
  <c r="BX27" i="24" s="1"/>
  <c r="GU27" i="24"/>
  <c r="BW27" i="24" s="1"/>
  <c r="GW27" i="24"/>
  <c r="GX27" i="24"/>
  <c r="GX27" i="7"/>
  <c r="GV27" i="7"/>
  <c r="BX27" i="7" s="1"/>
  <c r="GW27" i="7"/>
  <c r="GU27" i="7"/>
  <c r="BW27" i="7" s="1"/>
  <c r="EH27" i="7" l="1"/>
  <c r="GD27" i="7"/>
  <c r="DZ27" i="24"/>
  <c r="GC27" i="24"/>
  <c r="BL27" i="32" s="1"/>
  <c r="BY27" i="24"/>
  <c r="CB27" i="24" s="1"/>
  <c r="CR27" i="24" s="1"/>
  <c r="GC27" i="7"/>
  <c r="Y27" i="27" s="1"/>
  <c r="DZ27" i="7"/>
  <c r="BY27" i="7"/>
  <c r="BZ27" i="7" s="1"/>
  <c r="EH27" i="24"/>
  <c r="GD27" i="24"/>
  <c r="BM27" i="32" s="1"/>
  <c r="Z27" i="27" l="1"/>
  <c r="GF27" i="7"/>
  <c r="EQ27" i="7"/>
  <c r="CV27" i="24"/>
  <c r="CX27" i="24" s="1"/>
  <c r="EX27" i="24"/>
  <c r="FH27" i="24" s="1"/>
  <c r="GE27" i="24"/>
  <c r="BN27" i="32" s="1"/>
  <c r="EX27" i="7"/>
  <c r="FH27" i="7" s="1"/>
  <c r="GE27" i="7"/>
  <c r="CB27" i="7"/>
  <c r="CR27" i="7" s="1"/>
  <c r="CA27" i="7"/>
  <c r="CD27" i="7" s="1"/>
  <c r="BZ27" i="24"/>
  <c r="AA27" i="27" l="1"/>
  <c r="Z27" i="24"/>
  <c r="DC27" i="24"/>
  <c r="DD27" i="24" s="1"/>
  <c r="EF27" i="24"/>
  <c r="EE28" i="24" s="1"/>
  <c r="FI27" i="7"/>
  <c r="FA28" i="7"/>
  <c r="GF27" i="24"/>
  <c r="BO27" i="32" s="1"/>
  <c r="EQ27" i="24"/>
  <c r="CA27" i="24"/>
  <c r="CD27" i="24" s="1"/>
  <c r="CY27" i="24"/>
  <c r="FI27" i="24"/>
  <c r="FA28" i="24"/>
  <c r="CV27" i="7"/>
  <c r="CX27" i="7" s="1"/>
  <c r="AB27" i="27" l="1"/>
  <c r="DC27" i="7"/>
  <c r="DD27" i="7" s="1"/>
  <c r="EF27" i="7"/>
  <c r="EE28" i="7" s="1"/>
  <c r="Z27" i="7"/>
  <c r="J27" i="27" s="1"/>
  <c r="GL28" i="24"/>
  <c r="BU28" i="32" s="1"/>
  <c r="EJ28" i="24"/>
  <c r="AD28" i="24"/>
  <c r="EI28" i="24"/>
  <c r="EG28" i="24"/>
  <c r="CY27" i="7"/>
  <c r="DA27" i="24"/>
  <c r="DE27" i="24" s="1"/>
  <c r="Y27" i="24" l="1"/>
  <c r="DH27" i="24"/>
  <c r="FT27" i="24" s="1"/>
  <c r="AL27" i="7" s="1"/>
  <c r="DF27" i="24"/>
  <c r="BS28" i="24" s="1"/>
  <c r="DJ27" i="24"/>
  <c r="DN27" i="24" s="1"/>
  <c r="DQ27" i="24" s="1"/>
  <c r="CE27" i="24"/>
  <c r="DA27" i="7"/>
  <c r="DE27" i="7" s="1"/>
  <c r="DF27" i="7" s="1"/>
  <c r="BS28" i="7" s="1"/>
  <c r="AD28" i="7"/>
  <c r="N28" i="27" s="1"/>
  <c r="EJ28" i="7"/>
  <c r="EI28" i="7"/>
  <c r="GL28" i="7"/>
  <c r="AH28" i="27" s="1"/>
  <c r="EG28" i="7"/>
  <c r="AB27" i="24" l="1"/>
  <c r="EV27" i="24"/>
  <c r="EU28" i="24" s="1"/>
  <c r="AA27" i="24"/>
  <c r="EO27" i="24"/>
  <c r="EN28" i="24" s="1"/>
  <c r="DO27" i="24"/>
  <c r="DM28" i="24" s="1"/>
  <c r="Y27" i="7"/>
  <c r="I27" i="27" s="1"/>
  <c r="DH27" i="7"/>
  <c r="FT27" i="7" s="1"/>
  <c r="AL27" i="24" s="1"/>
  <c r="CE27" i="7"/>
  <c r="DJ27" i="7"/>
  <c r="DN27" i="7" s="1"/>
  <c r="DG27" i="24"/>
  <c r="CH27" i="24"/>
  <c r="CI27" i="24"/>
  <c r="DG27" i="7" l="1"/>
  <c r="DX27" i="7" s="1"/>
  <c r="DW28" i="7" s="1"/>
  <c r="EA28" i="7" s="1"/>
  <c r="BT28" i="24"/>
  <c r="GM28" i="24"/>
  <c r="BV28" i="32" s="1"/>
  <c r="EP28" i="24"/>
  <c r="ES28" i="24" s="1"/>
  <c r="AE28" i="24"/>
  <c r="DX27" i="24"/>
  <c r="DW28" i="24" s="1"/>
  <c r="AA27" i="7"/>
  <c r="K27" i="27" s="1"/>
  <c r="EO27" i="7"/>
  <c r="EN28" i="7" s="1"/>
  <c r="DO27" i="7"/>
  <c r="DM28" i="7" s="1"/>
  <c r="DQ27" i="7"/>
  <c r="W27" i="24"/>
  <c r="CJ27" i="24"/>
  <c r="CL27" i="24"/>
  <c r="GN28" i="24"/>
  <c r="BW28" i="32" s="1"/>
  <c r="AF28" i="24"/>
  <c r="EW28" i="24"/>
  <c r="FB28" i="24"/>
  <c r="CI27" i="7"/>
  <c r="CH27" i="7"/>
  <c r="AC28" i="7" l="1"/>
  <c r="GK28" i="7"/>
  <c r="DY28" i="7"/>
  <c r="EB28" i="7" s="1"/>
  <c r="CK27" i="24"/>
  <c r="GH27" i="24"/>
  <c r="BQ27" i="32" s="1"/>
  <c r="V27" i="24"/>
  <c r="GG27" i="24"/>
  <c r="BP27" i="32" s="1"/>
  <c r="CP28" i="24"/>
  <c r="AG28" i="24" s="1"/>
  <c r="GK28" i="24"/>
  <c r="BT28" i="32" s="1"/>
  <c r="EA28" i="24"/>
  <c r="DY28" i="24"/>
  <c r="AC28" i="24"/>
  <c r="FE28" i="24"/>
  <c r="FC28" i="24"/>
  <c r="FD28" i="24"/>
  <c r="W27" i="7"/>
  <c r="G27" i="27" s="1"/>
  <c r="CL27" i="7"/>
  <c r="CJ27" i="7"/>
  <c r="BT28" i="7"/>
  <c r="EZ28" i="24"/>
  <c r="AE28" i="7"/>
  <c r="O28" i="27" s="1"/>
  <c r="GM28" i="7"/>
  <c r="AI28" i="27" s="1"/>
  <c r="EP28" i="7"/>
  <c r="ES28" i="7" s="1"/>
  <c r="EV27" i="7"/>
  <c r="EU28" i="7" s="1"/>
  <c r="AB27" i="7"/>
  <c r="L27" i="27" s="1"/>
  <c r="M28" i="27" l="1"/>
  <c r="AG28" i="27"/>
  <c r="FG28" i="24"/>
  <c r="FF28" i="24"/>
  <c r="EB28" i="24"/>
  <c r="FK28" i="24" s="1"/>
  <c r="FB28" i="7"/>
  <c r="EW28" i="7"/>
  <c r="AF28" i="7"/>
  <c r="P28" i="27" s="1"/>
  <c r="GN28" i="7"/>
  <c r="AJ28" i="27" s="1"/>
  <c r="GG27" i="7"/>
  <c r="AC27" i="27" s="1"/>
  <c r="V27" i="7"/>
  <c r="F27" i="27" s="1"/>
  <c r="CK27" i="7"/>
  <c r="GH27" i="7"/>
  <c r="AD27" i="27" s="1"/>
  <c r="CP28" i="7"/>
  <c r="AG28" i="7" s="1"/>
  <c r="Q28" i="27" s="1"/>
  <c r="FD28" i="7" l="1"/>
  <c r="FC28" i="7"/>
  <c r="FE28" i="7"/>
  <c r="GS28" i="24"/>
  <c r="GQ28" i="24"/>
  <c r="GR28" i="24"/>
  <c r="GP28" i="24"/>
  <c r="EZ28" i="7"/>
  <c r="FK28" i="7" s="1"/>
  <c r="GT28" i="24" l="1" a="1"/>
  <c r="GT28" i="24" s="1"/>
  <c r="GW28" i="24" s="1"/>
  <c r="FF28" i="7"/>
  <c r="FG28" i="7"/>
  <c r="GS28" i="7"/>
  <c r="GR28" i="7"/>
  <c r="GQ28" i="7"/>
  <c r="GP28" i="7"/>
  <c r="GU28" i="24" l="1"/>
  <c r="BW28" i="24" s="1"/>
  <c r="GC28" i="24" s="1"/>
  <c r="BL28" i="32" s="1"/>
  <c r="GX28" i="24"/>
  <c r="GV28" i="24"/>
  <c r="BX28" i="24" s="1"/>
  <c r="EH28" i="24" s="1"/>
  <c r="GT28" i="7" a="1"/>
  <c r="GT28" i="7" s="1"/>
  <c r="DZ28" i="24" l="1"/>
  <c r="BY28" i="24"/>
  <c r="BZ28" i="24" s="1"/>
  <c r="EQ28" i="24" s="1"/>
  <c r="GD28" i="24"/>
  <c r="BM28" i="32" s="1"/>
  <c r="GX28" i="7"/>
  <c r="GV28" i="7"/>
  <c r="BX28" i="7" s="1"/>
  <c r="GW28" i="7"/>
  <c r="GU28" i="7"/>
  <c r="BW28" i="7" s="1"/>
  <c r="EX28" i="24" l="1"/>
  <c r="FH28" i="24" s="1"/>
  <c r="GE28" i="24"/>
  <c r="BN28" i="32" s="1"/>
  <c r="CA28" i="24"/>
  <c r="CD28" i="24" s="1"/>
  <c r="GF28" i="24"/>
  <c r="BO28" i="32" s="1"/>
  <c r="CB28" i="24"/>
  <c r="CR28" i="24" s="1"/>
  <c r="CV28" i="24" s="1"/>
  <c r="CX28" i="24" s="1"/>
  <c r="CY28" i="24" s="1"/>
  <c r="DA28" i="24" s="1"/>
  <c r="FI28" i="24"/>
  <c r="FA29" i="24"/>
  <c r="BY28" i="7"/>
  <c r="BZ28" i="7" s="1"/>
  <c r="DZ28" i="7"/>
  <c r="GC28" i="7"/>
  <c r="Y28" i="27" s="1"/>
  <c r="GD28" i="7"/>
  <c r="Z28" i="27" s="1"/>
  <c r="EH28" i="7"/>
  <c r="DC28" i="24" l="1"/>
  <c r="DD28" i="24" s="1"/>
  <c r="DE28" i="24" s="1"/>
  <c r="EF28" i="24"/>
  <c r="EE29" i="24" s="1"/>
  <c r="GL29" i="24" s="1"/>
  <c r="BU29" i="32" s="1"/>
  <c r="Z28" i="24"/>
  <c r="CB28" i="7"/>
  <c r="CR28" i="7" s="1"/>
  <c r="CV28" i="7" s="1"/>
  <c r="CX28" i="7" s="1"/>
  <c r="CA28" i="7"/>
  <c r="CD28" i="7" s="1"/>
  <c r="EQ28" i="7"/>
  <c r="GF28" i="7"/>
  <c r="AB28" i="27" s="1"/>
  <c r="EI29" i="24"/>
  <c r="EX28" i="7"/>
  <c r="FH28" i="7" s="1"/>
  <c r="GE28" i="7"/>
  <c r="AA28" i="27" s="1"/>
  <c r="DF28" i="24" l="1"/>
  <c r="BS29" i="24" s="1"/>
  <c r="CE28" i="24"/>
  <c r="CI28" i="24" s="1"/>
  <c r="EJ29" i="24"/>
  <c r="EG29" i="24"/>
  <c r="AD29" i="24"/>
  <c r="DC28" i="7"/>
  <c r="DD28" i="7" s="1"/>
  <c r="Z28" i="7"/>
  <c r="J28" i="27" s="1"/>
  <c r="EF28" i="7"/>
  <c r="EE29" i="7" s="1"/>
  <c r="FI28" i="7"/>
  <c r="FA29" i="7"/>
  <c r="CY28" i="7"/>
  <c r="Y28" i="24"/>
  <c r="DH28" i="24"/>
  <c r="FT28" i="24" s="1"/>
  <c r="AL28" i="7" s="1"/>
  <c r="DJ28" i="24"/>
  <c r="DN28" i="24" s="1"/>
  <c r="DQ28" i="24" s="1"/>
  <c r="CH28" i="24" l="1"/>
  <c r="CJ28" i="24" s="1"/>
  <c r="DA28" i="7"/>
  <c r="DE28" i="7" s="1"/>
  <c r="DF28" i="7" s="1"/>
  <c r="BS29" i="7" s="1"/>
  <c r="AB28" i="24"/>
  <c r="EV28" i="24"/>
  <c r="EU29" i="24" s="1"/>
  <c r="AA28" i="24"/>
  <c r="EO28" i="24"/>
  <c r="EN29" i="24" s="1"/>
  <c r="DO28" i="24"/>
  <c r="DM29" i="24" s="1"/>
  <c r="DG28" i="24"/>
  <c r="EI29" i="7"/>
  <c r="GL29" i="7"/>
  <c r="AH29" i="27" s="1"/>
  <c r="EJ29" i="7"/>
  <c r="AD29" i="7"/>
  <c r="N29" i="27" s="1"/>
  <c r="EG29" i="7"/>
  <c r="W28" i="24" l="1"/>
  <c r="CL28" i="24"/>
  <c r="AE29" i="24"/>
  <c r="GM29" i="24"/>
  <c r="BV29" i="32" s="1"/>
  <c r="EP29" i="24"/>
  <c r="ES29" i="24" s="1"/>
  <c r="EW29" i="24"/>
  <c r="EZ29" i="24" s="1"/>
  <c r="FB29" i="24"/>
  <c r="AF29" i="24"/>
  <c r="GN29" i="24"/>
  <c r="BW29" i="32" s="1"/>
  <c r="CK28" i="24"/>
  <c r="V28" i="24"/>
  <c r="GH28" i="24"/>
  <c r="BQ28" i="32" s="1"/>
  <c r="GG28" i="24"/>
  <c r="BP28" i="32" s="1"/>
  <c r="Y28" i="7"/>
  <c r="I28" i="27" s="1"/>
  <c r="DH28" i="7"/>
  <c r="FT28" i="7" s="1"/>
  <c r="AL28" i="24" s="1"/>
  <c r="DX28" i="24" s="1"/>
  <c r="DW29" i="24" s="1"/>
  <c r="CE28" i="7"/>
  <c r="BT29" i="24"/>
  <c r="DJ28" i="7"/>
  <c r="DN28" i="7" s="1"/>
  <c r="DQ28" i="7" s="1"/>
  <c r="FC29" i="24" l="1"/>
  <c r="FE29" i="24"/>
  <c r="FD29" i="24"/>
  <c r="AB28" i="7"/>
  <c r="L28" i="27" s="1"/>
  <c r="EV28" i="7"/>
  <c r="EU29" i="7" s="1"/>
  <c r="DG28" i="7"/>
  <c r="DX28" i="7" s="1"/>
  <c r="DW29" i="7" s="1"/>
  <c r="AC29" i="24"/>
  <c r="GK29" i="24"/>
  <c r="BT29" i="32" s="1"/>
  <c r="CP29" i="24"/>
  <c r="AG29" i="24" s="1"/>
  <c r="EA29" i="24"/>
  <c r="DY29" i="24"/>
  <c r="EB29" i="24" s="1"/>
  <c r="FK29" i="24" s="1"/>
  <c r="EO28" i="7"/>
  <c r="EN29" i="7" s="1"/>
  <c r="AA28" i="7"/>
  <c r="K28" i="27" s="1"/>
  <c r="DO28" i="7"/>
  <c r="DM29" i="7" s="1"/>
  <c r="CI28" i="7"/>
  <c r="CH28" i="7"/>
  <c r="GP29" i="24" l="1"/>
  <c r="GQ29" i="24"/>
  <c r="GR29" i="24"/>
  <c r="GS29" i="24"/>
  <c r="GM29" i="7"/>
  <c r="AI29" i="27" s="1"/>
  <c r="AE29" i="7"/>
  <c r="O29" i="27" s="1"/>
  <c r="EP29" i="7"/>
  <c r="ES29" i="7" s="1"/>
  <c r="DY29" i="7"/>
  <c r="EB29" i="7" s="1"/>
  <c r="CP29" i="7"/>
  <c r="AG29" i="7" s="1"/>
  <c r="Q29" i="27" s="1"/>
  <c r="AC29" i="7"/>
  <c r="M29" i="27" s="1"/>
  <c r="GK29" i="7"/>
  <c r="AG29" i="27" s="1"/>
  <c r="EA29" i="7"/>
  <c r="W28" i="7"/>
  <c r="G28" i="27" s="1"/>
  <c r="CL28" i="7"/>
  <c r="CJ28" i="7"/>
  <c r="AF29" i="7"/>
  <c r="P29" i="27" s="1"/>
  <c r="EW29" i="7"/>
  <c r="FB29" i="7"/>
  <c r="GN29" i="7"/>
  <c r="AJ29" i="27" s="1"/>
  <c r="BT29" i="7"/>
  <c r="FG29" i="24"/>
  <c r="FF29" i="24"/>
  <c r="FE29" i="7" l="1"/>
  <c r="FC29" i="7"/>
  <c r="FD29" i="7"/>
  <c r="EZ29" i="7"/>
  <c r="FK29" i="7" s="1"/>
  <c r="V28" i="7"/>
  <c r="F28" i="27" s="1"/>
  <c r="CK28" i="7"/>
  <c r="GG28" i="7"/>
  <c r="AC28" i="27" s="1"/>
  <c r="GH28" i="7"/>
  <c r="AD28" i="27" s="1"/>
  <c r="GT29" i="24" a="1"/>
  <c r="GT29" i="24" s="1"/>
  <c r="GS29" i="7" l="1"/>
  <c r="GP29" i="7"/>
  <c r="GR29" i="7"/>
  <c r="GQ29" i="7"/>
  <c r="GV29" i="24"/>
  <c r="BX29" i="24" s="1"/>
  <c r="GX29" i="24"/>
  <c r="GU29" i="24"/>
  <c r="BW29" i="24" s="1"/>
  <c r="GW29" i="24"/>
  <c r="FG29" i="7"/>
  <c r="FF29" i="7"/>
  <c r="DZ29" i="24" l="1"/>
  <c r="BY29" i="24"/>
  <c r="GC29" i="24"/>
  <c r="BL29" i="32" s="1"/>
  <c r="EH29" i="24"/>
  <c r="GD29" i="24"/>
  <c r="BM29" i="32" s="1"/>
  <c r="GT29" i="7" a="1"/>
  <c r="GT29" i="7" s="1"/>
  <c r="GE29" i="24" l="1"/>
  <c r="BN29" i="32" s="1"/>
  <c r="EX29" i="24"/>
  <c r="FH29" i="24" s="1"/>
  <c r="BZ29" i="24"/>
  <c r="GV29" i="7"/>
  <c r="BX29" i="7" s="1"/>
  <c r="GW29" i="7"/>
  <c r="GU29" i="7"/>
  <c r="BW29" i="7" s="1"/>
  <c r="GX29" i="7"/>
  <c r="CB29" i="24"/>
  <c r="CR29" i="24" s="1"/>
  <c r="DZ29" i="7" l="1"/>
  <c r="GC29" i="7"/>
  <c r="Y29" i="27" s="1"/>
  <c r="BY29" i="7"/>
  <c r="EH29" i="7"/>
  <c r="GD29" i="7"/>
  <c r="Z29" i="27" s="1"/>
  <c r="GF29" i="24"/>
  <c r="BO29" i="32" s="1"/>
  <c r="EQ29" i="24"/>
  <c r="FI29" i="24"/>
  <c r="FA30" i="24"/>
  <c r="CV29" i="24"/>
  <c r="CX29" i="24" s="1"/>
  <c r="CY29" i="24" s="1"/>
  <c r="CA29" i="24"/>
  <c r="CD29" i="24" s="1"/>
  <c r="DA29" i="24" l="1"/>
  <c r="EX29" i="7"/>
  <c r="FH29" i="7" s="1"/>
  <c r="GE29" i="7"/>
  <c r="AA29" i="27" s="1"/>
  <c r="CB29" i="7"/>
  <c r="CR29" i="7" s="1"/>
  <c r="EF29" i="24"/>
  <c r="EE30" i="24" s="1"/>
  <c r="Z29" i="24"/>
  <c r="DC29" i="24"/>
  <c r="DD29" i="24" s="1"/>
  <c r="BZ29" i="7"/>
  <c r="GF29" i="7" l="1"/>
  <c r="AB29" i="27" s="1"/>
  <c r="EQ29" i="7"/>
  <c r="AD30" i="24"/>
  <c r="EG30" i="24"/>
  <c r="EI30" i="24"/>
  <c r="GL30" i="24"/>
  <c r="BU30" i="32" s="1"/>
  <c r="EJ30" i="24"/>
  <c r="CV29" i="7"/>
  <c r="CX29" i="7" s="1"/>
  <c r="CY29" i="7" s="1"/>
  <c r="DE29" i="24"/>
  <c r="DF29" i="24" s="1"/>
  <c r="BS30" i="24" s="1"/>
  <c r="FI29" i="7"/>
  <c r="FA30" i="7"/>
  <c r="CA29" i="7"/>
  <c r="CD29" i="7" s="1"/>
  <c r="DA29" i="7" l="1"/>
  <c r="Y29" i="24"/>
  <c r="DH29" i="24"/>
  <c r="FT29" i="24" s="1"/>
  <c r="AL29" i="7" s="1"/>
  <c r="CE29" i="24"/>
  <c r="DJ29" i="24"/>
  <c r="DN29" i="24" s="1"/>
  <c r="DQ29" i="24" s="1"/>
  <c r="Z29" i="7"/>
  <c r="J29" i="27" s="1"/>
  <c r="DC29" i="7"/>
  <c r="DD29" i="7" s="1"/>
  <c r="EF29" i="7"/>
  <c r="EE30" i="7" s="1"/>
  <c r="DG29" i="24" l="1"/>
  <c r="EV29" i="24"/>
  <c r="EU30" i="24" s="1"/>
  <c r="AB29" i="24"/>
  <c r="EG30" i="7"/>
  <c r="EJ30" i="7"/>
  <c r="AD30" i="7"/>
  <c r="N30" i="27" s="1"/>
  <c r="EI30" i="7"/>
  <c r="GL30" i="7"/>
  <c r="AH30" i="27" s="1"/>
  <c r="DE29" i="7"/>
  <c r="DF29" i="7" s="1"/>
  <c r="BS30" i="7" s="1"/>
  <c r="EO29" i="24"/>
  <c r="EN30" i="24" s="1"/>
  <c r="AA29" i="24"/>
  <c r="DO29" i="24"/>
  <c r="DM30" i="24" s="1"/>
  <c r="CH29" i="24"/>
  <c r="CI29" i="24"/>
  <c r="W29" i="24" l="1"/>
  <c r="CL29" i="24"/>
  <c r="CJ29" i="24"/>
  <c r="BT30" i="24"/>
  <c r="GM30" i="24"/>
  <c r="BV30" i="32" s="1"/>
  <c r="AE30" i="24"/>
  <c r="EP30" i="24"/>
  <c r="ES30" i="24" s="1"/>
  <c r="Y29" i="7"/>
  <c r="I29" i="27" s="1"/>
  <c r="DH29" i="7"/>
  <c r="FT29" i="7" s="1"/>
  <c r="AL29" i="24" s="1"/>
  <c r="DX29" i="24" s="1"/>
  <c r="DW30" i="24" s="1"/>
  <c r="DJ29" i="7"/>
  <c r="DN29" i="7" s="1"/>
  <c r="DQ29" i="7" s="1"/>
  <c r="CE29" i="7"/>
  <c r="FB30" i="24"/>
  <c r="GN30" i="24"/>
  <c r="BW30" i="32" s="1"/>
  <c r="AF30" i="24"/>
  <c r="EW30" i="24"/>
  <c r="EV29" i="7" l="1"/>
  <c r="EU30" i="7" s="1"/>
  <c r="AB29" i="7"/>
  <c r="L29" i="27" s="1"/>
  <c r="FD30" i="24"/>
  <c r="FE30" i="24"/>
  <c r="FC30" i="24"/>
  <c r="EO29" i="7"/>
  <c r="EN30" i="7" s="1"/>
  <c r="AA29" i="7"/>
  <c r="K29" i="27" s="1"/>
  <c r="DO29" i="7"/>
  <c r="DM30" i="7" s="1"/>
  <c r="DY30" i="24"/>
  <c r="GK30" i="24"/>
  <c r="BT30" i="32" s="1"/>
  <c r="EB30" i="24"/>
  <c r="CP30" i="24"/>
  <c r="AG30" i="24" s="1"/>
  <c r="AC30" i="24"/>
  <c r="EA30" i="24"/>
  <c r="DG29" i="7"/>
  <c r="DX29" i="7" s="1"/>
  <c r="DW30" i="7" s="1"/>
  <c r="EZ30" i="24"/>
  <c r="CK29" i="24"/>
  <c r="V29" i="24"/>
  <c r="GG29" i="24"/>
  <c r="BP29" i="32" s="1"/>
  <c r="GH29" i="24"/>
  <c r="BQ29" i="32" s="1"/>
  <c r="CI29" i="7"/>
  <c r="CH29" i="7"/>
  <c r="FK30" i="24" l="1"/>
  <c r="GP30" i="24" s="1"/>
  <c r="BT30" i="7"/>
  <c r="GM30" i="7"/>
  <c r="AI30" i="27" s="1"/>
  <c r="AE30" i="7"/>
  <c r="O30" i="27" s="1"/>
  <c r="EP30" i="7"/>
  <c r="GK30" i="7"/>
  <c r="AG30" i="27" s="1"/>
  <c r="EA30" i="7"/>
  <c r="DY30" i="7"/>
  <c r="EB30" i="7" s="1"/>
  <c r="CP30" i="7"/>
  <c r="AG30" i="7" s="1"/>
  <c r="Q30" i="27" s="1"/>
  <c r="AC30" i="7"/>
  <c r="M30" i="27" s="1"/>
  <c r="GS30" i="24"/>
  <c r="GR30" i="24"/>
  <c r="FF30" i="24"/>
  <c r="FG30" i="24"/>
  <c r="W29" i="7"/>
  <c r="G29" i="27" s="1"/>
  <c r="CL29" i="7"/>
  <c r="CJ29" i="7"/>
  <c r="FB30" i="7"/>
  <c r="GN30" i="7"/>
  <c r="AJ30" i="27" s="1"/>
  <c r="AF30" i="7"/>
  <c r="P30" i="27" s="1"/>
  <c r="EW30" i="7"/>
  <c r="EZ30" i="7" s="1"/>
  <c r="GQ30" i="24" l="1"/>
  <c r="ES30" i="7"/>
  <c r="FK30" i="7" s="1"/>
  <c r="FE30" i="7"/>
  <c r="FD30" i="7"/>
  <c r="FC30" i="7"/>
  <c r="CK29" i="7"/>
  <c r="GH29" i="7"/>
  <c r="AD29" i="27" s="1"/>
  <c r="GG29" i="7"/>
  <c r="AC29" i="27" s="1"/>
  <c r="V29" i="7"/>
  <c r="F29" i="27" s="1"/>
  <c r="GT30" i="24" a="1"/>
  <c r="GT30" i="24" s="1"/>
  <c r="GS30" i="7" l="1"/>
  <c r="GR30" i="7"/>
  <c r="GQ30" i="7"/>
  <c r="GP30" i="7"/>
  <c r="FF30" i="7"/>
  <c r="FG30" i="7"/>
  <c r="GX30" i="24"/>
  <c r="GV30" i="24"/>
  <c r="BX30" i="24" s="1"/>
  <c r="GU30" i="24"/>
  <c r="BW30" i="24" s="1"/>
  <c r="GW30" i="24"/>
  <c r="GT30" i="7" l="1" a="1"/>
  <c r="GT30" i="7" s="1"/>
  <c r="GX30" i="7" s="1"/>
  <c r="GC30" i="24"/>
  <c r="BL30" i="32" s="1"/>
  <c r="DZ30" i="24"/>
  <c r="BY30" i="24"/>
  <c r="CB30" i="24" s="1"/>
  <c r="CR30" i="24" s="1"/>
  <c r="EH30" i="24"/>
  <c r="GD30" i="24"/>
  <c r="BM30" i="32" s="1"/>
  <c r="GU30" i="7" l="1"/>
  <c r="BW30" i="7" s="1"/>
  <c r="DZ30" i="7" s="1"/>
  <c r="GW30" i="7"/>
  <c r="GV30" i="7"/>
  <c r="BX30" i="7" s="1"/>
  <c r="GD30" i="7" s="1"/>
  <c r="Z30" i="27" s="1"/>
  <c r="BZ30" i="24"/>
  <c r="EQ30" i="24" s="1"/>
  <c r="CV30" i="24"/>
  <c r="CX30" i="24" s="1"/>
  <c r="EX30" i="24"/>
  <c r="FH30" i="24" s="1"/>
  <c r="GE30" i="24"/>
  <c r="BN30" i="32" s="1"/>
  <c r="EH30" i="7" l="1"/>
  <c r="BY30" i="7"/>
  <c r="CB30" i="7" s="1"/>
  <c r="CR30" i="7" s="1"/>
  <c r="CV30" i="7" s="1"/>
  <c r="CX30" i="7" s="1"/>
  <c r="CY30" i="7" s="1"/>
  <c r="GC30" i="7"/>
  <c r="Y30" i="27" s="1"/>
  <c r="CA30" i="24"/>
  <c r="CD30" i="24" s="1"/>
  <c r="GF30" i="24"/>
  <c r="BO30" i="32" s="1"/>
  <c r="FI30" i="24"/>
  <c r="FA31" i="24"/>
  <c r="Z30" i="24"/>
  <c r="EF30" i="24"/>
  <c r="EE31" i="24" s="1"/>
  <c r="DC30" i="24"/>
  <c r="DD30" i="24" s="1"/>
  <c r="CY30" i="24"/>
  <c r="EX30" i="7" l="1"/>
  <c r="FH30" i="7" s="1"/>
  <c r="GE30" i="7"/>
  <c r="AA30" i="27" s="1"/>
  <c r="BZ30" i="7"/>
  <c r="GF30" i="7" s="1"/>
  <c r="AB30" i="27" s="1"/>
  <c r="DA30" i="7"/>
  <c r="DA30" i="24"/>
  <c r="DE30" i="24" s="1"/>
  <c r="DF30" i="24" s="1"/>
  <c r="BS31" i="24" s="1"/>
  <c r="GL31" i="24"/>
  <c r="BU31" i="32" s="1"/>
  <c r="EJ31" i="24"/>
  <c r="EI31" i="24"/>
  <c r="AD31" i="24"/>
  <c r="EG31" i="24"/>
  <c r="FI30" i="7"/>
  <c r="FA31" i="7"/>
  <c r="Z30" i="7"/>
  <c r="J30" i="27" s="1"/>
  <c r="DC30" i="7"/>
  <c r="DD30" i="7" s="1"/>
  <c r="EF30" i="7"/>
  <c r="EE31" i="7" s="1"/>
  <c r="EQ30" i="7" l="1"/>
  <c r="CA30" i="7"/>
  <c r="CD30" i="7" s="1"/>
  <c r="EG31" i="7"/>
  <c r="GL31" i="7"/>
  <c r="AH31" i="27" s="1"/>
  <c r="AD31" i="7"/>
  <c r="N31" i="27" s="1"/>
  <c r="EJ31" i="7"/>
  <c r="EI31" i="7"/>
  <c r="DE30" i="7"/>
  <c r="CE30" i="7" s="1"/>
  <c r="DH30" i="24"/>
  <c r="FT30" i="24" s="1"/>
  <c r="AL30" i="7" s="1"/>
  <c r="Y30" i="24"/>
  <c r="CE30" i="24"/>
  <c r="DJ30" i="24"/>
  <c r="DN30" i="24" s="1"/>
  <c r="DQ30" i="24" s="1"/>
  <c r="DG30" i="24" l="1"/>
  <c r="Y30" i="7"/>
  <c r="I30" i="27" s="1"/>
  <c r="DH30" i="7"/>
  <c r="FT30" i="7" s="1"/>
  <c r="AL30" i="24" s="1"/>
  <c r="DJ30" i="7"/>
  <c r="DN30" i="7" s="1"/>
  <c r="DF30" i="7"/>
  <c r="BS31" i="7" s="1"/>
  <c r="AA30" i="24"/>
  <c r="EO30" i="24"/>
  <c r="EN31" i="24" s="1"/>
  <c r="DO30" i="24"/>
  <c r="DM31" i="24" s="1"/>
  <c r="AB30" i="24"/>
  <c r="EV30" i="24"/>
  <c r="EU31" i="24" s="1"/>
  <c r="CH30" i="7"/>
  <c r="CI30" i="7"/>
  <c r="CI30" i="24"/>
  <c r="CH30" i="24"/>
  <c r="DX30" i="24" l="1"/>
  <c r="DW31" i="24" s="1"/>
  <c r="FB31" i="24"/>
  <c r="AF31" i="24"/>
  <c r="GN31" i="24"/>
  <c r="BW31" i="32" s="1"/>
  <c r="EW31" i="24"/>
  <c r="EO30" i="7"/>
  <c r="EN31" i="7" s="1"/>
  <c r="AA30" i="7"/>
  <c r="K30" i="27" s="1"/>
  <c r="DO30" i="7"/>
  <c r="DM31" i="7" s="1"/>
  <c r="AC31" i="24"/>
  <c r="DY31" i="24"/>
  <c r="EA31" i="24"/>
  <c r="DQ30" i="7"/>
  <c r="W30" i="24"/>
  <c r="CL30" i="24"/>
  <c r="CJ30" i="24"/>
  <c r="BT31" i="24"/>
  <c r="DG30" i="7"/>
  <c r="DX30" i="7" s="1"/>
  <c r="DW31" i="7" s="1"/>
  <c r="AE31" i="24"/>
  <c r="GM31" i="24"/>
  <c r="BV31" i="32" s="1"/>
  <c r="EP31" i="24"/>
  <c r="ES31" i="24" s="1"/>
  <c r="W30" i="7"/>
  <c r="CL30" i="7"/>
  <c r="CJ30" i="7"/>
  <c r="EB31" i="24" l="1"/>
  <c r="GK31" i="24"/>
  <c r="BT31" i="32" s="1"/>
  <c r="CP31" i="24"/>
  <c r="AG31" i="24" s="1"/>
  <c r="G30" i="27"/>
  <c r="AE31" i="7"/>
  <c r="O31" i="27" s="1"/>
  <c r="GM31" i="7"/>
  <c r="AI31" i="27" s="1"/>
  <c r="EP31" i="7"/>
  <c r="ES31" i="7" s="1"/>
  <c r="FE31" i="24"/>
  <c r="FD31" i="24"/>
  <c r="FC31" i="24"/>
  <c r="DY31" i="7"/>
  <c r="EB31" i="7" s="1"/>
  <c r="EA31" i="7"/>
  <c r="AC31" i="7"/>
  <c r="M31" i="27" s="1"/>
  <c r="GK31" i="7"/>
  <c r="AG31" i="27" s="1"/>
  <c r="GG30" i="24"/>
  <c r="BP30" i="32" s="1"/>
  <c r="V30" i="24"/>
  <c r="GH30" i="24"/>
  <c r="BQ30" i="32" s="1"/>
  <c r="CK30" i="24"/>
  <c r="EZ31" i="24"/>
  <c r="V30" i="7"/>
  <c r="GH30" i="7"/>
  <c r="CK30" i="7"/>
  <c r="GG30" i="7"/>
  <c r="EV30" i="7"/>
  <c r="EU31" i="7" s="1"/>
  <c r="AB30" i="7"/>
  <c r="L30" i="27" s="1"/>
  <c r="BT31" i="7"/>
  <c r="AC30" i="27" l="1"/>
  <c r="FK31" i="24"/>
  <c r="GR31" i="24" s="1"/>
  <c r="F30" i="27"/>
  <c r="AD30" i="27"/>
  <c r="FF31" i="24"/>
  <c r="FG31" i="24"/>
  <c r="GN31" i="7"/>
  <c r="AJ31" i="27" s="1"/>
  <c r="AF31" i="7"/>
  <c r="P31" i="27" s="1"/>
  <c r="EW31" i="7"/>
  <c r="FB31" i="7"/>
  <c r="CP31" i="7"/>
  <c r="AG31" i="7" s="1"/>
  <c r="Q31" i="27" s="1"/>
  <c r="GQ31" i="24" l="1"/>
  <c r="GS31" i="24"/>
  <c r="GP31" i="24"/>
  <c r="EZ31" i="7"/>
  <c r="FK31" i="7" s="1"/>
  <c r="FD31" i="7"/>
  <c r="FC31" i="7"/>
  <c r="FE31" i="7"/>
  <c r="GT31" i="24" l="1" a="1"/>
  <c r="GT31" i="24" s="1"/>
  <c r="GX31" i="24" s="1"/>
  <c r="GU31" i="24"/>
  <c r="BW31" i="24" s="1"/>
  <c r="GW31" i="24"/>
  <c r="FG31" i="7"/>
  <c r="FF31" i="7"/>
  <c r="GR31" i="7"/>
  <c r="GQ31" i="7"/>
  <c r="GS31" i="7"/>
  <c r="GP31" i="7"/>
  <c r="GV31" i="24" l="1"/>
  <c r="BX31" i="24" s="1"/>
  <c r="DZ31" i="24"/>
  <c r="GC31" i="24"/>
  <c r="BL31" i="32" s="1"/>
  <c r="BY31" i="24"/>
  <c r="EH31" i="24"/>
  <c r="GD31" i="24"/>
  <c r="BM31" i="32" s="1"/>
  <c r="GT31" i="7" a="1"/>
  <c r="GT31" i="7" s="1"/>
  <c r="GE31" i="24" l="1"/>
  <c r="BN31" i="32" s="1"/>
  <c r="EX31" i="24"/>
  <c r="FH31" i="24" s="1"/>
  <c r="BZ31" i="24"/>
  <c r="GV31" i="7"/>
  <c r="BX31" i="7" s="1"/>
  <c r="GW31" i="7"/>
  <c r="GX31" i="7"/>
  <c r="GU31" i="7"/>
  <c r="BW31" i="7" s="1"/>
  <c r="CB31" i="24"/>
  <c r="CR31" i="24" s="1"/>
  <c r="GD31" i="7" l="1"/>
  <c r="Z31" i="27" s="1"/>
  <c r="EH31" i="7"/>
  <c r="GF31" i="24"/>
  <c r="BO31" i="32" s="1"/>
  <c r="EQ31" i="24"/>
  <c r="FI31" i="24"/>
  <c r="FA32" i="24"/>
  <c r="BY31" i="7"/>
  <c r="CB31" i="7" s="1"/>
  <c r="CR31" i="7" s="1"/>
  <c r="DZ31" i="7"/>
  <c r="GC31" i="7"/>
  <c r="Y31" i="27" s="1"/>
  <c r="CV31" i="24"/>
  <c r="CX31" i="24" s="1"/>
  <c r="CA31" i="24"/>
  <c r="CD31" i="24" s="1"/>
  <c r="GE31" i="7" l="1"/>
  <c r="AA31" i="27" s="1"/>
  <c r="EX31" i="7"/>
  <c r="FH31" i="7" s="1"/>
  <c r="CV31" i="7"/>
  <c r="CX31" i="7" s="1"/>
  <c r="DC31" i="24"/>
  <c r="DD31" i="24" s="1"/>
  <c r="Z31" i="24"/>
  <c r="EF31" i="24"/>
  <c r="EE32" i="24" s="1"/>
  <c r="BZ31" i="7"/>
  <c r="CA31" i="7" s="1"/>
  <c r="CD31" i="7" s="1"/>
  <c r="CY31" i="24"/>
  <c r="DA31" i="24" l="1"/>
  <c r="DE31" i="24" s="1"/>
  <c r="EF31" i="7"/>
  <c r="EE32" i="7" s="1"/>
  <c r="DC31" i="7"/>
  <c r="DD31" i="7" s="1"/>
  <c r="Z31" i="7"/>
  <c r="J31" i="27" s="1"/>
  <c r="CY31" i="7"/>
  <c r="GF31" i="7"/>
  <c r="AB31" i="27" s="1"/>
  <c r="EQ31" i="7"/>
  <c r="FI31" i="7"/>
  <c r="FA32" i="7"/>
  <c r="EI32" i="24"/>
  <c r="EG32" i="24"/>
  <c r="GL32" i="24"/>
  <c r="BU32" i="32" s="1"/>
  <c r="AD32" i="24"/>
  <c r="EJ32" i="24"/>
  <c r="Y31" i="24" l="1"/>
  <c r="DH31" i="24"/>
  <c r="FT31" i="24" s="1"/>
  <c r="AL31" i="7" s="1"/>
  <c r="CE31" i="24"/>
  <c r="DF31" i="24"/>
  <c r="BS32" i="24" s="1"/>
  <c r="DJ31" i="24"/>
  <c r="DN31" i="24" s="1"/>
  <c r="DQ31" i="24" s="1"/>
  <c r="AD32" i="7"/>
  <c r="N32" i="27" s="1"/>
  <c r="EJ32" i="7"/>
  <c r="EI32" i="7"/>
  <c r="GL32" i="7"/>
  <c r="AH32" i="27" s="1"/>
  <c r="EG32" i="7"/>
  <c r="DA31" i="7"/>
  <c r="DE31" i="7" s="1"/>
  <c r="Y31" i="7" l="1"/>
  <c r="I31" i="27" s="1"/>
  <c r="DH31" i="7"/>
  <c r="FT31" i="7" s="1"/>
  <c r="AL31" i="24" s="1"/>
  <c r="DF31" i="7"/>
  <c r="BS32" i="7" s="1"/>
  <c r="DJ31" i="7"/>
  <c r="DN31" i="7" s="1"/>
  <c r="DQ31" i="7" s="1"/>
  <c r="CE31" i="7"/>
  <c r="AB31" i="24"/>
  <c r="EV31" i="24"/>
  <c r="EU32" i="24" s="1"/>
  <c r="EO31" i="24"/>
  <c r="EN32" i="24" s="1"/>
  <c r="AA31" i="24"/>
  <c r="DO31" i="24"/>
  <c r="DM32" i="24" s="1"/>
  <c r="DG31" i="24"/>
  <c r="CI31" i="24"/>
  <c r="CH31" i="24"/>
  <c r="DX31" i="24" l="1"/>
  <c r="DW32" i="24" s="1"/>
  <c r="AC32" i="24" s="1"/>
  <c r="DG31" i="7"/>
  <c r="DX31" i="7" s="1"/>
  <c r="DW32" i="7" s="1"/>
  <c r="DY32" i="7" s="1"/>
  <c r="EB32" i="7" s="1"/>
  <c r="AB31" i="7"/>
  <c r="L31" i="27" s="1"/>
  <c r="EV31" i="7"/>
  <c r="EU32" i="7" s="1"/>
  <c r="EO31" i="7"/>
  <c r="EN32" i="7" s="1"/>
  <c r="AA31" i="7"/>
  <c r="K31" i="27" s="1"/>
  <c r="DO31" i="7"/>
  <c r="DM32" i="7" s="1"/>
  <c r="BT32" i="24"/>
  <c r="W31" i="24"/>
  <c r="CL31" i="24"/>
  <c r="CJ31" i="24"/>
  <c r="AE32" i="24"/>
  <c r="GM32" i="24"/>
  <c r="BV32" i="32" s="1"/>
  <c r="EP32" i="24"/>
  <c r="ES32" i="24" s="1"/>
  <c r="AF32" i="24"/>
  <c r="FB32" i="24"/>
  <c r="EW32" i="24"/>
  <c r="EZ32" i="24" s="1"/>
  <c r="GN32" i="24"/>
  <c r="BW32" i="32" s="1"/>
  <c r="CI31" i="7"/>
  <c r="CH31" i="7"/>
  <c r="EA32" i="7" l="1"/>
  <c r="AC32" i="7"/>
  <c r="M32" i="27" s="1"/>
  <c r="GK32" i="7"/>
  <c r="CP32" i="24"/>
  <c r="AG32" i="24" s="1"/>
  <c r="DY32" i="24"/>
  <c r="EB32" i="24" s="1"/>
  <c r="FK32" i="24" s="1"/>
  <c r="GK32" i="24"/>
  <c r="BT32" i="32" s="1"/>
  <c r="EA32" i="24"/>
  <c r="CP32" i="7"/>
  <c r="AG32" i="7" s="1"/>
  <c r="Q32" i="27" s="1"/>
  <c r="BT32" i="7"/>
  <c r="V31" i="24"/>
  <c r="GH31" i="24"/>
  <c r="BQ31" i="32" s="1"/>
  <c r="CK31" i="24"/>
  <c r="GG31" i="24"/>
  <c r="BP31" i="32" s="1"/>
  <c r="EP32" i="7"/>
  <c r="ES32" i="7" s="1"/>
  <c r="AE32" i="7"/>
  <c r="O32" i="27" s="1"/>
  <c r="GM32" i="7"/>
  <c r="AI32" i="27" s="1"/>
  <c r="W31" i="7"/>
  <c r="G31" i="27" s="1"/>
  <c r="CJ31" i="7"/>
  <c r="CL31" i="7"/>
  <c r="FC32" i="24"/>
  <c r="FE32" i="24"/>
  <c r="FD32" i="24"/>
  <c r="GN32" i="7"/>
  <c r="AJ32" i="27" s="1"/>
  <c r="AF32" i="7"/>
  <c r="P32" i="27" s="1"/>
  <c r="FB32" i="7"/>
  <c r="EW32" i="7"/>
  <c r="AG32" i="27" l="1"/>
  <c r="GS32" i="24"/>
  <c r="GQ32" i="24"/>
  <c r="GP32" i="24"/>
  <c r="GR32" i="24"/>
  <c r="FF32" i="24"/>
  <c r="FG32" i="24"/>
  <c r="CK31" i="7"/>
  <c r="GG31" i="7"/>
  <c r="AC31" i="27" s="1"/>
  <c r="GH31" i="7"/>
  <c r="AD31" i="27" s="1"/>
  <c r="V31" i="7"/>
  <c r="F31" i="27" s="1"/>
  <c r="FD32" i="7"/>
  <c r="FE32" i="7"/>
  <c r="FC32" i="7"/>
  <c r="EZ32" i="7"/>
  <c r="FK32" i="7" s="1"/>
  <c r="GP32" i="7" l="1"/>
  <c r="GS32" i="7"/>
  <c r="GR32" i="7"/>
  <c r="GQ32" i="7"/>
  <c r="GT32" i="24" a="1"/>
  <c r="GT32" i="24" s="1"/>
  <c r="FF32" i="7"/>
  <c r="FG32" i="7"/>
  <c r="GX32" i="24" l="1"/>
  <c r="GU32" i="24"/>
  <c r="BW32" i="24" s="1"/>
  <c r="GW32" i="24"/>
  <c r="GV32" i="24"/>
  <c r="BX32" i="24" s="1"/>
  <c r="GT32" i="7" a="1"/>
  <c r="GT32" i="7" s="1"/>
  <c r="GW32" i="7" l="1"/>
  <c r="GU32" i="7"/>
  <c r="BW32" i="7" s="1"/>
  <c r="GX32" i="7"/>
  <c r="GV32" i="7"/>
  <c r="BX32" i="7" s="1"/>
  <c r="EH32" i="24"/>
  <c r="GD32" i="24"/>
  <c r="BM32" i="32" s="1"/>
  <c r="GC32" i="24"/>
  <c r="BL32" i="32" s="1"/>
  <c r="BY32" i="24"/>
  <c r="CB32" i="24" s="1"/>
  <c r="CR32" i="24" s="1"/>
  <c r="DZ32" i="24"/>
  <c r="BZ32" i="24" l="1"/>
  <c r="EQ32" i="24" s="1"/>
  <c r="CV32" i="24"/>
  <c r="CX32" i="24" s="1"/>
  <c r="CY32" i="24" s="1"/>
  <c r="GD32" i="7"/>
  <c r="Z32" i="27" s="1"/>
  <c r="EH32" i="7"/>
  <c r="GC32" i="7"/>
  <c r="Y32" i="27" s="1"/>
  <c r="DZ32" i="7"/>
  <c r="BY32" i="7"/>
  <c r="GE32" i="24"/>
  <c r="BN32" i="32" s="1"/>
  <c r="EX32" i="24"/>
  <c r="FH32" i="24" s="1"/>
  <c r="CA32" i="24" l="1"/>
  <c r="CD32" i="24" s="1"/>
  <c r="GF32" i="24"/>
  <c r="BO32" i="32" s="1"/>
  <c r="DA32" i="24"/>
  <c r="FI32" i="24"/>
  <c r="FA33" i="24"/>
  <c r="EX32" i="7"/>
  <c r="FH32" i="7" s="1"/>
  <c r="GE32" i="7"/>
  <c r="AA32" i="27" s="1"/>
  <c r="CB32" i="7"/>
  <c r="CR32" i="7" s="1"/>
  <c r="BZ32" i="7"/>
  <c r="CA32" i="7" s="1"/>
  <c r="CD32" i="7" s="1"/>
  <c r="DC32" i="24"/>
  <c r="DD32" i="24" s="1"/>
  <c r="Z32" i="24"/>
  <c r="EF32" i="24"/>
  <c r="EE33" i="24" s="1"/>
  <c r="AD33" i="24" l="1"/>
  <c r="EJ33" i="24"/>
  <c r="GL33" i="24"/>
  <c r="BU33" i="32" s="1"/>
  <c r="EG33" i="24"/>
  <c r="EI33" i="24"/>
  <c r="FI32" i="7"/>
  <c r="FA33" i="7"/>
  <c r="EQ32" i="7"/>
  <c r="GF32" i="7"/>
  <c r="AB32" i="27" s="1"/>
  <c r="DE32" i="24"/>
  <c r="DF32" i="24" s="1"/>
  <c r="BS33" i="24" s="1"/>
  <c r="CV32" i="7"/>
  <c r="CX32" i="7" s="1"/>
  <c r="CY32" i="7" s="1"/>
  <c r="DH32" i="24" l="1"/>
  <c r="FT32" i="24" s="1"/>
  <c r="AL32" i="7" s="1"/>
  <c r="Y32" i="24"/>
  <c r="DJ32" i="24"/>
  <c r="DN32" i="24" s="1"/>
  <c r="DQ32" i="24" s="1"/>
  <c r="CE32" i="24"/>
  <c r="DA32" i="7"/>
  <c r="Z32" i="7"/>
  <c r="J32" i="27" s="1"/>
  <c r="EF32" i="7"/>
  <c r="EE33" i="7" s="1"/>
  <c r="DC32" i="7"/>
  <c r="DD32" i="7" s="1"/>
  <c r="DG32" i="24" l="1"/>
  <c r="AB32" i="24"/>
  <c r="EV32" i="24"/>
  <c r="EU33" i="24" s="1"/>
  <c r="DE32" i="7"/>
  <c r="DF32" i="7" s="1"/>
  <c r="BS33" i="7" s="1"/>
  <c r="EO32" i="24"/>
  <c r="EN33" i="24" s="1"/>
  <c r="AA32" i="24"/>
  <c r="DO32" i="24"/>
  <c r="DM33" i="24" s="1"/>
  <c r="EG33" i="7"/>
  <c r="AD33" i="7"/>
  <c r="N33" i="27" s="1"/>
  <c r="GL33" i="7"/>
  <c r="AH33" i="27" s="1"/>
  <c r="EI33" i="7"/>
  <c r="EJ33" i="7"/>
  <c r="CI32" i="24"/>
  <c r="CH32" i="24"/>
  <c r="W32" i="24" l="1"/>
  <c r="CL32" i="24"/>
  <c r="CJ32" i="24"/>
  <c r="BT33" i="24"/>
  <c r="EP33" i="24"/>
  <c r="ES33" i="24" s="1"/>
  <c r="AE33" i="24"/>
  <c r="GM33" i="24"/>
  <c r="BV33" i="32" s="1"/>
  <c r="Y32" i="7"/>
  <c r="I32" i="27" s="1"/>
  <c r="DH32" i="7"/>
  <c r="FT32" i="7" s="1"/>
  <c r="AL32" i="24" s="1"/>
  <c r="DX32" i="24" s="1"/>
  <c r="DW33" i="24" s="1"/>
  <c r="DJ32" i="7"/>
  <c r="DN32" i="7" s="1"/>
  <c r="DQ32" i="7" s="1"/>
  <c r="CE32" i="7"/>
  <c r="GN33" i="24"/>
  <c r="BW33" i="32" s="1"/>
  <c r="FB33" i="24"/>
  <c r="AF33" i="24"/>
  <c r="EW33" i="24"/>
  <c r="FD33" i="24" l="1"/>
  <c r="FE33" i="24"/>
  <c r="FC33" i="24"/>
  <c r="AB32" i="7"/>
  <c r="L32" i="27" s="1"/>
  <c r="EV32" i="7"/>
  <c r="EU33" i="7" s="1"/>
  <c r="EB33" i="24"/>
  <c r="GK33" i="24"/>
  <c r="BT33" i="32" s="1"/>
  <c r="AC33" i="24"/>
  <c r="CP33" i="24"/>
  <c r="AG33" i="24" s="1"/>
  <c r="DY33" i="24"/>
  <c r="EA33" i="24"/>
  <c r="DG32" i="7"/>
  <c r="DX32" i="7" s="1"/>
  <c r="DW33" i="7" s="1"/>
  <c r="V32" i="24"/>
  <c r="GG32" i="24"/>
  <c r="BP32" i="32" s="1"/>
  <c r="CK32" i="24"/>
  <c r="GH32" i="24"/>
  <c r="BQ32" i="32" s="1"/>
  <c r="EZ33" i="24"/>
  <c r="EO32" i="7"/>
  <c r="EN33" i="7" s="1"/>
  <c r="AA32" i="7"/>
  <c r="K32" i="27" s="1"/>
  <c r="DO32" i="7"/>
  <c r="DM33" i="7" s="1"/>
  <c r="CH32" i="7"/>
  <c r="CI32" i="7"/>
  <c r="FK33" i="24" l="1"/>
  <c r="GM33" i="7"/>
  <c r="AI33" i="27" s="1"/>
  <c r="AE33" i="7"/>
  <c r="O33" i="27" s="1"/>
  <c r="EP33" i="7"/>
  <c r="ES33" i="7" s="1"/>
  <c r="W32" i="7"/>
  <c r="G32" i="27" s="1"/>
  <c r="CJ32" i="7"/>
  <c r="CL32" i="7"/>
  <c r="AC33" i="7"/>
  <c r="M33" i="27" s="1"/>
  <c r="GK33" i="7"/>
  <c r="AG33" i="27" s="1"/>
  <c r="CP33" i="7"/>
  <c r="AG33" i="7" s="1"/>
  <c r="Q33" i="27" s="1"/>
  <c r="DY33" i="7"/>
  <c r="EA33" i="7"/>
  <c r="FB33" i="7"/>
  <c r="AF33" i="7"/>
  <c r="P33" i="27" s="1"/>
  <c r="GN33" i="7"/>
  <c r="AJ33" i="27" s="1"/>
  <c r="EW33" i="7"/>
  <c r="EZ33" i="7" s="1"/>
  <c r="FG33" i="24"/>
  <c r="FF33" i="24"/>
  <c r="BT33" i="7"/>
  <c r="CK32" i="7" l="1"/>
  <c r="V32" i="7"/>
  <c r="F32" i="27" s="1"/>
  <c r="GG32" i="7"/>
  <c r="AC32" i="27" s="1"/>
  <c r="GH32" i="7"/>
  <c r="AD32" i="27" s="1"/>
  <c r="EB33" i="7"/>
  <c r="FK33" i="7" s="1"/>
  <c r="FC33" i="7"/>
  <c r="FD33" i="7"/>
  <c r="FE33" i="7"/>
  <c r="GS33" i="24"/>
  <c r="GP33" i="24"/>
  <c r="GQ33" i="24"/>
  <c r="GR33" i="24"/>
  <c r="GS33" i="7" l="1"/>
  <c r="GQ33" i="7"/>
  <c r="GP33" i="7"/>
  <c r="GR33" i="7"/>
  <c r="GT33" i="24" a="1"/>
  <c r="GT33" i="24" s="1"/>
  <c r="FF33" i="7"/>
  <c r="FG33" i="7"/>
  <c r="GU33" i="24" l="1"/>
  <c r="BW33" i="24" s="1"/>
  <c r="GV33" i="24"/>
  <c r="BX33" i="24" s="1"/>
  <c r="GW33" i="24"/>
  <c r="GX33" i="24"/>
  <c r="GT33" i="7" a="1"/>
  <c r="GT33" i="7" s="1"/>
  <c r="GX33" i="7" l="1"/>
  <c r="GU33" i="7"/>
  <c r="BW33" i="7" s="1"/>
  <c r="GV33" i="7"/>
  <c r="BX33" i="7" s="1"/>
  <c r="GW33" i="7"/>
  <c r="EH33" i="24"/>
  <c r="GD33" i="24"/>
  <c r="BM33" i="32" s="1"/>
  <c r="GC33" i="24"/>
  <c r="BL33" i="32" s="1"/>
  <c r="BY33" i="24"/>
  <c r="DZ33" i="24"/>
  <c r="EX33" i="24" l="1"/>
  <c r="FH33" i="24" s="1"/>
  <c r="GE33" i="24"/>
  <c r="BN33" i="32" s="1"/>
  <c r="CB33" i="24"/>
  <c r="CR33" i="24" s="1"/>
  <c r="GD33" i="7"/>
  <c r="Z33" i="27" s="1"/>
  <c r="EH33" i="7"/>
  <c r="DZ33" i="7"/>
  <c r="BY33" i="7"/>
  <c r="CB33" i="7" s="1"/>
  <c r="CR33" i="7" s="1"/>
  <c r="GC33" i="7"/>
  <c r="Y33" i="27" s="1"/>
  <c r="BZ33" i="24"/>
  <c r="BZ33" i="7" l="1"/>
  <c r="CA33" i="7" s="1"/>
  <c r="CD33" i="7" s="1"/>
  <c r="CV33" i="7"/>
  <c r="CX33" i="7" s="1"/>
  <c r="CY33" i="7" s="1"/>
  <c r="GF33" i="24"/>
  <c r="BO33" i="32" s="1"/>
  <c r="EQ33" i="24"/>
  <c r="CA33" i="24"/>
  <c r="CD33" i="24" s="1"/>
  <c r="CV33" i="24"/>
  <c r="CX33" i="24" s="1"/>
  <c r="CY33" i="24" s="1"/>
  <c r="EX33" i="7"/>
  <c r="FH33" i="7" s="1"/>
  <c r="GE33" i="7"/>
  <c r="AA33" i="27" s="1"/>
  <c r="FI33" i="24"/>
  <c r="FA34" i="24"/>
  <c r="GF33" i="7" l="1"/>
  <c r="AB33" i="27" s="1"/>
  <c r="EQ33" i="7"/>
  <c r="DA33" i="7"/>
  <c r="FI33" i="7"/>
  <c r="FA34" i="7"/>
  <c r="DA33" i="24"/>
  <c r="DC33" i="24"/>
  <c r="DD33" i="24" s="1"/>
  <c r="EF33" i="24"/>
  <c r="EE34" i="24" s="1"/>
  <c r="Z33" i="24"/>
  <c r="DC33" i="7"/>
  <c r="DD33" i="7" s="1"/>
  <c r="Z33" i="7"/>
  <c r="EF33" i="7"/>
  <c r="EE34" i="7" s="1"/>
  <c r="EI34" i="24" l="1"/>
  <c r="EJ34" i="24"/>
  <c r="EG34" i="24"/>
  <c r="GL34" i="24"/>
  <c r="BU34" i="32" s="1"/>
  <c r="AD34" i="24"/>
  <c r="DE33" i="24"/>
  <c r="DF33" i="24" s="1"/>
  <c r="BS34" i="24" s="1"/>
  <c r="EI34" i="7"/>
  <c r="AD34" i="7"/>
  <c r="GL34" i="7"/>
  <c r="EG34" i="7"/>
  <c r="EJ34" i="7"/>
  <c r="J33" i="27"/>
  <c r="DE33" i="7"/>
  <c r="DF33" i="7" s="1"/>
  <c r="BS34" i="7" s="1"/>
  <c r="AH34" i="27" l="1"/>
  <c r="N34" i="27"/>
  <c r="Y33" i="7"/>
  <c r="DH33" i="7"/>
  <c r="FT33" i="7" s="1"/>
  <c r="AL33" i="24" s="1"/>
  <c r="DJ33" i="7"/>
  <c r="DN33" i="7" s="1"/>
  <c r="DQ33" i="7" s="1"/>
  <c r="CE33" i="7"/>
  <c r="Y33" i="24"/>
  <c r="DH33" i="24"/>
  <c r="FT33" i="24" s="1"/>
  <c r="AL33" i="7" s="1"/>
  <c r="CE33" i="24"/>
  <c r="DJ33" i="24"/>
  <c r="DN33" i="24" s="1"/>
  <c r="DQ33" i="24" s="1"/>
  <c r="DG33" i="24" l="1"/>
  <c r="DX33" i="24" s="1"/>
  <c r="DW34" i="24" s="1"/>
  <c r="EA34" i="24" s="1"/>
  <c r="EV33" i="7"/>
  <c r="EU34" i="7" s="1"/>
  <c r="AB33" i="7"/>
  <c r="AB33" i="24"/>
  <c r="EV33" i="24"/>
  <c r="EU34" i="24" s="1"/>
  <c r="DY34" i="24"/>
  <c r="EB34" i="24" s="1"/>
  <c r="AA33" i="7"/>
  <c r="EO33" i="7"/>
  <c r="EN34" i="7" s="1"/>
  <c r="DO33" i="7"/>
  <c r="DM34" i="7" s="1"/>
  <c r="EO33" i="24"/>
  <c r="EN34" i="24" s="1"/>
  <c r="AA33" i="24"/>
  <c r="DO33" i="24"/>
  <c r="DM34" i="24" s="1"/>
  <c r="I33" i="27"/>
  <c r="DG33" i="7"/>
  <c r="DX33" i="7" s="1"/>
  <c r="DW34" i="7" s="1"/>
  <c r="CH33" i="7"/>
  <c r="CH33" i="24"/>
  <c r="CI33" i="7"/>
  <c r="CI33" i="24"/>
  <c r="GK34" i="24" l="1"/>
  <c r="BT34" i="32" s="1"/>
  <c r="AC34" i="24"/>
  <c r="K33" i="27"/>
  <c r="BT34" i="7"/>
  <c r="AC34" i="7"/>
  <c r="M34" i="27" s="1"/>
  <c r="DY34" i="7"/>
  <c r="CP34" i="7"/>
  <c r="AG34" i="7" s="1"/>
  <c r="EA34" i="7"/>
  <c r="GK34" i="7"/>
  <c r="AG34" i="27" s="1"/>
  <c r="GM34" i="7"/>
  <c r="EP34" i="7"/>
  <c r="ES34" i="7" s="1"/>
  <c r="AE34" i="7"/>
  <c r="AF34" i="24"/>
  <c r="FB34" i="24"/>
  <c r="GN34" i="24"/>
  <c r="BW34" i="32" s="1"/>
  <c r="EW34" i="24"/>
  <c r="EZ34" i="24" s="1"/>
  <c r="W33" i="24"/>
  <c r="CJ33" i="24"/>
  <c r="CL33" i="24"/>
  <c r="BT34" i="24"/>
  <c r="L33" i="27"/>
  <c r="W33" i="7"/>
  <c r="CJ33" i="7"/>
  <c r="CL33" i="7"/>
  <c r="EP34" i="24"/>
  <c r="ES34" i="24" s="1"/>
  <c r="GM34" i="24"/>
  <c r="BV34" i="32" s="1"/>
  <c r="AE34" i="24"/>
  <c r="CP34" i="24"/>
  <c r="AG34" i="24" s="1"/>
  <c r="EW34" i="7"/>
  <c r="GN34" i="7"/>
  <c r="FB34" i="7"/>
  <c r="AF34" i="7"/>
  <c r="P34" i="27" s="1"/>
  <c r="FK34" i="24" l="1"/>
  <c r="AI34" i="27"/>
  <c r="O34" i="27"/>
  <c r="GS34" i="24"/>
  <c r="GP34" i="24"/>
  <c r="GQ34" i="24"/>
  <c r="GR34" i="24"/>
  <c r="AJ34" i="27"/>
  <c r="V33" i="24"/>
  <c r="CK33" i="24"/>
  <c r="GG33" i="24"/>
  <c r="BP33" i="32" s="1"/>
  <c r="GH33" i="24"/>
  <c r="BQ33" i="32" s="1"/>
  <c r="Q34" i="27"/>
  <c r="G33" i="27"/>
  <c r="FE34" i="24"/>
  <c r="FD34" i="24"/>
  <c r="FC34" i="24"/>
  <c r="V33" i="7"/>
  <c r="CK33" i="7"/>
  <c r="GH33" i="7"/>
  <c r="AD33" i="27" s="1"/>
  <c r="GG33" i="7"/>
  <c r="AC33" i="27" s="1"/>
  <c r="FD34" i="7"/>
  <c r="FE34" i="7"/>
  <c r="FC34" i="7"/>
  <c r="EZ34" i="7"/>
  <c r="EB34" i="7"/>
  <c r="FK34" i="7" l="1"/>
  <c r="GR34" i="7" s="1"/>
  <c r="F33" i="27"/>
  <c r="FG34" i="7"/>
  <c r="FF34" i="7"/>
  <c r="FF34" i="24"/>
  <c r="FG34" i="24"/>
  <c r="GT34" i="24" a="1"/>
  <c r="GT34" i="24" s="1"/>
  <c r="GP34" i="7" l="1"/>
  <c r="GS34" i="7"/>
  <c r="GQ34" i="7"/>
  <c r="GW34" i="24"/>
  <c r="GX34" i="24"/>
  <c r="GU34" i="24"/>
  <c r="BW34" i="24" s="1"/>
  <c r="GV34" i="24"/>
  <c r="BX34" i="24" s="1"/>
  <c r="GT34" i="7" l="1" a="1"/>
  <c r="GT34" i="7" s="1"/>
  <c r="GC34" i="24"/>
  <c r="BL34" i="32" s="1"/>
  <c r="BY34" i="24"/>
  <c r="CB34" i="24" s="1"/>
  <c r="CR34" i="24" s="1"/>
  <c r="DZ34" i="24"/>
  <c r="EH34" i="24"/>
  <c r="GD34" i="24"/>
  <c r="BM34" i="32" s="1"/>
  <c r="GV34" i="7"/>
  <c r="BX34" i="7" s="1"/>
  <c r="GW34" i="7"/>
  <c r="GX34" i="7"/>
  <c r="GU34" i="7"/>
  <c r="BW34" i="7" s="1"/>
  <c r="BZ34" i="24" l="1"/>
  <c r="CA34" i="24" s="1"/>
  <c r="CD34" i="24" s="1"/>
  <c r="CV34" i="24"/>
  <c r="CX34" i="24" s="1"/>
  <c r="CY34" i="24" s="1"/>
  <c r="GC34" i="7"/>
  <c r="Y34" i="27" s="1"/>
  <c r="DZ34" i="7"/>
  <c r="BY34" i="7"/>
  <c r="BZ34" i="7" s="1"/>
  <c r="GD34" i="7"/>
  <c r="Z34" i="27" s="1"/>
  <c r="EH34" i="7"/>
  <c r="EX34" i="24"/>
  <c r="FH34" i="24" s="1"/>
  <c r="GE34" i="24"/>
  <c r="BN34" i="32" s="1"/>
  <c r="GF34" i="24" l="1"/>
  <c r="BO34" i="32" s="1"/>
  <c r="EQ34" i="24"/>
  <c r="GF34" i="7"/>
  <c r="EQ34" i="7"/>
  <c r="DA34" i="24"/>
  <c r="FI34" i="24"/>
  <c r="FA35" i="24"/>
  <c r="CB34" i="7"/>
  <c r="CR34" i="7" s="1"/>
  <c r="CA34" i="7"/>
  <c r="CD34" i="7" s="1"/>
  <c r="GE34" i="7"/>
  <c r="AA34" i="27" s="1"/>
  <c r="EX34" i="7"/>
  <c r="FH34" i="7" s="1"/>
  <c r="Z34" i="24"/>
  <c r="EF34" i="24"/>
  <c r="EE35" i="24" s="1"/>
  <c r="DC34" i="24"/>
  <c r="DD34" i="24" s="1"/>
  <c r="AB34" i="27" l="1"/>
  <c r="CV34" i="7"/>
  <c r="CX34" i="7" s="1"/>
  <c r="CY34" i="7" s="1"/>
  <c r="AD35" i="24"/>
  <c r="GL35" i="24"/>
  <c r="BU35" i="32" s="1"/>
  <c r="EI35" i="24"/>
  <c r="EJ35" i="24"/>
  <c r="EG35" i="24"/>
  <c r="DE34" i="24"/>
  <c r="CE34" i="24" s="1"/>
  <c r="FI34" i="7"/>
  <c r="FA35" i="7"/>
  <c r="DF34" i="24" l="1"/>
  <c r="BS35" i="24" s="1"/>
  <c r="DA34" i="7"/>
  <c r="Y34" i="24"/>
  <c r="DH34" i="24"/>
  <c r="FT34" i="24" s="1"/>
  <c r="AL34" i="7" s="1"/>
  <c r="DJ34" i="24"/>
  <c r="DN34" i="24" s="1"/>
  <c r="Z34" i="7"/>
  <c r="J34" i="27" s="1"/>
  <c r="EF34" i="7"/>
  <c r="EE35" i="7" s="1"/>
  <c r="DC34" i="7"/>
  <c r="DD34" i="7" s="1"/>
  <c r="CH34" i="24"/>
  <c r="CI34" i="24"/>
  <c r="DG34" i="24" l="1"/>
  <c r="DE34" i="7"/>
  <c r="DF34" i="7" s="1"/>
  <c r="BS35" i="7" s="1"/>
  <c r="GL35" i="7"/>
  <c r="AH35" i="27" s="1"/>
  <c r="AD35" i="7"/>
  <c r="N35" i="27" s="1"/>
  <c r="EG35" i="7"/>
  <c r="EI35" i="7"/>
  <c r="EJ35" i="7"/>
  <c r="EO34" i="24"/>
  <c r="EN35" i="24" s="1"/>
  <c r="AA34" i="24"/>
  <c r="DO34" i="24"/>
  <c r="DM35" i="24" s="1"/>
  <c r="DQ34" i="24"/>
  <c r="W34" i="24"/>
  <c r="CL34" i="24"/>
  <c r="CJ34" i="24"/>
  <c r="CK34" i="24" l="1"/>
  <c r="GH34" i="24"/>
  <c r="BQ34" i="32" s="1"/>
  <c r="V34" i="24"/>
  <c r="GG34" i="24"/>
  <c r="BP34" i="32" s="1"/>
  <c r="AB34" i="24"/>
  <c r="EV34" i="24"/>
  <c r="EU35" i="24" s="1"/>
  <c r="BT35" i="24"/>
  <c r="GM35" i="24"/>
  <c r="BV35" i="32" s="1"/>
  <c r="AE35" i="24"/>
  <c r="EP35" i="24"/>
  <c r="ES35" i="24" s="1"/>
  <c r="DH34" i="7"/>
  <c r="FT34" i="7" s="1"/>
  <c r="AL34" i="24" s="1"/>
  <c r="DX34" i="24" s="1"/>
  <c r="DW35" i="24" s="1"/>
  <c r="Y34" i="7"/>
  <c r="I34" i="27" s="1"/>
  <c r="DJ34" i="7"/>
  <c r="DN34" i="7" s="1"/>
  <c r="DQ34" i="7" s="1"/>
  <c r="CE34" i="7"/>
  <c r="AB34" i="7" l="1"/>
  <c r="L34" i="27" s="1"/>
  <c r="EV34" i="7"/>
  <c r="EU35" i="7" s="1"/>
  <c r="DG34" i="7"/>
  <c r="DX34" i="7" s="1"/>
  <c r="DW35" i="7" s="1"/>
  <c r="AC35" i="24"/>
  <c r="CP35" i="24"/>
  <c r="AG35" i="24" s="1"/>
  <c r="GK35" i="24"/>
  <c r="BT35" i="32" s="1"/>
  <c r="DY35" i="24"/>
  <c r="EB35" i="24" s="1"/>
  <c r="EA35" i="24"/>
  <c r="EW35" i="24"/>
  <c r="GN35" i="24"/>
  <c r="BW35" i="32" s="1"/>
  <c r="FB35" i="24"/>
  <c r="AF35" i="24"/>
  <c r="AA34" i="7"/>
  <c r="K34" i="27" s="1"/>
  <c r="EO34" i="7"/>
  <c r="EN35" i="7" s="1"/>
  <c r="DO34" i="7"/>
  <c r="DM35" i="7" s="1"/>
  <c r="CI34" i="7"/>
  <c r="CH34" i="7"/>
  <c r="BT35" i="7" l="1"/>
  <c r="FC35" i="24"/>
  <c r="FE35" i="24"/>
  <c r="FD35" i="24"/>
  <c r="GK35" i="7"/>
  <c r="AG35" i="27" s="1"/>
  <c r="DY35" i="7"/>
  <c r="EB35" i="7" s="1"/>
  <c r="EA35" i="7"/>
  <c r="CP35" i="7"/>
  <c r="AG35" i="7" s="1"/>
  <c r="Q35" i="27" s="1"/>
  <c r="AC35" i="7"/>
  <c r="M35" i="27" s="1"/>
  <c r="W34" i="7"/>
  <c r="G34" i="27" s="1"/>
  <c r="CJ34" i="7"/>
  <c r="CL34" i="7"/>
  <c r="GN35" i="7"/>
  <c r="AJ35" i="27" s="1"/>
  <c r="AF35" i="7"/>
  <c r="P35" i="27" s="1"/>
  <c r="FB35" i="7"/>
  <c r="EW35" i="7"/>
  <c r="EZ35" i="7" s="1"/>
  <c r="AE35" i="7"/>
  <c r="O35" i="27" s="1"/>
  <c r="GM35" i="7"/>
  <c r="AI35" i="27" s="1"/>
  <c r="EP35" i="7"/>
  <c r="ES35" i="7" s="1"/>
  <c r="EZ35" i="24"/>
  <c r="FK35" i="24" s="1"/>
  <c r="GR35" i="24" l="1"/>
  <c r="GP35" i="24"/>
  <c r="GQ35" i="24"/>
  <c r="GS35" i="24"/>
  <c r="FF35" i="24"/>
  <c r="FG35" i="24"/>
  <c r="FK35" i="7"/>
  <c r="FE35" i="7"/>
  <c r="FC35" i="7"/>
  <c r="FD35" i="7"/>
  <c r="GH34" i="7"/>
  <c r="AD34" i="27" s="1"/>
  <c r="GG34" i="7"/>
  <c r="AC34" i="27" s="1"/>
  <c r="V34" i="7"/>
  <c r="F34" i="27" s="1"/>
  <c r="CK34" i="7"/>
  <c r="GS35" i="7" l="1"/>
  <c r="GP35" i="7"/>
  <c r="GQ35" i="7"/>
  <c r="GR35" i="7"/>
  <c r="GT35" i="24" a="1"/>
  <c r="GT35" i="24" s="1"/>
  <c r="FF35" i="7"/>
  <c r="FG35" i="7"/>
  <c r="GT35" i="7" l="1" a="1"/>
  <c r="GT35" i="7" s="1"/>
  <c r="GV35" i="24"/>
  <c r="BX35" i="24" s="1"/>
  <c r="GW35" i="24"/>
  <c r="GU35" i="24"/>
  <c r="BW35" i="24" s="1"/>
  <c r="GX35" i="24"/>
  <c r="BY35" i="24" l="1"/>
  <c r="CB35" i="24" s="1"/>
  <c r="CR35" i="24" s="1"/>
  <c r="GC35" i="24"/>
  <c r="BL35" i="32" s="1"/>
  <c r="DZ35" i="24"/>
  <c r="EH35" i="24"/>
  <c r="GD35" i="24"/>
  <c r="BM35" i="32" s="1"/>
  <c r="GW35" i="7"/>
  <c r="GU35" i="7"/>
  <c r="BW35" i="7" s="1"/>
  <c r="GX35" i="7"/>
  <c r="GV35" i="7"/>
  <c r="BX35" i="7" s="1"/>
  <c r="BZ35" i="24" l="1"/>
  <c r="CA35" i="24" s="1"/>
  <c r="CD35" i="24" s="1"/>
  <c r="CV35" i="24"/>
  <c r="CX35" i="24" s="1"/>
  <c r="EH35" i="7"/>
  <c r="GD35" i="7"/>
  <c r="Z35" i="27" s="1"/>
  <c r="GC35" i="7"/>
  <c r="Y35" i="27" s="1"/>
  <c r="BY35" i="7"/>
  <c r="CB35" i="7" s="1"/>
  <c r="CR35" i="7" s="1"/>
  <c r="DZ35" i="7"/>
  <c r="GE35" i="24"/>
  <c r="BN35" i="32" s="1"/>
  <c r="EX35" i="24"/>
  <c r="FH35" i="24" s="1"/>
  <c r="GF35" i="24" l="1"/>
  <c r="BO35" i="32" s="1"/>
  <c r="EQ35" i="24"/>
  <c r="BZ35" i="7"/>
  <c r="CA35" i="7" s="1"/>
  <c r="CD35" i="7" s="1"/>
  <c r="CV35" i="7"/>
  <c r="CX35" i="7" s="1"/>
  <c r="CY35" i="7" s="1"/>
  <c r="Z35" i="24"/>
  <c r="DC35" i="24"/>
  <c r="DD35" i="24" s="1"/>
  <c r="EF35" i="24"/>
  <c r="EE36" i="24" s="1"/>
  <c r="CY35" i="24"/>
  <c r="GE35" i="7"/>
  <c r="AA35" i="27" s="1"/>
  <c r="EX35" i="7"/>
  <c r="FH35" i="7" s="1"/>
  <c r="FI35" i="24"/>
  <c r="FA36" i="24"/>
  <c r="GF35" i="7" l="1"/>
  <c r="AB35" i="27" s="1"/>
  <c r="EQ35" i="7"/>
  <c r="FI35" i="7"/>
  <c r="FA36" i="7"/>
  <c r="EF35" i="7"/>
  <c r="EE36" i="7" s="1"/>
  <c r="DC35" i="7"/>
  <c r="DD35" i="7" s="1"/>
  <c r="Z35" i="7"/>
  <c r="J35" i="27" s="1"/>
  <c r="DA35" i="7"/>
  <c r="DA35" i="24"/>
  <c r="DE35" i="24" s="1"/>
  <c r="EI36" i="24"/>
  <c r="AD36" i="24"/>
  <c r="GL36" i="24"/>
  <c r="BU36" i="32" s="1"/>
  <c r="EG36" i="24"/>
  <c r="EJ36" i="24"/>
  <c r="Y35" i="24" l="1"/>
  <c r="DH35" i="24"/>
  <c r="FT35" i="24" s="1"/>
  <c r="AL35" i="7" s="1"/>
  <c r="DF35" i="24"/>
  <c r="BS36" i="24" s="1"/>
  <c r="CE35" i="24"/>
  <c r="DJ35" i="24"/>
  <c r="DN35" i="24" s="1"/>
  <c r="DQ35" i="24" s="1"/>
  <c r="DE35" i="7"/>
  <c r="CE35" i="7" s="1"/>
  <c r="EI36" i="7"/>
  <c r="EJ36" i="7"/>
  <c r="EG36" i="7"/>
  <c r="GL36" i="7"/>
  <c r="AH36" i="27" s="1"/>
  <c r="AD36" i="7"/>
  <c r="N36" i="27" s="1"/>
  <c r="EV35" i="24" l="1"/>
  <c r="EU36" i="24" s="1"/>
  <c r="AB35" i="24"/>
  <c r="EO35" i="24"/>
  <c r="EN36" i="24" s="1"/>
  <c r="AA35" i="24"/>
  <c r="DO35" i="24"/>
  <c r="DM36" i="24" s="1"/>
  <c r="Y35" i="7"/>
  <c r="I35" i="27" s="1"/>
  <c r="DH35" i="7"/>
  <c r="FT35" i="7" s="1"/>
  <c r="AL35" i="24" s="1"/>
  <c r="DJ35" i="7"/>
  <c r="DN35" i="7" s="1"/>
  <c r="DQ35" i="7" s="1"/>
  <c r="DG35" i="24"/>
  <c r="DF35" i="7"/>
  <c r="BS36" i="7" s="1"/>
  <c r="CI35" i="7"/>
  <c r="CH35" i="7"/>
  <c r="CH35" i="24"/>
  <c r="CI35" i="24"/>
  <c r="DX35" i="24" l="1"/>
  <c r="DW36" i="24" s="1"/>
  <c r="EA36" i="24" s="1"/>
  <c r="W35" i="7"/>
  <c r="CJ35" i="7"/>
  <c r="CL35" i="7"/>
  <c r="W35" i="24"/>
  <c r="CL35" i="24"/>
  <c r="CJ35" i="24"/>
  <c r="AB35" i="7"/>
  <c r="L35" i="27" s="1"/>
  <c r="EV35" i="7"/>
  <c r="EU36" i="7" s="1"/>
  <c r="AA35" i="7"/>
  <c r="K35" i="27" s="1"/>
  <c r="EO35" i="7"/>
  <c r="EN36" i="7" s="1"/>
  <c r="DO35" i="7"/>
  <c r="DM36" i="7" s="1"/>
  <c r="BT36" i="24"/>
  <c r="AE36" i="24"/>
  <c r="EP36" i="24"/>
  <c r="GM36" i="24"/>
  <c r="BV36" i="32" s="1"/>
  <c r="DG35" i="7"/>
  <c r="DX35" i="7" s="1"/>
  <c r="DW36" i="7" s="1"/>
  <c r="FB36" i="24"/>
  <c r="EW36" i="24"/>
  <c r="EZ36" i="24" s="1"/>
  <c r="GN36" i="24"/>
  <c r="BW36" i="32" s="1"/>
  <c r="AF36" i="24"/>
  <c r="AC36" i="24" l="1"/>
  <c r="DY36" i="24"/>
  <c r="CP36" i="24"/>
  <c r="AG36" i="24" s="1"/>
  <c r="GK36" i="24"/>
  <c r="BT36" i="32" s="1"/>
  <c r="ES36" i="24"/>
  <c r="GN36" i="7"/>
  <c r="AJ36" i="27" s="1"/>
  <c r="EW36" i="7"/>
  <c r="EZ36" i="7" s="1"/>
  <c r="FB36" i="7"/>
  <c r="AF36" i="7"/>
  <c r="P36" i="27" s="1"/>
  <c r="GH35" i="24"/>
  <c r="BQ35" i="32" s="1"/>
  <c r="CK35" i="24"/>
  <c r="V35" i="24"/>
  <c r="GG35" i="24"/>
  <c r="BP35" i="32" s="1"/>
  <c r="FD36" i="24"/>
  <c r="FC36" i="24"/>
  <c r="FE36" i="24"/>
  <c r="EB36" i="24"/>
  <c r="AC36" i="7"/>
  <c r="M36" i="27" s="1"/>
  <c r="DY36" i="7"/>
  <c r="EB36" i="7" s="1"/>
  <c r="CP36" i="7"/>
  <c r="AG36" i="7" s="1"/>
  <c r="Q36" i="27" s="1"/>
  <c r="GK36" i="7"/>
  <c r="AG36" i="27" s="1"/>
  <c r="EA36" i="7"/>
  <c r="BT36" i="7"/>
  <c r="GM36" i="7"/>
  <c r="AI36" i="27" s="1"/>
  <c r="EP36" i="7"/>
  <c r="ES36" i="7" s="1"/>
  <c r="AE36" i="7"/>
  <c r="O36" i="27" s="1"/>
  <c r="CK35" i="7"/>
  <c r="GG35" i="7"/>
  <c r="GH35" i="7"/>
  <c r="V35" i="7"/>
  <c r="F35" i="27" s="1"/>
  <c r="G35" i="27"/>
  <c r="FK36" i="24" l="1"/>
  <c r="GP36" i="24" s="1"/>
  <c r="AD35" i="27"/>
  <c r="AC35" i="27"/>
  <c r="FE36" i="7"/>
  <c r="FC36" i="7"/>
  <c r="FD36" i="7"/>
  <c r="FK36" i="7"/>
  <c r="GR36" i="24"/>
  <c r="FG36" i="24"/>
  <c r="FF36" i="24"/>
  <c r="GQ36" i="24" l="1"/>
  <c r="GS36" i="24"/>
  <c r="GR36" i="7"/>
  <c r="GQ36" i="7"/>
  <c r="GP36" i="7"/>
  <c r="GS36" i="7"/>
  <c r="FG36" i="7"/>
  <c r="FF36" i="7"/>
  <c r="GT36" i="24" l="1" a="1"/>
  <c r="GT36" i="24" s="1"/>
  <c r="GT36" i="7" a="1"/>
  <c r="GT36" i="7" s="1"/>
  <c r="GU36" i="7" s="1"/>
  <c r="BW36" i="7" s="1"/>
  <c r="GX36" i="24"/>
  <c r="GV36" i="24"/>
  <c r="BX36" i="24" s="1"/>
  <c r="GW36" i="24"/>
  <c r="GU36" i="24"/>
  <c r="BW36" i="24" s="1"/>
  <c r="GW36" i="7" l="1"/>
  <c r="GV36" i="7"/>
  <c r="BX36" i="7" s="1"/>
  <c r="BY36" i="7" s="1"/>
  <c r="CB36" i="7" s="1"/>
  <c r="CR36" i="7" s="1"/>
  <c r="GX36" i="7"/>
  <c r="BY36" i="24"/>
  <c r="BZ36" i="24" s="1"/>
  <c r="GC36" i="24"/>
  <c r="BL36" i="32" s="1"/>
  <c r="DZ36" i="24"/>
  <c r="GC36" i="7"/>
  <c r="DZ36" i="7"/>
  <c r="EH36" i="24"/>
  <c r="GD36" i="24"/>
  <c r="BM36" i="32" s="1"/>
  <c r="GD36" i="7" l="1"/>
  <c r="Z36" i="27" s="1"/>
  <c r="EH36" i="7"/>
  <c r="CB36" i="24"/>
  <c r="CR36" i="24" s="1"/>
  <c r="CV36" i="24" s="1"/>
  <c r="CX36" i="24" s="1"/>
  <c r="CY36" i="24" s="1"/>
  <c r="BZ36" i="7"/>
  <c r="CA36" i="7" s="1"/>
  <c r="CD36" i="7" s="1"/>
  <c r="CA36" i="24"/>
  <c r="CD36" i="24" s="1"/>
  <c r="CV36" i="7"/>
  <c r="CX36" i="7" s="1"/>
  <c r="CY36" i="7" s="1"/>
  <c r="EQ36" i="24"/>
  <c r="GF36" i="24"/>
  <c r="BO36" i="32" s="1"/>
  <c r="Y36" i="27"/>
  <c r="GE36" i="24"/>
  <c r="BN36" i="32" s="1"/>
  <c r="EX36" i="24"/>
  <c r="FH36" i="24" s="1"/>
  <c r="GE36" i="7"/>
  <c r="EX36" i="7"/>
  <c r="FH36" i="7" s="1"/>
  <c r="EQ36" i="7" l="1"/>
  <c r="GF36" i="7"/>
  <c r="AA36" i="27"/>
  <c r="AB36" i="27"/>
  <c r="DA36" i="24"/>
  <c r="DA36" i="7"/>
  <c r="EF36" i="24"/>
  <c r="EE37" i="24" s="1"/>
  <c r="DC36" i="24"/>
  <c r="DD36" i="24" s="1"/>
  <c r="Z36" i="24"/>
  <c r="FI36" i="24"/>
  <c r="FA37" i="24"/>
  <c r="EF36" i="7"/>
  <c r="EE37" i="7" s="1"/>
  <c r="DC36" i="7"/>
  <c r="DD36" i="7" s="1"/>
  <c r="Z36" i="7"/>
  <c r="FI36" i="7"/>
  <c r="FA37" i="7"/>
  <c r="J36" i="27" l="1"/>
  <c r="DE36" i="24"/>
  <c r="AD37" i="24"/>
  <c r="EI37" i="24"/>
  <c r="GL37" i="24"/>
  <c r="BU37" i="32" s="1"/>
  <c r="EG37" i="24"/>
  <c r="EJ37" i="24"/>
  <c r="EG37" i="7"/>
  <c r="AD37" i="7"/>
  <c r="EI37" i="7"/>
  <c r="GL37" i="7"/>
  <c r="EJ37" i="7"/>
  <c r="DE36" i="7"/>
  <c r="CE36" i="7" s="1"/>
  <c r="CE36" i="24"/>
  <c r="N37" i="27" l="1"/>
  <c r="AH37" i="27"/>
  <c r="DF36" i="7"/>
  <c r="BS37" i="7" s="1"/>
  <c r="DH36" i="24"/>
  <c r="FT36" i="24" s="1"/>
  <c r="AL36" i="7" s="1"/>
  <c r="Y36" i="24"/>
  <c r="DJ36" i="24"/>
  <c r="DN36" i="24" s="1"/>
  <c r="DH36" i="7"/>
  <c r="FT36" i="7" s="1"/>
  <c r="AL36" i="24" s="1"/>
  <c r="Y36" i="7"/>
  <c r="DJ36" i="7"/>
  <c r="DN36" i="7" s="1"/>
  <c r="DQ36" i="7" s="1"/>
  <c r="DF36" i="24"/>
  <c r="BS37" i="24" s="1"/>
  <c r="CI36" i="7"/>
  <c r="CH36" i="7"/>
  <c r="CI36" i="24"/>
  <c r="CH36" i="24"/>
  <c r="DG36" i="24" l="1"/>
  <c r="DX36" i="24" s="1"/>
  <c r="DW37" i="24" s="1"/>
  <c r="I36" i="27"/>
  <c r="DG36" i="7"/>
  <c r="DX36" i="7" s="1"/>
  <c r="DW37" i="7" s="1"/>
  <c r="AC37" i="7" s="1"/>
  <c r="W36" i="24"/>
  <c r="CJ36" i="24"/>
  <c r="CL36" i="24"/>
  <c r="EO36" i="24"/>
  <c r="EN37" i="24" s="1"/>
  <c r="AA36" i="24"/>
  <c r="DO36" i="24"/>
  <c r="DM37" i="24" s="1"/>
  <c r="EV36" i="7"/>
  <c r="EU37" i="7" s="1"/>
  <c r="AB36" i="7"/>
  <c r="DQ36" i="24"/>
  <c r="AA36" i="7"/>
  <c r="EO36" i="7"/>
  <c r="EN37" i="7" s="1"/>
  <c r="DO36" i="7"/>
  <c r="DM37" i="7" s="1"/>
  <c r="W36" i="7"/>
  <c r="CJ36" i="7"/>
  <c r="CL36" i="7"/>
  <c r="G36" i="27" l="1"/>
  <c r="DY37" i="7"/>
  <c r="EB37" i="7" s="1"/>
  <c r="EA37" i="7"/>
  <c r="GK37" i="7"/>
  <c r="CP37" i="7"/>
  <c r="AG37" i="7" s="1"/>
  <c r="GN37" i="7"/>
  <c r="AF37" i="7"/>
  <c r="FB37" i="7"/>
  <c r="EW37" i="7"/>
  <c r="BT37" i="24"/>
  <c r="GK37" i="24"/>
  <c r="BT37" i="32" s="1"/>
  <c r="EA37" i="24"/>
  <c r="DY37" i="24"/>
  <c r="EB37" i="24" s="1"/>
  <c r="AC37" i="24"/>
  <c r="M37" i="27" s="1"/>
  <c r="BT37" i="7"/>
  <c r="EP37" i="24"/>
  <c r="ES37" i="24" s="1"/>
  <c r="GM37" i="24"/>
  <c r="BV37" i="32" s="1"/>
  <c r="AE37" i="24"/>
  <c r="AE37" i="7"/>
  <c r="EP37" i="7"/>
  <c r="ES37" i="7" s="1"/>
  <c r="GM37" i="7"/>
  <c r="CK36" i="7"/>
  <c r="V36" i="7"/>
  <c r="GH36" i="7"/>
  <c r="GG36" i="7"/>
  <c r="K36" i="27"/>
  <c r="GH36" i="24"/>
  <c r="BQ36" i="32" s="1"/>
  <c r="GG36" i="24"/>
  <c r="BP36" i="32" s="1"/>
  <c r="V36" i="24"/>
  <c r="CK36" i="24"/>
  <c r="AB36" i="24"/>
  <c r="L36" i="27" s="1"/>
  <c r="EV36" i="24"/>
  <c r="EU37" i="24" s="1"/>
  <c r="O37" i="27" l="1"/>
  <c r="AC36" i="27"/>
  <c r="F36" i="27"/>
  <c r="AD36" i="27"/>
  <c r="AG37" i="27"/>
  <c r="AI37" i="27"/>
  <c r="AF37" i="24"/>
  <c r="P37" i="27" s="1"/>
  <c r="FB37" i="24"/>
  <c r="EW37" i="24"/>
  <c r="EZ37" i="24" s="1"/>
  <c r="FK37" i="24" s="1"/>
  <c r="GN37" i="24"/>
  <c r="BW37" i="32" s="1"/>
  <c r="CP37" i="24"/>
  <c r="AG37" i="24" s="1"/>
  <c r="Q37" i="27" s="1"/>
  <c r="FC37" i="7"/>
  <c r="FE37" i="7"/>
  <c r="FD37" i="7"/>
  <c r="EZ37" i="7"/>
  <c r="FK37" i="7" s="1"/>
  <c r="AJ37" i="27" l="1"/>
  <c r="GR37" i="7"/>
  <c r="GS37" i="7"/>
  <c r="GP37" i="7"/>
  <c r="GQ37" i="7"/>
  <c r="GR37" i="24"/>
  <c r="GS37" i="24"/>
  <c r="GQ37" i="24"/>
  <c r="GP37" i="24"/>
  <c r="FC37" i="24"/>
  <c r="FE37" i="24"/>
  <c r="FD37" i="24"/>
  <c r="FG37" i="7"/>
  <c r="FF37" i="7"/>
  <c r="GT37" i="24" l="1" a="1"/>
  <c r="GT37" i="24" s="1"/>
  <c r="GU37" i="24" s="1"/>
  <c r="BW37" i="24" s="1"/>
  <c r="GT37" i="7" a="1"/>
  <c r="GT37" i="7" s="1"/>
  <c r="FG37" i="24"/>
  <c r="FF37" i="24"/>
  <c r="GX37" i="24" l="1"/>
  <c r="GW37" i="24"/>
  <c r="GV37" i="24"/>
  <c r="BX37" i="24" s="1"/>
  <c r="GD37" i="24" s="1"/>
  <c r="BM37" i="32" s="1"/>
  <c r="GW37" i="7"/>
  <c r="GV37" i="7"/>
  <c r="BX37" i="7" s="1"/>
  <c r="GU37" i="7"/>
  <c r="BW37" i="7" s="1"/>
  <c r="GX37" i="7"/>
  <c r="GC37" i="24"/>
  <c r="BL37" i="32" s="1"/>
  <c r="DZ37" i="24"/>
  <c r="EH37" i="24" l="1"/>
  <c r="BY37" i="24"/>
  <c r="CB37" i="24" s="1"/>
  <c r="CR37" i="24" s="1"/>
  <c r="BY37" i="7"/>
  <c r="CB37" i="7" s="1"/>
  <c r="CR37" i="7" s="1"/>
  <c r="GC37" i="7"/>
  <c r="Y37" i="27" s="1"/>
  <c r="DZ37" i="7"/>
  <c r="EH37" i="7"/>
  <c r="GD37" i="7"/>
  <c r="Z37" i="27" s="1"/>
  <c r="EX37" i="24" l="1"/>
  <c r="FH37" i="24" s="1"/>
  <c r="FI37" i="24" s="1"/>
  <c r="GE37" i="24"/>
  <c r="BN37" i="32" s="1"/>
  <c r="BZ37" i="24"/>
  <c r="GF37" i="24" s="1"/>
  <c r="BO37" i="32" s="1"/>
  <c r="BZ37" i="7"/>
  <c r="GF37" i="7" s="1"/>
  <c r="CV37" i="7"/>
  <c r="CX37" i="7" s="1"/>
  <c r="CY37" i="7" s="1"/>
  <c r="EQ37" i="7"/>
  <c r="EX37" i="7"/>
  <c r="FH37" i="7" s="1"/>
  <c r="GE37" i="7"/>
  <c r="CV37" i="24"/>
  <c r="CX37" i="24" s="1"/>
  <c r="FA38" i="24" l="1"/>
  <c r="CA37" i="24"/>
  <c r="CD37" i="24" s="1"/>
  <c r="EQ37" i="24"/>
  <c r="AA37" i="27"/>
  <c r="AB37" i="27"/>
  <c r="CA37" i="7"/>
  <c r="CD37" i="7" s="1"/>
  <c r="FI37" i="7"/>
  <c r="FA38" i="7"/>
  <c r="EF37" i="24"/>
  <c r="EE38" i="24" s="1"/>
  <c r="DC37" i="24"/>
  <c r="DD37" i="24" s="1"/>
  <c r="Z37" i="24"/>
  <c r="CY37" i="24"/>
  <c r="DA37" i="7"/>
  <c r="DC37" i="7"/>
  <c r="DD37" i="7" s="1"/>
  <c r="Z37" i="7"/>
  <c r="EF37" i="7"/>
  <c r="EE38" i="7" s="1"/>
  <c r="J37" i="27" l="1"/>
  <c r="DE37" i="7"/>
  <c r="DF37" i="7" s="1"/>
  <c r="BS38" i="7" s="1"/>
  <c r="DA37" i="24"/>
  <c r="DE37" i="24" s="1"/>
  <c r="DF37" i="24" s="1"/>
  <c r="BS38" i="24" s="1"/>
  <c r="AD38" i="7"/>
  <c r="GL38" i="7"/>
  <c r="EG38" i="7"/>
  <c r="EJ38" i="7"/>
  <c r="EI38" i="7"/>
  <c r="EG38" i="24"/>
  <c r="EJ38" i="24"/>
  <c r="GL38" i="24"/>
  <c r="BU38" i="32" s="1"/>
  <c r="EI38" i="24"/>
  <c r="AD38" i="24"/>
  <c r="CE37" i="7" l="1"/>
  <c r="AH38" i="27"/>
  <c r="N38" i="27"/>
  <c r="Y37" i="24"/>
  <c r="DH37" i="24"/>
  <c r="FT37" i="24" s="1"/>
  <c r="AL37" i="7" s="1"/>
  <c r="CE37" i="24"/>
  <c r="DJ37" i="24"/>
  <c r="DN37" i="24" s="1"/>
  <c r="Y37" i="7"/>
  <c r="DH37" i="7"/>
  <c r="FT37" i="7" s="1"/>
  <c r="AL37" i="24" s="1"/>
  <c r="DJ37" i="7"/>
  <c r="DN37" i="7" s="1"/>
  <c r="DQ37" i="7" s="1"/>
  <c r="CI37" i="7"/>
  <c r="CH37" i="7"/>
  <c r="I37" i="27" l="1"/>
  <c r="EV37" i="7"/>
  <c r="EU38" i="7" s="1"/>
  <c r="AB37" i="7"/>
  <c r="DG37" i="24"/>
  <c r="DX37" i="24" s="1"/>
  <c r="DW38" i="24" s="1"/>
  <c r="W37" i="7"/>
  <c r="CL37" i="7"/>
  <c r="CJ37" i="7"/>
  <c r="AA37" i="7"/>
  <c r="EO37" i="7"/>
  <c r="EN38" i="7" s="1"/>
  <c r="DO37" i="7"/>
  <c r="DM38" i="7" s="1"/>
  <c r="DG37" i="7"/>
  <c r="DX37" i="7" s="1"/>
  <c r="DW38" i="7" s="1"/>
  <c r="AA37" i="24"/>
  <c r="EO37" i="24"/>
  <c r="EN38" i="24" s="1"/>
  <c r="DO37" i="24"/>
  <c r="DM38" i="24" s="1"/>
  <c r="DQ37" i="24"/>
  <c r="CH37" i="24"/>
  <c r="CI37" i="24"/>
  <c r="CK37" i="7" l="1"/>
  <c r="GG37" i="7"/>
  <c r="GH37" i="7"/>
  <c r="V37" i="7"/>
  <c r="BT38" i="24"/>
  <c r="AE38" i="24"/>
  <c r="GM38" i="24"/>
  <c r="BV38" i="32" s="1"/>
  <c r="ES38" i="24"/>
  <c r="EP38" i="24"/>
  <c r="AC38" i="24"/>
  <c r="EA38" i="24"/>
  <c r="GK38" i="24"/>
  <c r="BT38" i="32" s="1"/>
  <c r="DY38" i="24"/>
  <c r="AB37" i="24"/>
  <c r="L37" i="27" s="1"/>
  <c r="EV37" i="24"/>
  <c r="EU38" i="24" s="1"/>
  <c r="W37" i="24"/>
  <c r="G37" i="27" s="1"/>
  <c r="CL37" i="24"/>
  <c r="CJ37" i="24"/>
  <c r="AC38" i="7"/>
  <c r="EA38" i="7"/>
  <c r="DY38" i="7"/>
  <c r="EB38" i="7" s="1"/>
  <c r="CP38" i="7"/>
  <c r="AG38" i="7" s="1"/>
  <c r="GK38" i="7"/>
  <c r="AG38" i="27" s="1"/>
  <c r="AE38" i="7"/>
  <c r="EP38" i="7"/>
  <c r="GM38" i="7"/>
  <c r="BT38" i="7"/>
  <c r="K37" i="27"/>
  <c r="AF38" i="7"/>
  <c r="FB38" i="7"/>
  <c r="GN38" i="7"/>
  <c r="EW38" i="7"/>
  <c r="EZ38" i="7" s="1"/>
  <c r="O38" i="27" l="1"/>
  <c r="AI38" i="27"/>
  <c r="M38" i="27"/>
  <c r="FC38" i="7"/>
  <c r="FE38" i="7"/>
  <c r="FD38" i="7"/>
  <c r="FB38" i="24"/>
  <c r="AF38" i="24"/>
  <c r="P38" i="27" s="1"/>
  <c r="GN38" i="24"/>
  <c r="BW38" i="32" s="1"/>
  <c r="EW38" i="24"/>
  <c r="EB38" i="24"/>
  <c r="ES38" i="7"/>
  <c r="FK38" i="7" s="1"/>
  <c r="CP38" i="24"/>
  <c r="AG38" i="24" s="1"/>
  <c r="Q38" i="27" s="1"/>
  <c r="CK37" i="24"/>
  <c r="GG37" i="24"/>
  <c r="BP37" i="32" s="1"/>
  <c r="GH37" i="24"/>
  <c r="BQ37" i="32" s="1"/>
  <c r="V37" i="24"/>
  <c r="F37" i="27" s="1"/>
  <c r="AC37" i="27" l="1"/>
  <c r="AJ38" i="27"/>
  <c r="AD37" i="27"/>
  <c r="GR38" i="7"/>
  <c r="GQ38" i="7"/>
  <c r="GS38" i="7"/>
  <c r="GP38" i="7"/>
  <c r="FC38" i="24"/>
  <c r="FD38" i="24"/>
  <c r="FE38" i="24"/>
  <c r="FF38" i="7"/>
  <c r="FG38" i="7"/>
  <c r="EZ38" i="24"/>
  <c r="FK38" i="24" s="1"/>
  <c r="GT38" i="7" l="1" a="1"/>
  <c r="GT38" i="7" s="1"/>
  <c r="GU38" i="7" s="1"/>
  <c r="BW38" i="7" s="1"/>
  <c r="GP38" i="24"/>
  <c r="GS38" i="24"/>
  <c r="GQ38" i="24"/>
  <c r="GR38" i="24"/>
  <c r="FF38" i="24"/>
  <c r="FG38" i="24"/>
  <c r="GW38" i="7" l="1"/>
  <c r="GX38" i="7"/>
  <c r="GV38" i="7"/>
  <c r="BX38" i="7" s="1"/>
  <c r="EH38" i="7" s="1"/>
  <c r="GC38" i="7"/>
  <c r="DZ38" i="7"/>
  <c r="GT38" i="24" a="1"/>
  <c r="GT38" i="24" s="1"/>
  <c r="BY38" i="7" l="1"/>
  <c r="BZ38" i="7" s="1"/>
  <c r="EQ38" i="7" s="1"/>
  <c r="GD38" i="7"/>
  <c r="GE38" i="7"/>
  <c r="GV38" i="24"/>
  <c r="BX38" i="24" s="1"/>
  <c r="GU38" i="24"/>
  <c r="BW38" i="24" s="1"/>
  <c r="GX38" i="24"/>
  <c r="GW38" i="24"/>
  <c r="EX38" i="7" l="1"/>
  <c r="FH38" i="7" s="1"/>
  <c r="CB38" i="7"/>
  <c r="CR38" i="7" s="1"/>
  <c r="CV38" i="7" s="1"/>
  <c r="CX38" i="7" s="1"/>
  <c r="CY38" i="7" s="1"/>
  <c r="CA38" i="7"/>
  <c r="CD38" i="7" s="1"/>
  <c r="GF38" i="7"/>
  <c r="GD38" i="24"/>
  <c r="EH38" i="24"/>
  <c r="FI38" i="7"/>
  <c r="FA39" i="7"/>
  <c r="GC38" i="24"/>
  <c r="BY38" i="24"/>
  <c r="BZ38" i="24" s="1"/>
  <c r="DZ38" i="24"/>
  <c r="CA38" i="24" l="1"/>
  <c r="CD38" i="24" s="1"/>
  <c r="DA38" i="7"/>
  <c r="EQ38" i="24"/>
  <c r="GF38" i="24"/>
  <c r="BL38" i="32"/>
  <c r="Y38" i="27"/>
  <c r="GE38" i="24"/>
  <c r="EX38" i="24"/>
  <c r="FH38" i="24" s="1"/>
  <c r="BM38" i="32"/>
  <c r="Z38" i="27"/>
  <c r="CB38" i="24"/>
  <c r="CR38" i="24" s="1"/>
  <c r="DC38" i="7"/>
  <c r="DD38" i="7" s="1"/>
  <c r="EF38" i="7"/>
  <c r="EE39" i="7" s="1"/>
  <c r="Z38" i="7"/>
  <c r="BO38" i="32" l="1"/>
  <c r="AB38" i="27"/>
  <c r="BN38" i="32"/>
  <c r="AA38" i="27"/>
  <c r="CV38" i="24"/>
  <c r="CX38" i="24" s="1"/>
  <c r="EJ39" i="7"/>
  <c r="EI39" i="7"/>
  <c r="GL39" i="7"/>
  <c r="AD39" i="7"/>
  <c r="EG39" i="7"/>
  <c r="FI38" i="24"/>
  <c r="FA39" i="24"/>
  <c r="DE38" i="7"/>
  <c r="EF38" i="24" l="1"/>
  <c r="EE39" i="24" s="1"/>
  <c r="DC38" i="24"/>
  <c r="DD38" i="24" s="1"/>
  <c r="Z38" i="24"/>
  <c r="J38" i="27" s="1"/>
  <c r="CY38" i="24"/>
  <c r="Y38" i="7"/>
  <c r="DH38" i="7"/>
  <c r="FT38" i="7" s="1"/>
  <c r="AL38" i="24" s="1"/>
  <c r="CE38" i="7"/>
  <c r="DJ38" i="7"/>
  <c r="DN38" i="7" s="1"/>
  <c r="DQ38" i="7" s="1"/>
  <c r="DF38" i="7"/>
  <c r="BS39" i="7" s="1"/>
  <c r="DG38" i="7" l="1"/>
  <c r="EV38" i="7"/>
  <c r="EU39" i="7" s="1"/>
  <c r="AB38" i="7"/>
  <c r="DA38" i="24"/>
  <c r="DE38" i="24" s="1"/>
  <c r="DF38" i="24" s="1"/>
  <c r="BS39" i="24" s="1"/>
  <c r="AD39" i="24"/>
  <c r="N39" i="27" s="1"/>
  <c r="EJ39" i="24"/>
  <c r="EI39" i="24"/>
  <c r="EG39" i="24"/>
  <c r="GL39" i="24"/>
  <c r="EO38" i="7"/>
  <c r="EN39" i="7" s="1"/>
  <c r="AA38" i="7"/>
  <c r="DO38" i="7"/>
  <c r="DM39" i="7" s="1"/>
  <c r="CI38" i="7"/>
  <c r="CH38" i="7"/>
  <c r="Y38" i="24" l="1"/>
  <c r="I38" i="27" s="1"/>
  <c r="DH38" i="24"/>
  <c r="FT38" i="24" s="1"/>
  <c r="AL38" i="7" s="1"/>
  <c r="DX38" i="7" s="1"/>
  <c r="DW39" i="7" s="1"/>
  <c r="CE38" i="24"/>
  <c r="DJ38" i="24"/>
  <c r="DN38" i="24" s="1"/>
  <c r="BT39" i="7"/>
  <c r="BU39" i="32"/>
  <c r="AH39" i="27"/>
  <c r="W38" i="7"/>
  <c r="CJ38" i="7"/>
  <c r="CL38" i="7"/>
  <c r="GM39" i="7"/>
  <c r="AE39" i="7"/>
  <c r="EP39" i="7"/>
  <c r="ES39" i="7" s="1"/>
  <c r="AF39" i="7"/>
  <c r="GN39" i="7"/>
  <c r="FB39" i="7"/>
  <c r="EW39" i="7"/>
  <c r="EZ39" i="7" s="1"/>
  <c r="GH38" i="7" l="1"/>
  <c r="V38" i="7"/>
  <c r="GG38" i="7"/>
  <c r="CK38" i="7"/>
  <c r="AA38" i="24"/>
  <c r="K38" i="27" s="1"/>
  <c r="EO38" i="24"/>
  <c r="EN39" i="24" s="1"/>
  <c r="DO38" i="24"/>
  <c r="DM39" i="24" s="1"/>
  <c r="AC39" i="7"/>
  <c r="GK39" i="7"/>
  <c r="CP39" i="7"/>
  <c r="AG39" i="7" s="1"/>
  <c r="EA39" i="7"/>
  <c r="DY39" i="7"/>
  <c r="EB39" i="7"/>
  <c r="FK39" i="7" s="1"/>
  <c r="FD39" i="7"/>
  <c r="FE39" i="7"/>
  <c r="FC39" i="7"/>
  <c r="DQ38" i="24"/>
  <c r="DG38" i="24"/>
  <c r="DX38" i="24" s="1"/>
  <c r="DW39" i="24" s="1"/>
  <c r="CH38" i="24"/>
  <c r="CI38" i="24"/>
  <c r="BT39" i="24" l="1"/>
  <c r="GM39" i="24"/>
  <c r="AE39" i="24"/>
  <c r="O39" i="27" s="1"/>
  <c r="EP39" i="24"/>
  <c r="ES39" i="24" s="1"/>
  <c r="FG39" i="7"/>
  <c r="FF39" i="7"/>
  <c r="W38" i="24"/>
  <c r="G38" i="27" s="1"/>
  <c r="CJ38" i="24"/>
  <c r="CL38" i="24"/>
  <c r="GK39" i="24"/>
  <c r="BT39" i="32" s="1"/>
  <c r="EA39" i="24"/>
  <c r="DY39" i="24"/>
  <c r="EB39" i="24" s="1"/>
  <c r="AC39" i="24"/>
  <c r="M39" i="27" s="1"/>
  <c r="GP39" i="7"/>
  <c r="GR39" i="7"/>
  <c r="GQ39" i="7"/>
  <c r="GS39" i="7"/>
  <c r="EV38" i="24"/>
  <c r="EU39" i="24" s="1"/>
  <c r="CP39" i="24" s="1"/>
  <c r="AG39" i="24" s="1"/>
  <c r="Q39" i="27" s="1"/>
  <c r="AB38" i="24"/>
  <c r="L38" i="27" s="1"/>
  <c r="BV39" i="32" l="1"/>
  <c r="AI39" i="27"/>
  <c r="AF39" i="24"/>
  <c r="P39" i="27" s="1"/>
  <c r="EW39" i="24"/>
  <c r="EZ39" i="24" s="1"/>
  <c r="FK39" i="24" s="1"/>
  <c r="GN39" i="24"/>
  <c r="FB39" i="24"/>
  <c r="AG39" i="27"/>
  <c r="GT39" i="7" a="1"/>
  <c r="GT39" i="7" s="1"/>
  <c r="CK38" i="24"/>
  <c r="V38" i="24"/>
  <c r="F38" i="27" s="1"/>
  <c r="GH38" i="24"/>
  <c r="GG38" i="24"/>
  <c r="GS39" i="24" l="1"/>
  <c r="GQ39" i="24"/>
  <c r="GR39" i="24"/>
  <c r="GP39" i="24"/>
  <c r="BW39" i="32"/>
  <c r="AJ39" i="27"/>
  <c r="BP38" i="32"/>
  <c r="AC38" i="27"/>
  <c r="BQ38" i="32"/>
  <c r="AD38" i="27"/>
  <c r="FC39" i="24"/>
  <c r="FD39" i="24"/>
  <c r="FE39" i="24"/>
  <c r="GX39" i="7"/>
  <c r="GU39" i="7"/>
  <c r="BW39" i="7" s="1"/>
  <c r="GV39" i="7"/>
  <c r="BX39" i="7" s="1"/>
  <c r="GW39" i="7"/>
  <c r="GT39" i="24" l="1" a="1"/>
  <c r="GT39" i="24" s="1"/>
  <c r="GU39" i="24" s="1"/>
  <c r="BW39" i="24" s="1"/>
  <c r="GC39" i="7"/>
  <c r="DZ39" i="7"/>
  <c r="BY39" i="7"/>
  <c r="FF39" i="24"/>
  <c r="FG39" i="24"/>
  <c r="GD39" i="7"/>
  <c r="EH39" i="7"/>
  <c r="GV39" i="24" l="1"/>
  <c r="BX39" i="24" s="1"/>
  <c r="GD39" i="24" s="1"/>
  <c r="BM39" i="32" s="1"/>
  <c r="GX39" i="24"/>
  <c r="GW39" i="24"/>
  <c r="GE39" i="7"/>
  <c r="EX39" i="7"/>
  <c r="FH39" i="7" s="1"/>
  <c r="GC39" i="24"/>
  <c r="BL39" i="32" s="1"/>
  <c r="DZ39" i="24"/>
  <c r="BY39" i="24"/>
  <c r="EH39" i="24"/>
  <c r="CB39" i="7"/>
  <c r="CR39" i="7" s="1"/>
  <c r="BZ39" i="7"/>
  <c r="Y39" i="27" l="1"/>
  <c r="GE39" i="24"/>
  <c r="BN39" i="32" s="1"/>
  <c r="EX39" i="24"/>
  <c r="FH39" i="24" s="1"/>
  <c r="EQ39" i="7"/>
  <c r="GF39" i="7"/>
  <c r="BZ39" i="24"/>
  <c r="FI39" i="7"/>
  <c r="FA40" i="7"/>
  <c r="CA39" i="7"/>
  <c r="CD39" i="7" s="1"/>
  <c r="CB39" i="24"/>
  <c r="CR39" i="24" s="1"/>
  <c r="AA39" i="27"/>
  <c r="CV39" i="7"/>
  <c r="CX39" i="7" s="1"/>
  <c r="CY39" i="7" s="1"/>
  <c r="Z39" i="27"/>
  <c r="EQ39" i="24" l="1"/>
  <c r="GF39" i="24"/>
  <c r="BO39" i="32" s="1"/>
  <c r="Z39" i="7"/>
  <c r="DC39" i="7"/>
  <c r="DD39" i="7" s="1"/>
  <c r="EF39" i="7"/>
  <c r="EE40" i="7" s="1"/>
  <c r="CA39" i="24"/>
  <c r="CD39" i="24" s="1"/>
  <c r="DA39" i="7"/>
  <c r="CV39" i="24"/>
  <c r="CX39" i="24" s="1"/>
  <c r="FI39" i="24"/>
  <c r="FA40" i="24"/>
  <c r="AB39" i="27" l="1"/>
  <c r="AD40" i="7"/>
  <c r="EJ40" i="7"/>
  <c r="GL40" i="7"/>
  <c r="EG40" i="7"/>
  <c r="EI40" i="7"/>
  <c r="DE39" i="7"/>
  <c r="DF39" i="7" s="1"/>
  <c r="BS40" i="7" s="1"/>
  <c r="EF39" i="24"/>
  <c r="EE40" i="24" s="1"/>
  <c r="DC39" i="24"/>
  <c r="DD39" i="24" s="1"/>
  <c r="Z39" i="24"/>
  <c r="J39" i="27" s="1"/>
  <c r="CY39" i="24"/>
  <c r="GL40" i="24" l="1"/>
  <c r="BU40" i="32" s="1"/>
  <c r="EJ40" i="24"/>
  <c r="EI40" i="24"/>
  <c r="AD40" i="24"/>
  <c r="N40" i="27" s="1"/>
  <c r="EG40" i="24"/>
  <c r="DA39" i="24"/>
  <c r="DE39" i="24" s="1"/>
  <c r="Y39" i="7"/>
  <c r="DH39" i="7"/>
  <c r="FT39" i="7" s="1"/>
  <c r="AL39" i="24" s="1"/>
  <c r="CE39" i="7"/>
  <c r="DJ39" i="7"/>
  <c r="DN39" i="7" s="1"/>
  <c r="DG39" i="7" l="1"/>
  <c r="DH39" i="24"/>
  <c r="FT39" i="24" s="1"/>
  <c r="AL39" i="7" s="1"/>
  <c r="Y39" i="24"/>
  <c r="I39" i="27" s="1"/>
  <c r="CE39" i="24"/>
  <c r="DF39" i="24"/>
  <c r="BS40" i="24" s="1"/>
  <c r="DJ39" i="24"/>
  <c r="DN39" i="24" s="1"/>
  <c r="EO39" i="7"/>
  <c r="EN40" i="7" s="1"/>
  <c r="AA39" i="7"/>
  <c r="DO39" i="7"/>
  <c r="DM40" i="7" s="1"/>
  <c r="DQ39" i="7"/>
  <c r="AH40" i="27"/>
  <c r="CH39" i="7"/>
  <c r="CI39" i="7"/>
  <c r="DX39" i="7" l="1"/>
  <c r="DW40" i="7" s="1"/>
  <c r="EA40" i="7"/>
  <c r="GK40" i="7"/>
  <c r="AC40" i="7"/>
  <c r="DY40" i="7"/>
  <c r="EB40" i="7" s="1"/>
  <c r="AA39" i="24"/>
  <c r="K39" i="27" s="1"/>
  <c r="EO39" i="24"/>
  <c r="EN40" i="24" s="1"/>
  <c r="DO39" i="24"/>
  <c r="DM40" i="24" s="1"/>
  <c r="DQ39" i="24"/>
  <c r="W39" i="7"/>
  <c r="CL39" i="7"/>
  <c r="CJ39" i="7"/>
  <c r="EV39" i="7"/>
  <c r="EU40" i="7" s="1"/>
  <c r="AB39" i="7"/>
  <c r="BT40" i="7"/>
  <c r="DG39" i="24"/>
  <c r="DX39" i="24" s="1"/>
  <c r="DW40" i="24" s="1"/>
  <c r="AE40" i="7"/>
  <c r="EP40" i="7"/>
  <c r="ES40" i="7" s="1"/>
  <c r="GM40" i="7"/>
  <c r="CI39" i="24"/>
  <c r="CH39" i="24"/>
  <c r="DY40" i="24" l="1"/>
  <c r="EB40" i="24" s="1"/>
  <c r="GK40" i="24"/>
  <c r="BT40" i="32" s="1"/>
  <c r="AC40" i="24"/>
  <c r="M40" i="27" s="1"/>
  <c r="EA40" i="24"/>
  <c r="FB40" i="7"/>
  <c r="AF40" i="7"/>
  <c r="EW40" i="7"/>
  <c r="EZ40" i="7" s="1"/>
  <c r="FK40" i="7" s="1"/>
  <c r="GN40" i="7"/>
  <c r="CK39" i="7"/>
  <c r="GG39" i="7"/>
  <c r="GH39" i="7"/>
  <c r="V39" i="7"/>
  <c r="CP40" i="7"/>
  <c r="AG40" i="7" s="1"/>
  <c r="AG40" i="27"/>
  <c r="EV39" i="24"/>
  <c r="EU40" i="24" s="1"/>
  <c r="CP40" i="24" s="1"/>
  <c r="AG40" i="24" s="1"/>
  <c r="AB39" i="24"/>
  <c r="L39" i="27" s="1"/>
  <c r="W39" i="24"/>
  <c r="G39" i="27" s="1"/>
  <c r="CJ39" i="24"/>
  <c r="CL39" i="24"/>
  <c r="BT40" i="24"/>
  <c r="EP40" i="24"/>
  <c r="ES40" i="24" s="1"/>
  <c r="AE40" i="24"/>
  <c r="O40" i="27" s="1"/>
  <c r="GM40" i="24"/>
  <c r="BV40" i="32" s="1"/>
  <c r="GS40" i="7" l="1"/>
  <c r="GQ40" i="7"/>
  <c r="GR40" i="7"/>
  <c r="GP40" i="7"/>
  <c r="Q40" i="27"/>
  <c r="GG39" i="24"/>
  <c r="BP39" i="32" s="1"/>
  <c r="GH39" i="24"/>
  <c r="BQ39" i="32" s="1"/>
  <c r="V39" i="24"/>
  <c r="F39" i="27" s="1"/>
  <c r="CK39" i="24"/>
  <c r="FD40" i="7"/>
  <c r="FC40" i="7"/>
  <c r="FE40" i="7"/>
  <c r="AF40" i="24"/>
  <c r="P40" i="27" s="1"/>
  <c r="GN40" i="24"/>
  <c r="BW40" i="32" s="1"/>
  <c r="EW40" i="24"/>
  <c r="EZ40" i="24" s="1"/>
  <c r="FK40" i="24" s="1"/>
  <c r="FB40" i="24"/>
  <c r="AI40" i="27"/>
  <c r="GT40" i="7" l="1" a="1"/>
  <c r="GT40" i="7" s="1"/>
  <c r="AD39" i="27"/>
  <c r="GS40" i="24"/>
  <c r="GP40" i="24"/>
  <c r="GQ40" i="24"/>
  <c r="GR40" i="24"/>
  <c r="FF40" i="7"/>
  <c r="FG40" i="7"/>
  <c r="AJ40" i="27"/>
  <c r="FD40" i="24"/>
  <c r="FE40" i="24"/>
  <c r="FC40" i="24"/>
  <c r="GW40" i="7"/>
  <c r="GU40" i="7"/>
  <c r="BW40" i="7" s="1"/>
  <c r="GV40" i="7"/>
  <c r="BX40" i="7" s="1"/>
  <c r="GX40" i="7"/>
  <c r="AC39" i="27"/>
  <c r="EH40" i="7" l="1"/>
  <c r="GD40" i="7"/>
  <c r="DZ40" i="7"/>
  <c r="GC40" i="7"/>
  <c r="BY40" i="7"/>
  <c r="CB40" i="7" s="1"/>
  <c r="CR40" i="7" s="1"/>
  <c r="GT40" i="24" a="1"/>
  <c r="GT40" i="24" s="1"/>
  <c r="FG40" i="24"/>
  <c r="FF40" i="24"/>
  <c r="BZ40" i="7" l="1"/>
  <c r="GF40" i="7" s="1"/>
  <c r="CV40" i="7"/>
  <c r="CX40" i="7" s="1"/>
  <c r="CY40" i="7" s="1"/>
  <c r="GU40" i="24"/>
  <c r="BW40" i="24" s="1"/>
  <c r="GX40" i="24"/>
  <c r="GW40" i="24"/>
  <c r="GV40" i="24"/>
  <c r="BX40" i="24" s="1"/>
  <c r="GE40" i="7"/>
  <c r="EX40" i="7"/>
  <c r="FH40" i="7" s="1"/>
  <c r="CA40" i="7" l="1"/>
  <c r="CD40" i="7" s="1"/>
  <c r="EQ40" i="7"/>
  <c r="DA40" i="7"/>
  <c r="BY40" i="24"/>
  <c r="CB40" i="24" s="1"/>
  <c r="CR40" i="24" s="1"/>
  <c r="GC40" i="24"/>
  <c r="DZ40" i="24"/>
  <c r="FI40" i="7"/>
  <c r="FA41" i="7"/>
  <c r="EH40" i="24"/>
  <c r="GD40" i="24"/>
  <c r="DC40" i="7"/>
  <c r="DD40" i="7" s="1"/>
  <c r="Z40" i="7"/>
  <c r="EF40" i="7"/>
  <c r="EE41" i="7" s="1"/>
  <c r="CV40" i="24" l="1"/>
  <c r="CX40" i="24" s="1"/>
  <c r="CY40" i="24" s="1"/>
  <c r="BL40" i="32"/>
  <c r="Y40" i="27"/>
  <c r="GE40" i="24"/>
  <c r="EX40" i="24"/>
  <c r="FH40" i="24" s="1"/>
  <c r="AD41" i="7"/>
  <c r="EG41" i="7"/>
  <c r="EI41" i="7"/>
  <c r="GL41" i="7"/>
  <c r="EJ41" i="7"/>
  <c r="DE40" i="7"/>
  <c r="DF40" i="7" s="1"/>
  <c r="BS41" i="7" s="1"/>
  <c r="BM40" i="32"/>
  <c r="Z40" i="27"/>
  <c r="BZ40" i="24"/>
  <c r="CE40" i="7" l="1"/>
  <c r="FI40" i="24"/>
  <c r="FA41" i="24"/>
  <c r="BN40" i="32"/>
  <c r="AA40" i="27"/>
  <c r="EQ40" i="24"/>
  <c r="GF40" i="24"/>
  <c r="DA40" i="24"/>
  <c r="DH40" i="7"/>
  <c r="FT40" i="7" s="1"/>
  <c r="AL40" i="24" s="1"/>
  <c r="Y40" i="7"/>
  <c r="DJ40" i="7"/>
  <c r="DN40" i="7" s="1"/>
  <c r="DQ40" i="7" s="1"/>
  <c r="CA40" i="24"/>
  <c r="CD40" i="24" s="1"/>
  <c r="EF40" i="24"/>
  <c r="EE41" i="24" s="1"/>
  <c r="DC40" i="24"/>
  <c r="DD40" i="24" s="1"/>
  <c r="Z40" i="24"/>
  <c r="J40" i="27" s="1"/>
  <c r="CI40" i="7"/>
  <c r="CH40" i="7"/>
  <c r="DG40" i="7" l="1"/>
  <c r="W40" i="7"/>
  <c r="CL40" i="7"/>
  <c r="CJ40" i="7"/>
  <c r="GL41" i="24"/>
  <c r="EI41" i="24"/>
  <c r="AD41" i="24"/>
  <c r="N41" i="27" s="1"/>
  <c r="EJ41" i="24"/>
  <c r="EG41" i="24"/>
  <c r="DE40" i="24"/>
  <c r="DF40" i="24" s="1"/>
  <c r="BS41" i="24" s="1"/>
  <c r="AB40" i="7"/>
  <c r="EV40" i="7"/>
  <c r="EU41" i="7" s="1"/>
  <c r="BO40" i="32"/>
  <c r="AB40" i="27"/>
  <c r="AA40" i="7"/>
  <c r="EO40" i="7"/>
  <c r="EN41" i="7" s="1"/>
  <c r="DO40" i="7"/>
  <c r="DM41" i="7" s="1"/>
  <c r="BT41" i="7" l="1"/>
  <c r="Y40" i="24"/>
  <c r="I40" i="27" s="1"/>
  <c r="DH40" i="24"/>
  <c r="FT40" i="24" s="1"/>
  <c r="AL40" i="7" s="1"/>
  <c r="DX40" i="7" s="1"/>
  <c r="DW41" i="7" s="1"/>
  <c r="DJ40" i="24"/>
  <c r="DN40" i="24" s="1"/>
  <c r="DQ40" i="24" s="1"/>
  <c r="GM41" i="7"/>
  <c r="AE41" i="7"/>
  <c r="EP41" i="7"/>
  <c r="ES41" i="7" s="1"/>
  <c r="BU41" i="32"/>
  <c r="AH41" i="27"/>
  <c r="CE40" i="24"/>
  <c r="V40" i="7"/>
  <c r="CK40" i="7"/>
  <c r="GG40" i="7"/>
  <c r="GH40" i="7"/>
  <c r="GN41" i="7"/>
  <c r="FB41" i="7"/>
  <c r="AF41" i="7"/>
  <c r="EW41" i="7"/>
  <c r="EA41" i="7" l="1"/>
  <c r="DY41" i="7"/>
  <c r="EB41" i="7" s="1"/>
  <c r="CP41" i="7"/>
  <c r="AG41" i="7" s="1"/>
  <c r="GK41" i="7"/>
  <c r="AC41" i="7"/>
  <c r="AB40" i="24"/>
  <c r="L40" i="27" s="1"/>
  <c r="EV40" i="24"/>
  <c r="EU41" i="24" s="1"/>
  <c r="AA40" i="24"/>
  <c r="K40" i="27" s="1"/>
  <c r="EO40" i="24"/>
  <c r="EN41" i="24" s="1"/>
  <c r="DO40" i="24"/>
  <c r="DM41" i="24" s="1"/>
  <c r="DG40" i="24"/>
  <c r="DX40" i="24" s="1"/>
  <c r="DW41" i="24" s="1"/>
  <c r="FC41" i="7"/>
  <c r="FE41" i="7"/>
  <c r="FD41" i="7"/>
  <c r="EZ41" i="7"/>
  <c r="CI40" i="24"/>
  <c r="CH40" i="24"/>
  <c r="DY41" i="24" l="1"/>
  <c r="EB41" i="24" s="1"/>
  <c r="EA41" i="24"/>
  <c r="AC41" i="24"/>
  <c r="M41" i="27" s="1"/>
  <c r="CP41" i="24"/>
  <c r="AG41" i="24" s="1"/>
  <c r="Q41" i="27" s="1"/>
  <c r="GK41" i="24"/>
  <c r="BT41" i="32" s="1"/>
  <c r="FK41" i="7"/>
  <c r="BT41" i="24"/>
  <c r="GM41" i="24"/>
  <c r="EP41" i="24"/>
  <c r="ES41" i="24" s="1"/>
  <c r="AE41" i="24"/>
  <c r="O41" i="27" s="1"/>
  <c r="FG41" i="7"/>
  <c r="FF41" i="7"/>
  <c r="W40" i="24"/>
  <c r="G40" i="27" s="1"/>
  <c r="CJ40" i="24"/>
  <c r="CL40" i="24"/>
  <c r="EW41" i="24"/>
  <c r="EZ41" i="24" s="1"/>
  <c r="AF41" i="24"/>
  <c r="P41" i="27" s="1"/>
  <c r="FB41" i="24"/>
  <c r="GN41" i="24"/>
  <c r="GR41" i="7" l="1"/>
  <c r="GQ41" i="7"/>
  <c r="GP41" i="7"/>
  <c r="GS41" i="7"/>
  <c r="BV41" i="32"/>
  <c r="AI41" i="27"/>
  <c r="V40" i="24"/>
  <c r="F40" i="27" s="1"/>
  <c r="CK40" i="24"/>
  <c r="GG40" i="24"/>
  <c r="GH40" i="24"/>
  <c r="FD41" i="24"/>
  <c r="FC41" i="24"/>
  <c r="FE41" i="24"/>
  <c r="FK41" i="24"/>
  <c r="BW41" i="32"/>
  <c r="AJ41" i="27"/>
  <c r="AG41" i="27"/>
  <c r="GT41" i="7" l="1" a="1"/>
  <c r="GT41" i="7" s="1"/>
  <c r="GX41" i="7" s="1"/>
  <c r="GS41" i="24"/>
  <c r="GQ41" i="24"/>
  <c r="GP41" i="24"/>
  <c r="GR41" i="24"/>
  <c r="FG41" i="24"/>
  <c r="FF41" i="24"/>
  <c r="BQ40" i="32"/>
  <c r="AD40" i="27"/>
  <c r="BP40" i="32"/>
  <c r="AC40" i="27"/>
  <c r="GW41" i="7" l="1"/>
  <c r="GU41" i="7"/>
  <c r="BW41" i="7" s="1"/>
  <c r="DZ41" i="7" s="1"/>
  <c r="GV41" i="7"/>
  <c r="BX41" i="7" s="1"/>
  <c r="GD41" i="7" s="1"/>
  <c r="GT41" i="24" a="1"/>
  <c r="GT41" i="24" s="1"/>
  <c r="GC41" i="7" l="1"/>
  <c r="BY41" i="7"/>
  <c r="EX41" i="7" s="1"/>
  <c r="FH41" i="7" s="1"/>
  <c r="EH41" i="7"/>
  <c r="GW41" i="24"/>
  <c r="GV41" i="24"/>
  <c r="BX41" i="24" s="1"/>
  <c r="GU41" i="24"/>
  <c r="BW41" i="24" s="1"/>
  <c r="GX41" i="24"/>
  <c r="CB41" i="7" l="1"/>
  <c r="CR41" i="7" s="1"/>
  <c r="CV41" i="7" s="1"/>
  <c r="CX41" i="7" s="1"/>
  <c r="CY41" i="7" s="1"/>
  <c r="BZ41" i="7"/>
  <c r="GF41" i="7" s="1"/>
  <c r="GE41" i="7"/>
  <c r="DZ41" i="24"/>
  <c r="BY41" i="24"/>
  <c r="BZ41" i="24" s="1"/>
  <c r="GC41" i="24"/>
  <c r="EH41" i="24"/>
  <c r="GD41" i="24"/>
  <c r="FI41" i="7"/>
  <c r="FA42" i="7"/>
  <c r="CA41" i="7" l="1"/>
  <c r="CD41" i="7" s="1"/>
  <c r="EQ41" i="7"/>
  <c r="CB41" i="24"/>
  <c r="CR41" i="24" s="1"/>
  <c r="CV41" i="24" s="1"/>
  <c r="CX41" i="24" s="1"/>
  <c r="CY41" i="24" s="1"/>
  <c r="EQ41" i="24"/>
  <c r="GF41" i="24"/>
  <c r="BO41" i="32" s="1"/>
  <c r="CA41" i="24"/>
  <c r="CD41" i="24" s="1"/>
  <c r="DA41" i="7"/>
  <c r="BM41" i="32"/>
  <c r="Z41" i="27"/>
  <c r="BL41" i="32"/>
  <c r="Y41" i="27"/>
  <c r="EF41" i="7"/>
  <c r="EE42" i="7" s="1"/>
  <c r="DC41" i="7"/>
  <c r="DD41" i="7" s="1"/>
  <c r="Z41" i="7"/>
  <c r="GE41" i="24"/>
  <c r="EX41" i="24"/>
  <c r="FH41" i="24" s="1"/>
  <c r="AB41" i="27" l="1"/>
  <c r="DA41" i="24"/>
  <c r="EJ42" i="7"/>
  <c r="EI42" i="7"/>
  <c r="AD42" i="7"/>
  <c r="GL42" i="7"/>
  <c r="EG42" i="7"/>
  <c r="FI41" i="24"/>
  <c r="FA42" i="24"/>
  <c r="BN41" i="32"/>
  <c r="AA41" i="27"/>
  <c r="DE41" i="7"/>
  <c r="Z41" i="24"/>
  <c r="J41" i="27" s="1"/>
  <c r="EF41" i="24"/>
  <c r="EE42" i="24" s="1"/>
  <c r="DC41" i="24"/>
  <c r="DD41" i="24" s="1"/>
  <c r="DE41" i="24" l="1"/>
  <c r="DF41" i="24" s="1"/>
  <c r="BS42" i="24" s="1"/>
  <c r="AD42" i="24"/>
  <c r="N42" i="27" s="1"/>
  <c r="GL42" i="24"/>
  <c r="BU42" i="32" s="1"/>
  <c r="EG42" i="24"/>
  <c r="EJ42" i="24"/>
  <c r="EI42" i="24"/>
  <c r="Y41" i="7"/>
  <c r="DH41" i="7"/>
  <c r="FT41" i="7" s="1"/>
  <c r="AL41" i="24" s="1"/>
  <c r="CE41" i="7"/>
  <c r="DJ41" i="7"/>
  <c r="DN41" i="7" s="1"/>
  <c r="DQ41" i="7" s="1"/>
  <c r="DF41" i="7"/>
  <c r="BS42" i="7" s="1"/>
  <c r="CE41" i="24" l="1"/>
  <c r="CH41" i="24" s="1"/>
  <c r="DG41" i="7"/>
  <c r="AB41" i="7"/>
  <c r="EV41" i="7"/>
  <c r="EU42" i="7" s="1"/>
  <c r="Y41" i="24"/>
  <c r="I41" i="27" s="1"/>
  <c r="DH41" i="24"/>
  <c r="FT41" i="24" s="1"/>
  <c r="AL41" i="7" s="1"/>
  <c r="DJ41" i="24"/>
  <c r="DN41" i="24" s="1"/>
  <c r="DQ41" i="24" s="1"/>
  <c r="AA41" i="7"/>
  <c r="EO41" i="7"/>
  <c r="EN42" i="7" s="1"/>
  <c r="DO41" i="7"/>
  <c r="DM42" i="7" s="1"/>
  <c r="AH42" i="27"/>
  <c r="CH41" i="7"/>
  <c r="CI41" i="7"/>
  <c r="CI41" i="24" l="1"/>
  <c r="CL41" i="24" s="1"/>
  <c r="DG41" i="24"/>
  <c r="DX41" i="24" s="1"/>
  <c r="DW42" i="24" s="1"/>
  <c r="AC42" i="24" s="1"/>
  <c r="EV41" i="24"/>
  <c r="EU42" i="24" s="1"/>
  <c r="AB41" i="24"/>
  <c r="AE42" i="7"/>
  <c r="GM42" i="7"/>
  <c r="EP42" i="7"/>
  <c r="ES42" i="7" s="1"/>
  <c r="GN42" i="7"/>
  <c r="FB42" i="7"/>
  <c r="AF42" i="7"/>
  <c r="EW42" i="7"/>
  <c r="EZ42" i="7" s="1"/>
  <c r="L41" i="27"/>
  <c r="AA41" i="24"/>
  <c r="K41" i="27" s="1"/>
  <c r="EO41" i="24"/>
  <c r="EN42" i="24" s="1"/>
  <c r="CP42" i="24" s="1"/>
  <c r="AG42" i="24" s="1"/>
  <c r="DO41" i="24"/>
  <c r="DM42" i="24" s="1"/>
  <c r="EA42" i="24"/>
  <c r="GK42" i="24"/>
  <c r="BT42" i="32" s="1"/>
  <c r="W41" i="7"/>
  <c r="CJ41" i="7"/>
  <c r="CL41" i="7"/>
  <c r="DX41" i="7"/>
  <c r="DW42" i="7" s="1"/>
  <c r="BT42" i="7"/>
  <c r="CJ41" i="24" l="1"/>
  <c r="CK41" i="24" s="1"/>
  <c r="W41" i="24"/>
  <c r="DY42" i="24"/>
  <c r="EB42" i="24" s="1"/>
  <c r="G41" i="27"/>
  <c r="V41" i="7"/>
  <c r="CK41" i="7"/>
  <c r="GG41" i="7"/>
  <c r="GH41" i="7"/>
  <c r="BT42" i="24"/>
  <c r="CP42" i="7"/>
  <c r="AG42" i="7" s="1"/>
  <c r="Q42" i="27" s="1"/>
  <c r="AC42" i="7"/>
  <c r="M42" i="27" s="1"/>
  <c r="EA42" i="7"/>
  <c r="DY42" i="7"/>
  <c r="EB42" i="7" s="1"/>
  <c r="FK42" i="7" s="1"/>
  <c r="GK42" i="7"/>
  <c r="AG42" i="27" s="1"/>
  <c r="EP42" i="24"/>
  <c r="ES42" i="24" s="1"/>
  <c r="GM42" i="24"/>
  <c r="BV42" i="32" s="1"/>
  <c r="AE42" i="24"/>
  <c r="O42" i="27" s="1"/>
  <c r="FD42" i="7"/>
  <c r="FE42" i="7"/>
  <c r="FC42" i="7"/>
  <c r="GG41" i="24"/>
  <c r="BP41" i="32" s="1"/>
  <c r="V41" i="24"/>
  <c r="EW42" i="24"/>
  <c r="EZ42" i="24" s="1"/>
  <c r="FB42" i="24"/>
  <c r="GN42" i="24"/>
  <c r="BW42" i="32" s="1"/>
  <c r="AF42" i="24"/>
  <c r="P42" i="27" s="1"/>
  <c r="GH41" i="24" l="1"/>
  <c r="BQ41" i="32" s="1"/>
  <c r="FK42" i="24"/>
  <c r="GQ42" i="24" s="1"/>
  <c r="F41" i="27"/>
  <c r="GR42" i="24"/>
  <c r="GS42" i="24"/>
  <c r="GP42" i="24"/>
  <c r="GQ42" i="7"/>
  <c r="GP42" i="7"/>
  <c r="GS42" i="7"/>
  <c r="GR42" i="7"/>
  <c r="AC41" i="27"/>
  <c r="AI42" i="27"/>
  <c r="AJ42" i="27"/>
  <c r="FE42" i="24"/>
  <c r="FD42" i="24"/>
  <c r="FC42" i="24"/>
  <c r="FF42" i="7"/>
  <c r="FG42" i="7"/>
  <c r="AD41" i="27" l="1"/>
  <c r="GT42" i="24" a="1"/>
  <c r="GT42" i="24" s="1"/>
  <c r="GW42" i="24" s="1"/>
  <c r="GT42" i="7" a="1"/>
  <c r="GT42" i="7" s="1"/>
  <c r="FF42" i="24"/>
  <c r="FG42" i="24"/>
  <c r="GV42" i="24" l="1"/>
  <c r="BX42" i="24" s="1"/>
  <c r="GD42" i="24" s="1"/>
  <c r="BM42" i="32" s="1"/>
  <c r="GX42" i="24"/>
  <c r="GU42" i="24"/>
  <c r="BW42" i="24" s="1"/>
  <c r="DZ42" i="24" s="1"/>
  <c r="GV42" i="7"/>
  <c r="BX42" i="7" s="1"/>
  <c r="GX42" i="7"/>
  <c r="GW42" i="7"/>
  <c r="GU42" i="7"/>
  <c r="BW42" i="7" s="1"/>
  <c r="EH42" i="24" l="1"/>
  <c r="BY42" i="24"/>
  <c r="GE42" i="24" s="1"/>
  <c r="BN42" i="32" s="1"/>
  <c r="GC42" i="24"/>
  <c r="BL42" i="32" s="1"/>
  <c r="DZ42" i="7"/>
  <c r="GC42" i="7"/>
  <c r="BY42" i="7"/>
  <c r="BZ42" i="7" s="1"/>
  <c r="BZ42" i="24"/>
  <c r="GD42" i="7"/>
  <c r="Z42" i="27" s="1"/>
  <c r="EH42" i="7"/>
  <c r="Y42" i="27" l="1"/>
  <c r="CB42" i="24"/>
  <c r="CR42" i="24" s="1"/>
  <c r="EX42" i="24"/>
  <c r="FH42" i="24" s="1"/>
  <c r="FA43" i="24" s="1"/>
  <c r="GF42" i="7"/>
  <c r="EQ42" i="7"/>
  <c r="EX42" i="7"/>
  <c r="FH42" i="7" s="1"/>
  <c r="GE42" i="7"/>
  <c r="AA42" i="27" s="1"/>
  <c r="CV42" i="24"/>
  <c r="CX42" i="24" s="1"/>
  <c r="CB42" i="7"/>
  <c r="CR42" i="7" s="1"/>
  <c r="GF42" i="24"/>
  <c r="BO42" i="32" s="1"/>
  <c r="EQ42" i="24"/>
  <c r="CA42" i="24"/>
  <c r="CD42" i="24" s="1"/>
  <c r="CA42" i="7"/>
  <c r="CD42" i="7" s="1"/>
  <c r="FI42" i="24" l="1"/>
  <c r="FI42" i="7"/>
  <c r="FA43" i="7"/>
  <c r="CV42" i="7"/>
  <c r="CX42" i="7" s="1"/>
  <c r="CY42" i="7" s="1"/>
  <c r="DC42" i="24"/>
  <c r="DD42" i="24" s="1"/>
  <c r="Z42" i="24"/>
  <c r="EF42" i="24"/>
  <c r="EE43" i="24" s="1"/>
  <c r="CY42" i="24"/>
  <c r="AB42" i="27"/>
  <c r="DA42" i="7" l="1"/>
  <c r="Z42" i="7"/>
  <c r="J42" i="27" s="1"/>
  <c r="DC42" i="7"/>
  <c r="DD42" i="7" s="1"/>
  <c r="EF42" i="7"/>
  <c r="EE43" i="7" s="1"/>
  <c r="DA42" i="24"/>
  <c r="DE42" i="24" s="1"/>
  <c r="DF42" i="24" s="1"/>
  <c r="BS43" i="24" s="1"/>
  <c r="EI43" i="24"/>
  <c r="EJ43" i="24"/>
  <c r="EG43" i="24"/>
  <c r="AD43" i="24"/>
  <c r="GL43" i="24"/>
  <c r="BU43" i="32" s="1"/>
  <c r="GL43" i="7" l="1"/>
  <c r="AH43" i="27" s="1"/>
  <c r="AD43" i="7"/>
  <c r="N43" i="27" s="1"/>
  <c r="EJ43" i="7"/>
  <c r="EI43" i="7"/>
  <c r="EG43" i="7"/>
  <c r="DE42" i="7"/>
  <c r="DF42" i="7" s="1"/>
  <c r="BS43" i="7" s="1"/>
  <c r="Y42" i="24"/>
  <c r="DH42" i="24"/>
  <c r="FT42" i="24" s="1"/>
  <c r="AL42" i="7" s="1"/>
  <c r="CE42" i="24"/>
  <c r="DJ42" i="24"/>
  <c r="DN42" i="24" s="1"/>
  <c r="AA42" i="24" l="1"/>
  <c r="EO42" i="24"/>
  <c r="EN43" i="24" s="1"/>
  <c r="DO42" i="24"/>
  <c r="DM43" i="24" s="1"/>
  <c r="DQ42" i="24"/>
  <c r="DG42" i="24"/>
  <c r="Y42" i="7"/>
  <c r="I42" i="27" s="1"/>
  <c r="DH42" i="7"/>
  <c r="FT42" i="7" s="1"/>
  <c r="AL42" i="24" s="1"/>
  <c r="DJ42" i="7"/>
  <c r="DN42" i="7" s="1"/>
  <c r="DQ42" i="7" s="1"/>
  <c r="CE42" i="7"/>
  <c r="CI42" i="24"/>
  <c r="CH42" i="24"/>
  <c r="EV42" i="7" l="1"/>
  <c r="EU43" i="7" s="1"/>
  <c r="AB42" i="7"/>
  <c r="DX42" i="24"/>
  <c r="DW43" i="24" s="1"/>
  <c r="AB42" i="24"/>
  <c r="EV42" i="24"/>
  <c r="EU43" i="24" s="1"/>
  <c r="BT43" i="24"/>
  <c r="GM43" i="24"/>
  <c r="BV43" i="32" s="1"/>
  <c r="AE43" i="24"/>
  <c r="EP43" i="24"/>
  <c r="ES43" i="24" s="1"/>
  <c r="EO42" i="7"/>
  <c r="EN43" i="7" s="1"/>
  <c r="AA42" i="7"/>
  <c r="K42" i="27" s="1"/>
  <c r="DO42" i="7"/>
  <c r="DM43" i="7" s="1"/>
  <c r="W42" i="24"/>
  <c r="CJ42" i="24"/>
  <c r="CL42" i="24"/>
  <c r="DG42" i="7"/>
  <c r="DX42" i="7" s="1"/>
  <c r="DW43" i="7" s="1"/>
  <c r="CH42" i="7"/>
  <c r="CI42" i="7"/>
  <c r="GM43" i="7" l="1"/>
  <c r="AI43" i="27" s="1"/>
  <c r="AE43" i="7"/>
  <c r="O43" i="27" s="1"/>
  <c r="EP43" i="7"/>
  <c r="W42" i="7"/>
  <c r="G42" i="27" s="1"/>
  <c r="CJ42" i="7"/>
  <c r="CL42" i="7"/>
  <c r="AF43" i="24"/>
  <c r="FB43" i="24"/>
  <c r="EW43" i="24"/>
  <c r="EZ43" i="24" s="1"/>
  <c r="GN43" i="24"/>
  <c r="BW43" i="32" s="1"/>
  <c r="V42" i="24"/>
  <c r="CK42" i="24"/>
  <c r="GG42" i="24"/>
  <c r="BP42" i="32" s="1"/>
  <c r="GH42" i="24"/>
  <c r="BQ42" i="32" s="1"/>
  <c r="DY43" i="24"/>
  <c r="EB43" i="24" s="1"/>
  <c r="EA43" i="24"/>
  <c r="AC43" i="24"/>
  <c r="CP43" i="24"/>
  <c r="AG43" i="24" s="1"/>
  <c r="GK43" i="24"/>
  <c r="BT43" i="32" s="1"/>
  <c r="AC43" i="7"/>
  <c r="GK43" i="7"/>
  <c r="CP43" i="7"/>
  <c r="AG43" i="7" s="1"/>
  <c r="EA43" i="7"/>
  <c r="DY43" i="7"/>
  <c r="EB43" i="7" s="1"/>
  <c r="BT43" i="7"/>
  <c r="L42" i="27"/>
  <c r="EW43" i="7"/>
  <c r="EZ43" i="7" s="1"/>
  <c r="FB43" i="7"/>
  <c r="AF43" i="7"/>
  <c r="GN43" i="7"/>
  <c r="AJ43" i="27" s="1"/>
  <c r="AG43" i="27" l="1"/>
  <c r="P43" i="27"/>
  <c r="FK43" i="24"/>
  <c r="GQ43" i="24" s="1"/>
  <c r="M43" i="27"/>
  <c r="Q43" i="27"/>
  <c r="GH42" i="7"/>
  <c r="AD42" i="27" s="1"/>
  <c r="V42" i="7"/>
  <c r="F42" i="27" s="1"/>
  <c r="GG42" i="7"/>
  <c r="AC42" i="27" s="1"/>
  <c r="CK42" i="7"/>
  <c r="ES43" i="7"/>
  <c r="FK43" i="7" s="1"/>
  <c r="FC43" i="24"/>
  <c r="FD43" i="24"/>
  <c r="FE43" i="24"/>
  <c r="FC43" i="7"/>
  <c r="FE43" i="7"/>
  <c r="FD43" i="7"/>
  <c r="GP43" i="24" l="1"/>
  <c r="GS43" i="24"/>
  <c r="GR43" i="24"/>
  <c r="GR43" i="7"/>
  <c r="GQ43" i="7"/>
  <c r="GP43" i="7"/>
  <c r="GS43" i="7"/>
  <c r="FF43" i="24"/>
  <c r="FG43" i="24"/>
  <c r="FG43" i="7"/>
  <c r="FF43" i="7"/>
  <c r="GT43" i="24" l="1" a="1"/>
  <c r="GT43" i="24" s="1"/>
  <c r="GW43" i="24" s="1"/>
  <c r="GT43" i="7" a="1"/>
  <c r="GT43" i="7" s="1"/>
  <c r="GV43" i="24" l="1"/>
  <c r="BX43" i="24" s="1"/>
  <c r="GD43" i="24" s="1"/>
  <c r="BM43" i="32" s="1"/>
  <c r="GU43" i="24"/>
  <c r="BW43" i="24" s="1"/>
  <c r="GC43" i="24" s="1"/>
  <c r="BL43" i="32" s="1"/>
  <c r="GX43" i="24"/>
  <c r="GV43" i="7"/>
  <c r="BX43" i="7" s="1"/>
  <c r="GX43" i="7"/>
  <c r="GW43" i="7"/>
  <c r="GU43" i="7"/>
  <c r="BW43" i="7" s="1"/>
  <c r="EH43" i="24" l="1"/>
  <c r="DZ43" i="24"/>
  <c r="BY43" i="24"/>
  <c r="BZ43" i="24" s="1"/>
  <c r="BY43" i="7"/>
  <c r="CB43" i="7" s="1"/>
  <c r="CR43" i="7" s="1"/>
  <c r="DZ43" i="7"/>
  <c r="GC43" i="7"/>
  <c r="Y43" i="27" s="1"/>
  <c r="GD43" i="7"/>
  <c r="Z43" i="27" s="1"/>
  <c r="EH43" i="7"/>
  <c r="CA43" i="24" l="1"/>
  <c r="CD43" i="24" s="1"/>
  <c r="EQ43" i="24"/>
  <c r="GF43" i="24"/>
  <c r="BO43" i="32" s="1"/>
  <c r="CB43" i="24"/>
  <c r="CR43" i="24" s="1"/>
  <c r="CV43" i="24" s="1"/>
  <c r="CX43" i="24" s="1"/>
  <c r="EF43" i="24" s="1"/>
  <c r="EE44" i="24" s="1"/>
  <c r="EX43" i="24"/>
  <c r="FH43" i="24" s="1"/>
  <c r="GE43" i="24"/>
  <c r="BN43" i="32" s="1"/>
  <c r="CV43" i="7"/>
  <c r="CX43" i="7" s="1"/>
  <c r="CY43" i="7" s="1"/>
  <c r="DC43" i="24"/>
  <c r="DD43" i="24" s="1"/>
  <c r="BZ43" i="7"/>
  <c r="CY43" i="24"/>
  <c r="EX43" i="7"/>
  <c r="FH43" i="7" s="1"/>
  <c r="GE43" i="7"/>
  <c r="AA43" i="27" s="1"/>
  <c r="Z43" i="24" l="1"/>
  <c r="FI43" i="24"/>
  <c r="FA44" i="24"/>
  <c r="EI44" i="24"/>
  <c r="EJ44" i="24"/>
  <c r="EG44" i="24"/>
  <c r="AD44" i="24"/>
  <c r="GL44" i="24"/>
  <c r="BU44" i="32" s="1"/>
  <c r="FI43" i="7"/>
  <c r="FA44" i="7"/>
  <c r="DA43" i="7"/>
  <c r="EQ43" i="7"/>
  <c r="GF43" i="7"/>
  <c r="AB43" i="27" s="1"/>
  <c r="CA43" i="7"/>
  <c r="CD43" i="7" s="1"/>
  <c r="DA43" i="24"/>
  <c r="DE43" i="24" s="1"/>
  <c r="DC43" i="7"/>
  <c r="DD43" i="7" s="1"/>
  <c r="Z43" i="7"/>
  <c r="J43" i="27" s="1"/>
  <c r="EF43" i="7"/>
  <c r="EE44" i="7" s="1"/>
  <c r="DH43" i="24" l="1"/>
  <c r="FT43" i="24" s="1"/>
  <c r="AL43" i="7" s="1"/>
  <c r="Y43" i="24"/>
  <c r="CE43" i="24"/>
  <c r="DF43" i="24"/>
  <c r="BS44" i="24" s="1"/>
  <c r="DJ43" i="24"/>
  <c r="DN43" i="24" s="1"/>
  <c r="DQ43" i="24" s="1"/>
  <c r="GL44" i="7"/>
  <c r="AH44" i="27" s="1"/>
  <c r="EI44" i="7"/>
  <c r="EG44" i="7"/>
  <c r="EJ44" i="7"/>
  <c r="AD44" i="7"/>
  <c r="N44" i="27" s="1"/>
  <c r="DE43" i="7"/>
  <c r="CE43" i="7" s="1"/>
  <c r="DG43" i="24" l="1"/>
  <c r="AB43" i="24"/>
  <c r="EV43" i="24"/>
  <c r="EU44" i="24" s="1"/>
  <c r="AA43" i="24"/>
  <c r="EO43" i="24"/>
  <c r="EN44" i="24" s="1"/>
  <c r="DO43" i="24"/>
  <c r="DM44" i="24" s="1"/>
  <c r="Y43" i="7"/>
  <c r="I43" i="27" s="1"/>
  <c r="DH43" i="7"/>
  <c r="FT43" i="7" s="1"/>
  <c r="AL43" i="24" s="1"/>
  <c r="DX43" i="24" s="1"/>
  <c r="DW44" i="24" s="1"/>
  <c r="DJ43" i="7"/>
  <c r="DN43" i="7" s="1"/>
  <c r="DF43" i="7"/>
  <c r="BS44" i="7" s="1"/>
  <c r="CH43" i="7"/>
  <c r="CI43" i="24"/>
  <c r="CI43" i="7"/>
  <c r="CH43" i="24"/>
  <c r="CP44" i="24" l="1"/>
  <c r="AG44" i="24" s="1"/>
  <c r="EA44" i="24"/>
  <c r="AC44" i="24"/>
  <c r="DY44" i="24"/>
  <c r="EB44" i="24" s="1"/>
  <c r="GK44" i="24"/>
  <c r="BT44" i="32" s="1"/>
  <c r="W43" i="24"/>
  <c r="CJ43" i="24"/>
  <c r="CL43" i="24"/>
  <c r="AA43" i="7"/>
  <c r="K43" i="27" s="1"/>
  <c r="EO43" i="7"/>
  <c r="EN44" i="7" s="1"/>
  <c r="DO43" i="7"/>
  <c r="DM44" i="7" s="1"/>
  <c r="BT44" i="24"/>
  <c r="GM44" i="24"/>
  <c r="BV44" i="32" s="1"/>
  <c r="AE44" i="24"/>
  <c r="EP44" i="24"/>
  <c r="ES44" i="24" s="1"/>
  <c r="DG43" i="7"/>
  <c r="DX43" i="7" s="1"/>
  <c r="DW44" i="7" s="1"/>
  <c r="FB44" i="24"/>
  <c r="GN44" i="24"/>
  <c r="BW44" i="32" s="1"/>
  <c r="AF44" i="24"/>
  <c r="EW44" i="24"/>
  <c r="EZ44" i="24" s="1"/>
  <c r="DQ43" i="7"/>
  <c r="W43" i="7"/>
  <c r="G43" i="27" s="1"/>
  <c r="CJ43" i="7"/>
  <c r="CL43" i="7"/>
  <c r="GK44" i="7" l="1"/>
  <c r="AG44" i="27" s="1"/>
  <c r="AC44" i="7"/>
  <c r="M44" i="27" s="1"/>
  <c r="DY44" i="7"/>
  <c r="EB44" i="7" s="1"/>
  <c r="EA44" i="7"/>
  <c r="FK44" i="24"/>
  <c r="GG43" i="7"/>
  <c r="CK43" i="7"/>
  <c r="V43" i="7"/>
  <c r="GH43" i="7"/>
  <c r="BT44" i="7"/>
  <c r="EV43" i="7"/>
  <c r="EU44" i="7" s="1"/>
  <c r="CP44" i="7" s="1"/>
  <c r="AG44" i="7" s="1"/>
  <c r="Q44" i="27" s="1"/>
  <c r="AB43" i="7"/>
  <c r="L43" i="27" s="1"/>
  <c r="FE44" i="24"/>
  <c r="FD44" i="24"/>
  <c r="FC44" i="24"/>
  <c r="AE44" i="7"/>
  <c r="O44" i="27" s="1"/>
  <c r="GM44" i="7"/>
  <c r="AI44" i="27" s="1"/>
  <c r="EP44" i="7"/>
  <c r="ES44" i="7" s="1"/>
  <c r="CK43" i="24"/>
  <c r="GG43" i="24"/>
  <c r="BP43" i="32" s="1"/>
  <c r="V43" i="24"/>
  <c r="GH43" i="24"/>
  <c r="BQ43" i="32" s="1"/>
  <c r="AD43" i="27" l="1"/>
  <c r="F43" i="27"/>
  <c r="FG44" i="24"/>
  <c r="FF44" i="24"/>
  <c r="AC43" i="27"/>
  <c r="FB44" i="7"/>
  <c r="AF44" i="7"/>
  <c r="P44" i="27" s="1"/>
  <c r="EW44" i="7"/>
  <c r="EZ44" i="7" s="1"/>
  <c r="FK44" i="7" s="1"/>
  <c r="GN44" i="7"/>
  <c r="AJ44" i="27" s="1"/>
  <c r="GP44" i="24"/>
  <c r="GR44" i="24"/>
  <c r="GS44" i="24"/>
  <c r="GQ44" i="24"/>
  <c r="GT44" i="24" l="1" a="1"/>
  <c r="GT44" i="24" s="1"/>
  <c r="GU44" i="24" s="1"/>
  <c r="BW44" i="24" s="1"/>
  <c r="GS44" i="7"/>
  <c r="GP44" i="7"/>
  <c r="GR44" i="7"/>
  <c r="GQ44" i="7"/>
  <c r="FD44" i="7"/>
  <c r="FC44" i="7"/>
  <c r="FE44" i="7"/>
  <c r="GV44" i="24" l="1"/>
  <c r="BX44" i="24" s="1"/>
  <c r="BY44" i="24" s="1"/>
  <c r="BZ44" i="24" s="1"/>
  <c r="GW44" i="24"/>
  <c r="GX44" i="24"/>
  <c r="DZ44" i="24"/>
  <c r="GC44" i="24"/>
  <c r="BL44" i="32" s="1"/>
  <c r="GT44" i="7" a="1"/>
  <c r="GT44" i="7" s="1"/>
  <c r="FF44" i="7"/>
  <c r="FG44" i="7"/>
  <c r="EH44" i="24" l="1"/>
  <c r="GD44" i="24"/>
  <c r="BM44" i="32" s="1"/>
  <c r="EQ44" i="24"/>
  <c r="GF44" i="24"/>
  <c r="BO44" i="32" s="1"/>
  <c r="CA44" i="24"/>
  <c r="CD44" i="24" s="1"/>
  <c r="CB44" i="24"/>
  <c r="CR44" i="24" s="1"/>
  <c r="GW44" i="7"/>
  <c r="GV44" i="7"/>
  <c r="BX44" i="7" s="1"/>
  <c r="GU44" i="7"/>
  <c r="BW44" i="7" s="1"/>
  <c r="GX44" i="7"/>
  <c r="EX44" i="24"/>
  <c r="FH44" i="24" s="1"/>
  <c r="GE44" i="24"/>
  <c r="BN44" i="32" s="1"/>
  <c r="GC44" i="7" l="1"/>
  <c r="Y44" i="27" s="1"/>
  <c r="BY44" i="7"/>
  <c r="BZ44" i="7" s="1"/>
  <c r="DZ44" i="7"/>
  <c r="GD44" i="7"/>
  <c r="Z44" i="27" s="1"/>
  <c r="EH44" i="7"/>
  <c r="CV44" i="24"/>
  <c r="CX44" i="24" s="1"/>
  <c r="CY44" i="24" s="1"/>
  <c r="FI44" i="24"/>
  <c r="FA45" i="24"/>
  <c r="CB44" i="7" l="1"/>
  <c r="CR44" i="7" s="1"/>
  <c r="EQ44" i="7"/>
  <c r="GF44" i="7"/>
  <c r="AB44" i="27" s="1"/>
  <c r="CA44" i="7"/>
  <c r="CD44" i="7" s="1"/>
  <c r="CV44" i="7"/>
  <c r="CX44" i="7" s="1"/>
  <c r="CY44" i="7" s="1"/>
  <c r="DC44" i="24"/>
  <c r="DD44" i="24" s="1"/>
  <c r="Z44" i="24"/>
  <c r="EF44" i="24"/>
  <c r="EE45" i="24" s="1"/>
  <c r="DA44" i="24"/>
  <c r="EX44" i="7"/>
  <c r="FH44" i="7" s="1"/>
  <c r="GE44" i="7"/>
  <c r="AA44" i="27" s="1"/>
  <c r="DA44" i="7" l="1"/>
  <c r="DE44" i="24"/>
  <c r="DC44" i="7"/>
  <c r="DD44" i="7" s="1"/>
  <c r="EF44" i="7"/>
  <c r="EE45" i="7" s="1"/>
  <c r="Z44" i="7"/>
  <c r="J44" i="27" s="1"/>
  <c r="FI44" i="7"/>
  <c r="FA45" i="7"/>
  <c r="AD45" i="24"/>
  <c r="EG45" i="24"/>
  <c r="GL45" i="24"/>
  <c r="BU45" i="32" s="1"/>
  <c r="EI45" i="24"/>
  <c r="EJ45" i="24"/>
  <c r="DE44" i="7" l="1"/>
  <c r="DH44" i="24"/>
  <c r="FT44" i="24" s="1"/>
  <c r="AL44" i="7" s="1"/>
  <c r="Y44" i="24"/>
  <c r="DJ44" i="24"/>
  <c r="DN44" i="24" s="1"/>
  <c r="DQ44" i="24" s="1"/>
  <c r="CE44" i="24"/>
  <c r="DF44" i="24"/>
  <c r="BS45" i="24" s="1"/>
  <c r="GL45" i="7"/>
  <c r="AH45" i="27" s="1"/>
  <c r="EG45" i="7"/>
  <c r="AD45" i="7"/>
  <c r="N45" i="27" s="1"/>
  <c r="EI45" i="7"/>
  <c r="EJ45" i="7"/>
  <c r="DG44" i="24" l="1"/>
  <c r="EV44" i="24"/>
  <c r="EU45" i="24" s="1"/>
  <c r="AB44" i="24"/>
  <c r="AA44" i="24"/>
  <c r="EO44" i="24"/>
  <c r="EN45" i="24" s="1"/>
  <c r="DO44" i="24"/>
  <c r="DM45" i="24" s="1"/>
  <c r="Y44" i="7"/>
  <c r="I44" i="27" s="1"/>
  <c r="DH44" i="7"/>
  <c r="FT44" i="7" s="1"/>
  <c r="AL44" i="24" s="1"/>
  <c r="DX44" i="24" s="1"/>
  <c r="DW45" i="24" s="1"/>
  <c r="DJ44" i="7"/>
  <c r="DN44" i="7" s="1"/>
  <c r="CE44" i="7"/>
  <c r="DF44" i="7"/>
  <c r="BS45" i="7" s="1"/>
  <c r="CH44" i="24"/>
  <c r="CI44" i="24"/>
  <c r="EA45" i="24" l="1"/>
  <c r="DY45" i="24"/>
  <c r="EB45" i="24" s="1"/>
  <c r="GK45" i="24"/>
  <c r="BT45" i="32" s="1"/>
  <c r="AC45" i="24"/>
  <c r="CP45" i="24"/>
  <c r="AG45" i="24" s="1"/>
  <c r="BT45" i="24"/>
  <c r="GM45" i="24"/>
  <c r="BV45" i="32" s="1"/>
  <c r="AE45" i="24"/>
  <c r="EP45" i="24"/>
  <c r="ES45" i="24"/>
  <c r="AA44" i="7"/>
  <c r="K44" i="27" s="1"/>
  <c r="EO44" i="7"/>
  <c r="EN45" i="7" s="1"/>
  <c r="DO44" i="7"/>
  <c r="DM45" i="7" s="1"/>
  <c r="DQ44" i="7"/>
  <c r="DG44" i="7"/>
  <c r="DX44" i="7" s="1"/>
  <c r="DW45" i="7" s="1"/>
  <c r="EW45" i="24"/>
  <c r="EZ45" i="24" s="1"/>
  <c r="GN45" i="24"/>
  <c r="BW45" i="32" s="1"/>
  <c r="FB45" i="24"/>
  <c r="AF45" i="24"/>
  <c r="W44" i="24"/>
  <c r="CJ44" i="24"/>
  <c r="CL44" i="24"/>
  <c r="CI44" i="7"/>
  <c r="CH44" i="7"/>
  <c r="FE45" i="24" l="1"/>
  <c r="FC45" i="24"/>
  <c r="FD45" i="24"/>
  <c r="FK45" i="24"/>
  <c r="V44" i="24"/>
  <c r="GH44" i="24"/>
  <c r="BQ44" i="32" s="1"/>
  <c r="CK44" i="24"/>
  <c r="GG44" i="24"/>
  <c r="BP44" i="32" s="1"/>
  <c r="DY45" i="7"/>
  <c r="EB45" i="7" s="1"/>
  <c r="GK45" i="7"/>
  <c r="AG45" i="27" s="1"/>
  <c r="AC45" i="7"/>
  <c r="M45" i="27" s="1"/>
  <c r="EA45" i="7"/>
  <c r="W44" i="7"/>
  <c r="G44" i="27" s="1"/>
  <c r="CJ44" i="7"/>
  <c r="CL44" i="7"/>
  <c r="EV44" i="7"/>
  <c r="EU45" i="7" s="1"/>
  <c r="AB44" i="7"/>
  <c r="L44" i="27" s="1"/>
  <c r="BT45" i="7"/>
  <c r="AE45" i="7"/>
  <c r="O45" i="27" s="1"/>
  <c r="GM45" i="7"/>
  <c r="AI45" i="27" s="1"/>
  <c r="EP45" i="7"/>
  <c r="ES45" i="7" s="1"/>
  <c r="EW45" i="7" l="1"/>
  <c r="EZ45" i="7" s="1"/>
  <c r="FK45" i="7" s="1"/>
  <c r="FB45" i="7"/>
  <c r="AF45" i="7"/>
  <c r="P45" i="27" s="1"/>
  <c r="GN45" i="7"/>
  <c r="AJ45" i="27" s="1"/>
  <c r="CP45" i="7"/>
  <c r="AG45" i="7" s="1"/>
  <c r="Q45" i="27" s="1"/>
  <c r="GR45" i="24"/>
  <c r="GP45" i="24"/>
  <c r="GQ45" i="24"/>
  <c r="GS45" i="24"/>
  <c r="V44" i="7"/>
  <c r="F44" i="27" s="1"/>
  <c r="CK44" i="7"/>
  <c r="GG44" i="7"/>
  <c r="AC44" i="27" s="1"/>
  <c r="GH44" i="7"/>
  <c r="AD44" i="27" s="1"/>
  <c r="FF45" i="24"/>
  <c r="FG45" i="24"/>
  <c r="GQ45" i="7" l="1"/>
  <c r="GR45" i="7"/>
  <c r="GP45" i="7"/>
  <c r="GS45" i="7"/>
  <c r="GT45" i="24" a="1"/>
  <c r="GT45" i="24" s="1"/>
  <c r="FE45" i="7"/>
  <c r="FD45" i="7"/>
  <c r="FC45" i="7"/>
  <c r="GT45" i="7" l="1" a="1"/>
  <c r="GT45" i="7" s="1"/>
  <c r="GV45" i="7" s="1"/>
  <c r="BX45" i="7" s="1"/>
  <c r="FF45" i="7"/>
  <c r="FG45" i="7"/>
  <c r="GX45" i="24"/>
  <c r="GW45" i="24"/>
  <c r="GU45" i="24"/>
  <c r="BW45" i="24" s="1"/>
  <c r="GV45" i="24"/>
  <c r="BX45" i="24" s="1"/>
  <c r="GX45" i="7" l="1"/>
  <c r="GU45" i="7"/>
  <c r="BW45" i="7" s="1"/>
  <c r="BY45" i="7" s="1"/>
  <c r="CB45" i="7" s="1"/>
  <c r="CR45" i="7" s="1"/>
  <c r="GW45" i="7"/>
  <c r="GD45" i="24"/>
  <c r="BM45" i="32" s="1"/>
  <c r="EH45" i="24"/>
  <c r="GC45" i="24"/>
  <c r="BL45" i="32" s="1"/>
  <c r="DZ45" i="24"/>
  <c r="BY45" i="24"/>
  <c r="BZ45" i="24" s="1"/>
  <c r="CA45" i="24" s="1"/>
  <c r="CD45" i="24" s="1"/>
  <c r="GD45" i="7"/>
  <c r="EH45" i="7"/>
  <c r="Z45" i="27" l="1"/>
  <c r="GC45" i="7"/>
  <c r="Y45" i="27" s="1"/>
  <c r="DZ45" i="7"/>
  <c r="BZ45" i="7"/>
  <c r="EQ45" i="7" s="1"/>
  <c r="CV45" i="7"/>
  <c r="CX45" i="7" s="1"/>
  <c r="CY45" i="7" s="1"/>
  <c r="EX45" i="24"/>
  <c r="FH45" i="24" s="1"/>
  <c r="GE45" i="24"/>
  <c r="BN45" i="32" s="1"/>
  <c r="CB45" i="24"/>
  <c r="CR45" i="24" s="1"/>
  <c r="GF45" i="24"/>
  <c r="BO45" i="32" s="1"/>
  <c r="EQ45" i="24"/>
  <c r="EX45" i="7"/>
  <c r="FH45" i="7" s="1"/>
  <c r="GE45" i="7"/>
  <c r="CA45" i="7" l="1"/>
  <c r="CD45" i="7" s="1"/>
  <c r="GF45" i="7"/>
  <c r="AB45" i="27" s="1"/>
  <c r="AA45" i="27"/>
  <c r="FI45" i="24"/>
  <c r="FA46" i="24"/>
  <c r="FI45" i="7"/>
  <c r="FA46" i="7"/>
  <c r="DA45" i="7"/>
  <c r="CV45" i="24"/>
  <c r="CX45" i="24" s="1"/>
  <c r="CY45" i="24" s="1"/>
  <c r="DC45" i="7"/>
  <c r="DD45" i="7" s="1"/>
  <c r="EF45" i="7"/>
  <c r="EE46" i="7" s="1"/>
  <c r="Z45" i="7"/>
  <c r="DA45" i="24" l="1"/>
  <c r="AD46" i="7"/>
  <c r="GL46" i="7"/>
  <c r="EI46" i="7"/>
  <c r="EJ46" i="7"/>
  <c r="EG46" i="7"/>
  <c r="DC45" i="24"/>
  <c r="DD45" i="24" s="1"/>
  <c r="EF45" i="24"/>
  <c r="EE46" i="24" s="1"/>
  <c r="Z45" i="24"/>
  <c r="J45" i="27" s="1"/>
  <c r="DE45" i="7"/>
  <c r="EG46" i="24" l="1"/>
  <c r="GL46" i="24"/>
  <c r="BU46" i="32" s="1"/>
  <c r="AD46" i="24"/>
  <c r="N46" i="27" s="1"/>
  <c r="EJ46" i="24"/>
  <c r="EI46" i="24"/>
  <c r="DE45" i="24"/>
  <c r="DF45" i="24" s="1"/>
  <c r="BS46" i="24" s="1"/>
  <c r="Y45" i="7"/>
  <c r="DH45" i="7"/>
  <c r="FT45" i="7" s="1"/>
  <c r="AL45" i="24" s="1"/>
  <c r="DJ45" i="7"/>
  <c r="DN45" i="7" s="1"/>
  <c r="DQ45" i="7" s="1"/>
  <c r="CE45" i="7"/>
  <c r="DF45" i="7"/>
  <c r="BS46" i="7" s="1"/>
  <c r="AB45" i="7" l="1"/>
  <c r="EV45" i="7"/>
  <c r="EU46" i="7" s="1"/>
  <c r="DG45" i="7"/>
  <c r="DT45" i="7"/>
  <c r="AA45" i="7"/>
  <c r="EO45" i="7"/>
  <c r="EN46" i="7" s="1"/>
  <c r="DO45" i="7"/>
  <c r="DM46" i="7" s="1"/>
  <c r="AH46" i="27"/>
  <c r="Y45" i="24"/>
  <c r="I45" i="27" s="1"/>
  <c r="DH45" i="24"/>
  <c r="FT45" i="24" s="1"/>
  <c r="AL45" i="7" s="1"/>
  <c r="CE45" i="24"/>
  <c r="DJ45" i="24"/>
  <c r="DN45" i="24" s="1"/>
  <c r="CH45" i="7"/>
  <c r="CI45" i="7"/>
  <c r="DG45" i="24" l="1"/>
  <c r="DX45" i="24" s="1"/>
  <c r="DW46" i="24" s="1"/>
  <c r="AC46" i="24" s="1"/>
  <c r="AA45" i="24"/>
  <c r="K45" i="27" s="1"/>
  <c r="EO45" i="24"/>
  <c r="EN46" i="24" s="1"/>
  <c r="DO45" i="24"/>
  <c r="DM46" i="24" s="1"/>
  <c r="GM46" i="7"/>
  <c r="AE46" i="7"/>
  <c r="EP46" i="7"/>
  <c r="ES46" i="7" s="1"/>
  <c r="GK46" i="24"/>
  <c r="BT46" i="32" s="1"/>
  <c r="W45" i="7"/>
  <c r="CJ45" i="7"/>
  <c r="CL45" i="7"/>
  <c r="DX45" i="7"/>
  <c r="DW46" i="7" s="1"/>
  <c r="EW46" i="7"/>
  <c r="AF46" i="7"/>
  <c r="FB46" i="7"/>
  <c r="GN46" i="7"/>
  <c r="DT45" i="24"/>
  <c r="DQ45" i="24"/>
  <c r="BT46" i="7"/>
  <c r="CH45" i="24"/>
  <c r="CI45" i="24"/>
  <c r="DY46" i="24" l="1"/>
  <c r="EB46" i="24" s="1"/>
  <c r="EA46" i="24"/>
  <c r="AC46" i="7"/>
  <c r="M46" i="27" s="1"/>
  <c r="CP46" i="7"/>
  <c r="AG46" i="7" s="1"/>
  <c r="GK46" i="7"/>
  <c r="AG46" i="27" s="1"/>
  <c r="DY46" i="7"/>
  <c r="EB46" i="7" s="1"/>
  <c r="EA46" i="7"/>
  <c r="BT46" i="24"/>
  <c r="GH45" i="7"/>
  <c r="CK45" i="7"/>
  <c r="V45" i="7"/>
  <c r="CN45" i="7"/>
  <c r="GG45" i="7"/>
  <c r="EP46" i="24"/>
  <c r="GM46" i="24"/>
  <c r="BV46" i="32" s="1"/>
  <c r="AE46" i="24"/>
  <c r="O46" i="27" s="1"/>
  <c r="AB45" i="24"/>
  <c r="L45" i="27" s="1"/>
  <c r="EV45" i="24"/>
  <c r="EU46" i="24" s="1"/>
  <c r="FD46" i="7"/>
  <c r="FE46" i="7"/>
  <c r="FC46" i="7"/>
  <c r="W45" i="24"/>
  <c r="G45" i="27" s="1"/>
  <c r="CJ45" i="24"/>
  <c r="CL45" i="24"/>
  <c r="EZ46" i="7"/>
  <c r="FK46" i="7" l="1"/>
  <c r="GQ46" i="7" s="1"/>
  <c r="AI46" i="27"/>
  <c r="ES46" i="24"/>
  <c r="FB46" i="24"/>
  <c r="GN46" i="24"/>
  <c r="AF46" i="24"/>
  <c r="P46" i="27" s="1"/>
  <c r="EW46" i="24"/>
  <c r="CP46" i="24"/>
  <c r="AG46" i="24" s="1"/>
  <c r="Q46" i="27" s="1"/>
  <c r="CO45" i="7"/>
  <c r="X45" i="7"/>
  <c r="CK45" i="24"/>
  <c r="GG45" i="24"/>
  <c r="BP45" i="32" s="1"/>
  <c r="CN45" i="24"/>
  <c r="GH45" i="24"/>
  <c r="BQ45" i="32" s="1"/>
  <c r="V45" i="24"/>
  <c r="F45" i="27" s="1"/>
  <c r="FG46" i="7"/>
  <c r="FF46" i="7"/>
  <c r="GP46" i="7" l="1"/>
  <c r="GS46" i="7"/>
  <c r="GR46" i="7"/>
  <c r="AD45" i="27"/>
  <c r="AC45" i="27"/>
  <c r="BW46" i="32"/>
  <c r="AJ46" i="27"/>
  <c r="FD46" i="24"/>
  <c r="FC46" i="24"/>
  <c r="FE46" i="24"/>
  <c r="CO45" i="24"/>
  <c r="X45" i="24"/>
  <c r="H45" i="27" s="1"/>
  <c r="EZ46" i="24"/>
  <c r="FK46" i="24" s="1"/>
  <c r="GT46" i="7" l="1" a="1"/>
  <c r="GT46" i="7" s="1"/>
  <c r="GX46" i="7" s="1"/>
  <c r="GU46" i="7"/>
  <c r="BW46" i="7" s="1"/>
  <c r="DZ46" i="7" s="1"/>
  <c r="GV46" i="7"/>
  <c r="BX46" i="7" s="1"/>
  <c r="GD46" i="7" s="1"/>
  <c r="GS46" i="24"/>
  <c r="GQ46" i="24"/>
  <c r="GP46" i="24"/>
  <c r="GR46" i="24"/>
  <c r="FF46" i="24"/>
  <c r="FG46" i="24"/>
  <c r="GW46" i="7" l="1"/>
  <c r="GC46" i="7"/>
  <c r="EH46" i="7"/>
  <c r="BY46" i="7"/>
  <c r="CB46" i="7" s="1"/>
  <c r="CR46" i="7" s="1"/>
  <c r="CV46" i="7" s="1"/>
  <c r="CX46" i="7" s="1"/>
  <c r="CY46" i="7" s="1"/>
  <c r="GT46" i="24" a="1"/>
  <c r="GT46" i="24" s="1"/>
  <c r="BZ46" i="7" l="1"/>
  <c r="CA46" i="7" s="1"/>
  <c r="CD46" i="7" s="1"/>
  <c r="EX46" i="7"/>
  <c r="FH46" i="7" s="1"/>
  <c r="FA47" i="7" s="1"/>
  <c r="GE46" i="7"/>
  <c r="GX46" i="24"/>
  <c r="GW46" i="24"/>
  <c r="GU46" i="24"/>
  <c r="BW46" i="24" s="1"/>
  <c r="GV46" i="24"/>
  <c r="BX46" i="24" s="1"/>
  <c r="DA46" i="7"/>
  <c r="DC46" i="7"/>
  <c r="DD46" i="7" s="1"/>
  <c r="Z46" i="7"/>
  <c r="EF46" i="7"/>
  <c r="EE47" i="7" s="1"/>
  <c r="EQ46" i="7" l="1"/>
  <c r="GF46" i="7"/>
  <c r="FI46" i="7"/>
  <c r="GD46" i="24"/>
  <c r="EH46" i="24"/>
  <c r="DE46" i="7"/>
  <c r="DF46" i="7" s="1"/>
  <c r="BS47" i="7" s="1"/>
  <c r="BY46" i="24"/>
  <c r="CB46" i="24" s="1"/>
  <c r="CR46" i="24" s="1"/>
  <c r="DZ46" i="24"/>
  <c r="GC46" i="24"/>
  <c r="EJ47" i="7"/>
  <c r="EG47" i="7"/>
  <c r="EI47" i="7"/>
  <c r="GL47" i="7"/>
  <c r="AD47" i="7"/>
  <c r="CV46" i="24" l="1"/>
  <c r="CX46" i="24" s="1"/>
  <c r="Y46" i="7"/>
  <c r="DH46" i="7"/>
  <c r="FT46" i="7" s="1"/>
  <c r="AL46" i="24" s="1"/>
  <c r="DJ46" i="7"/>
  <c r="DN46" i="7" s="1"/>
  <c r="DQ46" i="7" s="1"/>
  <c r="BL46" i="32"/>
  <c r="Y46" i="27"/>
  <c r="BM46" i="32"/>
  <c r="Z46" i="27"/>
  <c r="EX46" i="24"/>
  <c r="FH46" i="24" s="1"/>
  <c r="GE46" i="24"/>
  <c r="CE46" i="7"/>
  <c r="BZ46" i="24"/>
  <c r="EV46" i="7" l="1"/>
  <c r="EU47" i="7" s="1"/>
  <c r="AB46" i="7"/>
  <c r="FI46" i="24"/>
  <c r="FA47" i="24"/>
  <c r="AA46" i="7"/>
  <c r="EO46" i="7"/>
  <c r="EN47" i="7" s="1"/>
  <c r="DO46" i="7"/>
  <c r="DM47" i="7" s="1"/>
  <c r="DG46" i="7"/>
  <c r="DT46" i="7"/>
  <c r="BN46" i="32"/>
  <c r="AA46" i="27"/>
  <c r="EF46" i="24"/>
  <c r="EE47" i="24" s="1"/>
  <c r="DC46" i="24"/>
  <c r="DD46" i="24" s="1"/>
  <c r="Z46" i="24"/>
  <c r="J46" i="27" s="1"/>
  <c r="EQ46" i="24"/>
  <c r="GF46" i="24"/>
  <c r="CA46" i="24"/>
  <c r="CD46" i="24" s="1"/>
  <c r="CY46" i="24"/>
  <c r="CI46" i="7"/>
  <c r="CH46" i="7"/>
  <c r="GL47" i="24" l="1"/>
  <c r="AD47" i="24"/>
  <c r="N47" i="27" s="1"/>
  <c r="EJ47" i="24"/>
  <c r="EI47" i="24"/>
  <c r="EG47" i="24"/>
  <c r="BT47" i="7"/>
  <c r="AE47" i="7"/>
  <c r="GM47" i="7"/>
  <c r="EP47" i="7"/>
  <c r="ES47" i="7" s="1"/>
  <c r="DA46" i="24"/>
  <c r="DE46" i="24" s="1"/>
  <c r="BO46" i="32"/>
  <c r="AB46" i="27"/>
  <c r="W46" i="7"/>
  <c r="CJ46" i="7"/>
  <c r="CL46" i="7"/>
  <c r="AF47" i="7"/>
  <c r="FB47" i="7"/>
  <c r="GN47" i="7"/>
  <c r="EW47" i="7"/>
  <c r="EZ47" i="7" s="1"/>
  <c r="Y46" i="24" l="1"/>
  <c r="I46" i="27" s="1"/>
  <c r="DH46" i="24"/>
  <c r="FT46" i="24" s="1"/>
  <c r="AL46" i="7" s="1"/>
  <c r="DX46" i="7" s="1"/>
  <c r="DW47" i="7" s="1"/>
  <c r="DF46" i="24"/>
  <c r="BS47" i="24" s="1"/>
  <c r="DJ46" i="24"/>
  <c r="DN46" i="24" s="1"/>
  <c r="DQ46" i="24" s="1"/>
  <c r="CE46" i="24"/>
  <c r="CK46" i="7"/>
  <c r="V46" i="7"/>
  <c r="GG46" i="7"/>
  <c r="GH46" i="7"/>
  <c r="CN46" i="7"/>
  <c r="BU47" i="32"/>
  <c r="AH47" i="27"/>
  <c r="FC47" i="7"/>
  <c r="FD47" i="7"/>
  <c r="FE47" i="7"/>
  <c r="EV46" i="24" l="1"/>
  <c r="EU47" i="24" s="1"/>
  <c r="AB46" i="24"/>
  <c r="L46" i="27" s="1"/>
  <c r="X46" i="7"/>
  <c r="CO46" i="7"/>
  <c r="DT46" i="24"/>
  <c r="FG47" i="7"/>
  <c r="FF47" i="7"/>
  <c r="AA46" i="24"/>
  <c r="K46" i="27" s="1"/>
  <c r="EO46" i="24"/>
  <c r="EN47" i="24" s="1"/>
  <c r="DO46" i="24"/>
  <c r="DM47" i="24" s="1"/>
  <c r="DG46" i="24"/>
  <c r="DX46" i="24" s="1"/>
  <c r="DW47" i="24" s="1"/>
  <c r="CP47" i="7"/>
  <c r="AG47" i="7" s="1"/>
  <c r="GK47" i="7"/>
  <c r="AC47" i="7"/>
  <c r="EA47" i="7"/>
  <c r="DY47" i="7"/>
  <c r="CH46" i="24"/>
  <c r="CI46" i="24"/>
  <c r="EB47" i="7" l="1"/>
  <c r="FK47" i="7" s="1"/>
  <c r="BT47" i="24"/>
  <c r="EP47" i="24"/>
  <c r="ES47" i="24" s="1"/>
  <c r="AE47" i="24"/>
  <c r="O47" i="27" s="1"/>
  <c r="GM47" i="24"/>
  <c r="W46" i="24"/>
  <c r="G46" i="27" s="1"/>
  <c r="CJ46" i="24"/>
  <c r="CL46" i="24"/>
  <c r="GK47" i="24"/>
  <c r="BT47" i="32" s="1"/>
  <c r="AC47" i="24"/>
  <c r="M47" i="27" s="1"/>
  <c r="EA47" i="24"/>
  <c r="DY47" i="24"/>
  <c r="EB47" i="24" s="1"/>
  <c r="CP47" i="24"/>
  <c r="AG47" i="24" s="1"/>
  <c r="Q47" i="27" s="1"/>
  <c r="AF47" i="24"/>
  <c r="P47" i="27" s="1"/>
  <c r="FB47" i="24"/>
  <c r="GN47" i="24"/>
  <c r="EW47" i="24"/>
  <c r="EZ47" i="24" s="1"/>
  <c r="FK47" i="24" l="1"/>
  <c r="GS47" i="24" s="1"/>
  <c r="BW47" i="32"/>
  <c r="AJ47" i="27"/>
  <c r="FC47" i="24"/>
  <c r="FE47" i="24"/>
  <c r="FD47" i="24"/>
  <c r="CN46" i="24"/>
  <c r="CK46" i="24"/>
  <c r="V46" i="24"/>
  <c r="F46" i="27" s="1"/>
  <c r="GH46" i="24"/>
  <c r="GG46" i="24"/>
  <c r="AG47" i="27"/>
  <c r="GP47" i="7"/>
  <c r="GS47" i="7"/>
  <c r="GR47" i="7"/>
  <c r="GQ47" i="7"/>
  <c r="BV47" i="32"/>
  <c r="AI47" i="27"/>
  <c r="GR47" i="24" l="1"/>
  <c r="GP47" i="24"/>
  <c r="GQ47" i="24"/>
  <c r="BP46" i="32"/>
  <c r="AC46" i="27"/>
  <c r="BQ46" i="32"/>
  <c r="AD46" i="27"/>
  <c r="GT47" i="7" a="1"/>
  <c r="GT47" i="7" s="1"/>
  <c r="X46" i="24"/>
  <c r="H46" i="27" s="1"/>
  <c r="CO46" i="24"/>
  <c r="FF47" i="24"/>
  <c r="FG47" i="24"/>
  <c r="GT47" i="24" l="1" a="1"/>
  <c r="GT47" i="24" s="1"/>
  <c r="GV47" i="24" s="1"/>
  <c r="BX47" i="24" s="1"/>
  <c r="GX47" i="7"/>
  <c r="GU47" i="7"/>
  <c r="BW47" i="7" s="1"/>
  <c r="GV47" i="7"/>
  <c r="BX47" i="7" s="1"/>
  <c r="GW47" i="7"/>
  <c r="GW47" i="24" l="1"/>
  <c r="GU47" i="24"/>
  <c r="BW47" i="24" s="1"/>
  <c r="GC47" i="24" s="1"/>
  <c r="BL47" i="32" s="1"/>
  <c r="GX47" i="24"/>
  <c r="EH47" i="7"/>
  <c r="GD47" i="7"/>
  <c r="DZ47" i="7"/>
  <c r="GC47" i="7"/>
  <c r="BY47" i="7"/>
  <c r="CB47" i="7" s="1"/>
  <c r="CR47" i="7" s="1"/>
  <c r="GD47" i="24"/>
  <c r="BM47" i="32" s="1"/>
  <c r="EH47" i="24"/>
  <c r="DZ47" i="24" l="1"/>
  <c r="BY47" i="24"/>
  <c r="CB47" i="24" s="1"/>
  <c r="CR47" i="24" s="1"/>
  <c r="CV47" i="24" s="1"/>
  <c r="CX47" i="24" s="1"/>
  <c r="CY47" i="24" s="1"/>
  <c r="BZ47" i="24"/>
  <c r="CA47" i="24" s="1"/>
  <c r="CD47" i="24" s="1"/>
  <c r="BZ47" i="7"/>
  <c r="EQ47" i="7" s="1"/>
  <c r="CV47" i="7"/>
  <c r="CX47" i="7" s="1"/>
  <c r="GE47" i="7"/>
  <c r="EX47" i="7"/>
  <c r="FH47" i="7" s="1"/>
  <c r="Y47" i="27"/>
  <c r="Z47" i="27"/>
  <c r="EX47" i="24" l="1"/>
  <c r="FH47" i="24" s="1"/>
  <c r="GE47" i="24"/>
  <c r="BN47" i="32" s="1"/>
  <c r="GF47" i="7"/>
  <c r="EQ47" i="24"/>
  <c r="GF47" i="24"/>
  <c r="BO47" i="32" s="1"/>
  <c r="CA47" i="7"/>
  <c r="CD47" i="7" s="1"/>
  <c r="FI47" i="24"/>
  <c r="FA48" i="24"/>
  <c r="FI47" i="7"/>
  <c r="FA48" i="7"/>
  <c r="AA47" i="27"/>
  <c r="DC47" i="7"/>
  <c r="DD47" i="7" s="1"/>
  <c r="EF47" i="7"/>
  <c r="EE48" i="7" s="1"/>
  <c r="Z47" i="7"/>
  <c r="CY47" i="7"/>
  <c r="DA47" i="24"/>
  <c r="Z47" i="24"/>
  <c r="EF47" i="24"/>
  <c r="EE48" i="24" s="1"/>
  <c r="DC47" i="24"/>
  <c r="DD47" i="24" s="1"/>
  <c r="AB47" i="27" l="1"/>
  <c r="J47" i="27"/>
  <c r="AD48" i="7"/>
  <c r="GL48" i="7"/>
  <c r="EJ48" i="7"/>
  <c r="EG48" i="7"/>
  <c r="EI48" i="7"/>
  <c r="EJ48" i="24"/>
  <c r="EG48" i="24"/>
  <c r="AD48" i="24"/>
  <c r="GL48" i="24"/>
  <c r="BU48" i="32" s="1"/>
  <c r="EI48" i="24"/>
  <c r="DE47" i="24"/>
  <c r="DF47" i="24" s="1"/>
  <c r="BS48" i="24" s="1"/>
  <c r="DA47" i="7"/>
  <c r="DE47" i="7" s="1"/>
  <c r="CE47" i="24" l="1"/>
  <c r="CH47" i="24" s="1"/>
  <c r="Y47" i="7"/>
  <c r="DH47" i="7"/>
  <c r="FT47" i="7" s="1"/>
  <c r="AL47" i="24" s="1"/>
  <c r="CE47" i="7"/>
  <c r="DJ47" i="7"/>
  <c r="DN47" i="7" s="1"/>
  <c r="DQ47" i="7" s="1"/>
  <c r="DF47" i="7"/>
  <c r="BS48" i="7" s="1"/>
  <c r="AH48" i="27"/>
  <c r="DH47" i="24"/>
  <c r="FT47" i="24" s="1"/>
  <c r="AL47" i="7" s="1"/>
  <c r="Y47" i="24"/>
  <c r="DJ47" i="24"/>
  <c r="DN47" i="24" s="1"/>
  <c r="N48" i="27"/>
  <c r="CI47" i="24" l="1"/>
  <c r="W47" i="24" s="1"/>
  <c r="DT47" i="24"/>
  <c r="DG47" i="7"/>
  <c r="AB47" i="7"/>
  <c r="EV47" i="7"/>
  <c r="EU48" i="7" s="1"/>
  <c r="EO47" i="7"/>
  <c r="EN48" i="7" s="1"/>
  <c r="AA47" i="7"/>
  <c r="K47" i="27" s="1"/>
  <c r="DO47" i="7"/>
  <c r="DM48" i="7" s="1"/>
  <c r="DG47" i="24"/>
  <c r="DX47" i="24" s="1"/>
  <c r="DW48" i="24" s="1"/>
  <c r="DT47" i="7"/>
  <c r="DX47" i="7"/>
  <c r="DW48" i="7" s="1"/>
  <c r="AA47" i="24"/>
  <c r="EO47" i="24"/>
  <c r="EN48" i="24" s="1"/>
  <c r="DO47" i="24"/>
  <c r="DM48" i="24" s="1"/>
  <c r="DQ47" i="24"/>
  <c r="CL47" i="24"/>
  <c r="I47" i="27"/>
  <c r="CI47" i="7"/>
  <c r="CH47" i="7"/>
  <c r="CJ47" i="24" l="1"/>
  <c r="CK47" i="24" s="1"/>
  <c r="W47" i="7"/>
  <c r="G47" i="27" s="1"/>
  <c r="CL47" i="7"/>
  <c r="CJ47" i="7"/>
  <c r="AB47" i="24"/>
  <c r="EV47" i="24"/>
  <c r="EU48" i="24" s="1"/>
  <c r="CP48" i="24" s="1"/>
  <c r="AG48" i="24" s="1"/>
  <c r="AC48" i="24"/>
  <c r="GK48" i="24"/>
  <c r="BT48" i="32" s="1"/>
  <c r="EA48" i="24"/>
  <c r="DY48" i="24"/>
  <c r="EB48" i="24" s="1"/>
  <c r="BT48" i="24"/>
  <c r="BT48" i="7"/>
  <c r="EP48" i="7"/>
  <c r="ES48" i="7" s="1"/>
  <c r="GM48" i="7"/>
  <c r="AE48" i="7"/>
  <c r="GG47" i="24"/>
  <c r="BP47" i="32" s="1"/>
  <c r="GH47" i="24"/>
  <c r="BQ47" i="32" s="1"/>
  <c r="CN47" i="24"/>
  <c r="V47" i="24"/>
  <c r="EP48" i="24"/>
  <c r="AE48" i="24"/>
  <c r="GM48" i="24"/>
  <c r="BV48" i="32" s="1"/>
  <c r="AC48" i="7"/>
  <c r="M48" i="27" s="1"/>
  <c r="CP48" i="7"/>
  <c r="AG48" i="7" s="1"/>
  <c r="EA48" i="7"/>
  <c r="DY48" i="7"/>
  <c r="GK48" i="7"/>
  <c r="GN48" i="7"/>
  <c r="AF48" i="7"/>
  <c r="FB48" i="7"/>
  <c r="EW48" i="7"/>
  <c r="EZ48" i="7" s="1"/>
  <c r="L47" i="27"/>
  <c r="O48" i="27" l="1"/>
  <c r="AG48" i="27"/>
  <c r="EB48" i="7"/>
  <c r="FK48" i="7" s="1"/>
  <c r="ES48" i="24"/>
  <c r="AI48" i="27"/>
  <c r="AF48" i="24"/>
  <c r="P48" i="27" s="1"/>
  <c r="FB48" i="24"/>
  <c r="GN48" i="24"/>
  <c r="BW48" i="32" s="1"/>
  <c r="EW48" i="24"/>
  <c r="FE48" i="7"/>
  <c r="FD48" i="7"/>
  <c r="FC48" i="7"/>
  <c r="Q48" i="27"/>
  <c r="GG47" i="7"/>
  <c r="AC47" i="27" s="1"/>
  <c r="CK47" i="7"/>
  <c r="V47" i="7"/>
  <c r="F47" i="27" s="1"/>
  <c r="GH47" i="7"/>
  <c r="AD47" i="27" s="1"/>
  <c r="CN47" i="7"/>
  <c r="X47" i="24"/>
  <c r="CO47" i="24"/>
  <c r="AJ48" i="27" l="1"/>
  <c r="FF48" i="7"/>
  <c r="FG48" i="7"/>
  <c r="GQ48" i="7"/>
  <c r="GR48" i="7"/>
  <c r="GP48" i="7"/>
  <c r="GS48" i="7"/>
  <c r="FD48" i="24"/>
  <c r="FC48" i="24"/>
  <c r="FE48" i="24"/>
  <c r="CO47" i="7"/>
  <c r="X47" i="7"/>
  <c r="H47" i="27" s="1"/>
  <c r="EZ48" i="24"/>
  <c r="FK48" i="24" s="1"/>
  <c r="GP48" i="24" l="1"/>
  <c r="GS48" i="24"/>
  <c r="GQ48" i="24"/>
  <c r="GR48" i="24"/>
  <c r="GT48" i="7" a="1"/>
  <c r="GT48" i="7" s="1"/>
  <c r="FG48" i="24"/>
  <c r="FF48" i="24"/>
  <c r="GV48" i="7" l="1"/>
  <c r="BX48" i="7" s="1"/>
  <c r="GU48" i="7"/>
  <c r="BW48" i="7" s="1"/>
  <c r="GX48" i="7"/>
  <c r="GW48" i="7"/>
  <c r="GT48" i="24" a="1"/>
  <c r="GT48" i="24" s="1"/>
  <c r="GW48" i="24" l="1"/>
  <c r="GU48" i="24"/>
  <c r="BW48" i="24" s="1"/>
  <c r="GV48" i="24"/>
  <c r="BX48" i="24" s="1"/>
  <c r="GX48" i="24"/>
  <c r="GC48" i="7"/>
  <c r="DZ48" i="7"/>
  <c r="BY48" i="7"/>
  <c r="CB48" i="7" s="1"/>
  <c r="CR48" i="7" s="1"/>
  <c r="GD48" i="7"/>
  <c r="EH48" i="7"/>
  <c r="EX48" i="7" l="1"/>
  <c r="FH48" i="7" s="1"/>
  <c r="GE48" i="7"/>
  <c r="CV48" i="7"/>
  <c r="CX48" i="7" s="1"/>
  <c r="GD48" i="24"/>
  <c r="BM48" i="32" s="1"/>
  <c r="EH48" i="24"/>
  <c r="DZ48" i="24"/>
  <c r="GC48" i="24"/>
  <c r="BL48" i="32" s="1"/>
  <c r="BY48" i="24"/>
  <c r="CB48" i="24" s="1"/>
  <c r="CR48" i="24" s="1"/>
  <c r="BZ48" i="7"/>
  <c r="BZ48" i="24" l="1"/>
  <c r="EF48" i="7"/>
  <c r="EE49" i="7" s="1"/>
  <c r="Z48" i="7"/>
  <c r="DC48" i="7"/>
  <c r="DD48" i="7" s="1"/>
  <c r="CV48" i="24"/>
  <c r="CX48" i="24" s="1"/>
  <c r="CY48" i="24" s="1"/>
  <c r="CY48" i="7"/>
  <c r="Z48" i="27"/>
  <c r="Y48" i="27"/>
  <c r="GE48" i="24"/>
  <c r="BN48" i="32" s="1"/>
  <c r="EX48" i="24"/>
  <c r="FH48" i="24" s="1"/>
  <c r="EQ48" i="7"/>
  <c r="GF48" i="7"/>
  <c r="CA48" i="7"/>
  <c r="CD48" i="7" s="1"/>
  <c r="FI48" i="7"/>
  <c r="FA49" i="7"/>
  <c r="DA48" i="24" l="1"/>
  <c r="DA48" i="7"/>
  <c r="DE48" i="7" s="1"/>
  <c r="DC48" i="24"/>
  <c r="DD48" i="24" s="1"/>
  <c r="EF48" i="24"/>
  <c r="EE49" i="24" s="1"/>
  <c r="Z48" i="24"/>
  <c r="J48" i="27" s="1"/>
  <c r="FI48" i="24"/>
  <c r="FA49" i="24"/>
  <c r="AA48" i="27"/>
  <c r="EG49" i="7"/>
  <c r="EI49" i="7"/>
  <c r="EJ49" i="7"/>
  <c r="AD49" i="7"/>
  <c r="GL49" i="7"/>
  <c r="GF48" i="24"/>
  <c r="BO48" i="32" s="1"/>
  <c r="EQ48" i="24"/>
  <c r="CA48" i="24"/>
  <c r="CD48" i="24" s="1"/>
  <c r="AB48" i="27" l="1"/>
  <c r="Y48" i="7"/>
  <c r="DH48" i="7"/>
  <c r="FT48" i="7" s="1"/>
  <c r="AL48" i="24" s="1"/>
  <c r="DF48" i="7"/>
  <c r="BS49" i="7" s="1"/>
  <c r="CE48" i="7"/>
  <c r="DJ48" i="7"/>
  <c r="DN48" i="7" s="1"/>
  <c r="DE48" i="24"/>
  <c r="DF48" i="24" s="1"/>
  <c r="BS49" i="24" s="1"/>
  <c r="EJ49" i="24"/>
  <c r="EI49" i="24"/>
  <c r="EG49" i="24"/>
  <c r="AD49" i="24"/>
  <c r="N49" i="27" s="1"/>
  <c r="GL49" i="24"/>
  <c r="BU49" i="32" s="1"/>
  <c r="DG48" i="7" l="1"/>
  <c r="AH49" i="27"/>
  <c r="CE48" i="24"/>
  <c r="AA48" i="7"/>
  <c r="EO48" i="7"/>
  <c r="EN49" i="7" s="1"/>
  <c r="DO48" i="7"/>
  <c r="DM49" i="7" s="1"/>
  <c r="DT48" i="7"/>
  <c r="DT48" i="24"/>
  <c r="DQ48" i="7"/>
  <c r="Y48" i="24"/>
  <c r="I48" i="27" s="1"/>
  <c r="DH48" i="24"/>
  <c r="FT48" i="24" s="1"/>
  <c r="AL48" i="7" s="1"/>
  <c r="DJ48" i="24"/>
  <c r="DN48" i="24" s="1"/>
  <c r="CI48" i="24"/>
  <c r="CH48" i="24"/>
  <c r="CH48" i="7"/>
  <c r="CI48" i="7"/>
  <c r="DX48" i="7" l="1"/>
  <c r="DW49" i="7" s="1"/>
  <c r="GK49" i="7" s="1"/>
  <c r="DG48" i="24"/>
  <c r="DX48" i="24" s="1"/>
  <c r="DW49" i="24" s="1"/>
  <c r="GK49" i="24" s="1"/>
  <c r="BT49" i="32" s="1"/>
  <c r="W48" i="7"/>
  <c r="CJ48" i="7"/>
  <c r="CL48" i="7"/>
  <c r="BT49" i="7"/>
  <c r="EV48" i="7"/>
  <c r="EU49" i="7" s="1"/>
  <c r="AB48" i="7"/>
  <c r="AE49" i="7"/>
  <c r="GM49" i="7"/>
  <c r="EP49" i="7"/>
  <c r="ES49" i="7" s="1"/>
  <c r="AA48" i="24"/>
  <c r="K48" i="27" s="1"/>
  <c r="EO48" i="24"/>
  <c r="EN49" i="24" s="1"/>
  <c r="DO48" i="24"/>
  <c r="DM49" i="24" s="1"/>
  <c r="DQ48" i="24"/>
  <c r="W48" i="24"/>
  <c r="CL48" i="24"/>
  <c r="CJ48" i="24"/>
  <c r="AC49" i="7" l="1"/>
  <c r="DY49" i="7"/>
  <c r="EB49" i="7" s="1"/>
  <c r="EA49" i="7"/>
  <c r="AC49" i="24"/>
  <c r="EA49" i="24"/>
  <c r="G48" i="27"/>
  <c r="DY49" i="24"/>
  <c r="EB49" i="24" s="1"/>
  <c r="AB48" i="24"/>
  <c r="L48" i="27" s="1"/>
  <c r="EV48" i="24"/>
  <c r="EU49" i="24" s="1"/>
  <c r="CP49" i="24" s="1"/>
  <c r="AG49" i="24" s="1"/>
  <c r="GM49" i="24"/>
  <c r="BV49" i="32" s="1"/>
  <c r="AE49" i="24"/>
  <c r="O49" i="27" s="1"/>
  <c r="EP49" i="24"/>
  <c r="ES49" i="24" s="1"/>
  <c r="AF49" i="7"/>
  <c r="EW49" i="7"/>
  <c r="EZ49" i="7" s="1"/>
  <c r="GN49" i="7"/>
  <c r="FB49" i="7"/>
  <c r="BT49" i="24"/>
  <c r="AG49" i="27"/>
  <c r="GH48" i="24"/>
  <c r="BQ48" i="32" s="1"/>
  <c r="CK48" i="24"/>
  <c r="GG48" i="24"/>
  <c r="BP48" i="32" s="1"/>
  <c r="V48" i="24"/>
  <c r="CN48" i="24"/>
  <c r="V48" i="7"/>
  <c r="CK48" i="7"/>
  <c r="GH48" i="7"/>
  <c r="CN48" i="7"/>
  <c r="GG48" i="7"/>
  <c r="CP49" i="7"/>
  <c r="AG49" i="7" s="1"/>
  <c r="M49" i="27" l="1"/>
  <c r="FK49" i="7"/>
  <c r="GP49" i="7" s="1"/>
  <c r="AC48" i="27"/>
  <c r="F48" i="27"/>
  <c r="Q49" i="27"/>
  <c r="AI49" i="27"/>
  <c r="GS49" i="7"/>
  <c r="GQ49" i="7"/>
  <c r="GR49" i="7"/>
  <c r="FD49" i="7"/>
  <c r="FE49" i="7"/>
  <c r="FC49" i="7"/>
  <c r="FB49" i="24"/>
  <c r="GN49" i="24"/>
  <c r="BW49" i="32" s="1"/>
  <c r="AF49" i="24"/>
  <c r="P49" i="27" s="1"/>
  <c r="EW49" i="24"/>
  <c r="EZ49" i="24" s="1"/>
  <c r="FK49" i="24" s="1"/>
  <c r="X48" i="24"/>
  <c r="CO48" i="24"/>
  <c r="CO48" i="7"/>
  <c r="X48" i="7"/>
  <c r="AD48" i="27"/>
  <c r="H48" i="27" l="1"/>
  <c r="GS49" i="24"/>
  <c r="GP49" i="24"/>
  <c r="GQ49" i="24"/>
  <c r="GR49" i="24"/>
  <c r="FG49" i="7"/>
  <c r="FF49" i="7"/>
  <c r="FC49" i="24"/>
  <c r="FE49" i="24"/>
  <c r="FD49" i="24"/>
  <c r="AJ49" i="27"/>
  <c r="GT49" i="7" a="1"/>
  <c r="GT49" i="7" s="1"/>
  <c r="GU49" i="7" l="1"/>
  <c r="BW49" i="7" s="1"/>
  <c r="GV49" i="7"/>
  <c r="BX49" i="7" s="1"/>
  <c r="GW49" i="7"/>
  <c r="GX49" i="7"/>
  <c r="GT49" i="24" a="1"/>
  <c r="GT49" i="24" s="1"/>
  <c r="FF49" i="24"/>
  <c r="FG49" i="24"/>
  <c r="GX49" i="24" l="1"/>
  <c r="GV49" i="24"/>
  <c r="BX49" i="24" s="1"/>
  <c r="GW49" i="24"/>
  <c r="GU49" i="24"/>
  <c r="BW49" i="24" s="1"/>
  <c r="EH49" i="7"/>
  <c r="GD49" i="7"/>
  <c r="GC49" i="7"/>
  <c r="DZ49" i="7"/>
  <c r="BY49" i="7"/>
  <c r="BZ49" i="7" s="1"/>
  <c r="GF49" i="7" l="1"/>
  <c r="EQ49" i="7"/>
  <c r="CA49" i="7"/>
  <c r="CD49" i="7" s="1"/>
  <c r="GC49" i="24"/>
  <c r="BL49" i="32" s="1"/>
  <c r="BY49" i="24"/>
  <c r="DZ49" i="24"/>
  <c r="EH49" i="24"/>
  <c r="GD49" i="24"/>
  <c r="BM49" i="32" s="1"/>
  <c r="GE49" i="7"/>
  <c r="EX49" i="7"/>
  <c r="FH49" i="7" s="1"/>
  <c r="CB49" i="7"/>
  <c r="CR49" i="7" s="1"/>
  <c r="FI49" i="7" l="1"/>
  <c r="FA50" i="7"/>
  <c r="GE49" i="24"/>
  <c r="BN49" i="32" s="1"/>
  <c r="EX49" i="24"/>
  <c r="FH49" i="24" s="1"/>
  <c r="CB49" i="24"/>
  <c r="CR49" i="24" s="1"/>
  <c r="Z49" i="27"/>
  <c r="Y49" i="27"/>
  <c r="CV49" i="7"/>
  <c r="CX49" i="7" s="1"/>
  <c r="CY49" i="7" s="1"/>
  <c r="BZ49" i="24"/>
  <c r="CA49" i="24" s="1"/>
  <c r="CD49" i="24" s="1"/>
  <c r="AA49" i="27" l="1"/>
  <c r="DA49" i="7"/>
  <c r="CV49" i="24"/>
  <c r="CX49" i="24" s="1"/>
  <c r="CY49" i="24" s="1"/>
  <c r="DC49" i="7"/>
  <c r="DD49" i="7" s="1"/>
  <c r="EF49" i="7"/>
  <c r="EE50" i="7" s="1"/>
  <c r="Z49" i="7"/>
  <c r="FI49" i="24"/>
  <c r="FA50" i="24"/>
  <c r="EQ49" i="24"/>
  <c r="GF49" i="24"/>
  <c r="DE49" i="7" l="1"/>
  <c r="DF49" i="7" s="1"/>
  <c r="BS50" i="7" s="1"/>
  <c r="DA49" i="24"/>
  <c r="Z49" i="24"/>
  <c r="J49" i="27" s="1"/>
  <c r="EF49" i="24"/>
  <c r="EE50" i="24" s="1"/>
  <c r="DC49" i="24"/>
  <c r="DD49" i="24" s="1"/>
  <c r="BO49" i="32"/>
  <c r="AB49" i="27"/>
  <c r="GL50" i="7"/>
  <c r="AD50" i="7"/>
  <c r="EI50" i="7"/>
  <c r="EG50" i="7"/>
  <c r="EJ50" i="7"/>
  <c r="DE49" i="24" l="1"/>
  <c r="DF49" i="24" s="1"/>
  <c r="BS50" i="24" s="1"/>
  <c r="EG50" i="24"/>
  <c r="AD50" i="24"/>
  <c r="N50" i="27" s="1"/>
  <c r="GL50" i="24"/>
  <c r="BU50" i="32" s="1"/>
  <c r="EJ50" i="24"/>
  <c r="EI50" i="24"/>
  <c r="Y49" i="7"/>
  <c r="DH49" i="7"/>
  <c r="FT49" i="7" s="1"/>
  <c r="AL49" i="24" s="1"/>
  <c r="DJ49" i="7"/>
  <c r="DN49" i="7" s="1"/>
  <c r="DQ49" i="7" s="1"/>
  <c r="CE49" i="7"/>
  <c r="DG49" i="7" l="1"/>
  <c r="AB49" i="7"/>
  <c r="EV49" i="7"/>
  <c r="EU50" i="7" s="1"/>
  <c r="AH50" i="27"/>
  <c r="AA49" i="7"/>
  <c r="EO49" i="7"/>
  <c r="EN50" i="7" s="1"/>
  <c r="DO49" i="7"/>
  <c r="DM50" i="7" s="1"/>
  <c r="Y49" i="24"/>
  <c r="I49" i="27" s="1"/>
  <c r="DH49" i="24"/>
  <c r="FT49" i="24" s="1"/>
  <c r="AL49" i="7" s="1"/>
  <c r="CE49" i="24"/>
  <c r="DJ49" i="24"/>
  <c r="DN49" i="24" s="1"/>
  <c r="DQ49" i="24" s="1"/>
  <c r="BE50" i="7"/>
  <c r="DT49" i="7"/>
  <c r="CI49" i="7"/>
  <c r="CH49" i="7"/>
  <c r="DX49" i="7" l="1"/>
  <c r="DW50" i="7" s="1"/>
  <c r="GK50" i="7" s="1"/>
  <c r="EA50" i="7"/>
  <c r="W49" i="7"/>
  <c r="CL49" i="7"/>
  <c r="CJ49" i="7"/>
  <c r="GA50" i="7"/>
  <c r="BI50" i="7"/>
  <c r="BT50" i="7"/>
  <c r="AE50" i="7"/>
  <c r="GM50" i="7"/>
  <c r="EP50" i="7"/>
  <c r="ES50" i="7" s="1"/>
  <c r="EV49" i="24"/>
  <c r="EU50" i="24" s="1"/>
  <c r="AB49" i="24"/>
  <c r="L49" i="27" s="1"/>
  <c r="BE50" i="24"/>
  <c r="DT49" i="24"/>
  <c r="AA49" i="24"/>
  <c r="K49" i="27" s="1"/>
  <c r="EO49" i="24"/>
  <c r="EN50" i="24" s="1"/>
  <c r="DO49" i="24"/>
  <c r="DM50" i="24" s="1"/>
  <c r="DG49" i="24"/>
  <c r="DX49" i="24" s="1"/>
  <c r="DW50" i="24" s="1"/>
  <c r="GN50" i="7"/>
  <c r="FB50" i="7"/>
  <c r="AF50" i="7"/>
  <c r="EW50" i="7"/>
  <c r="CI49" i="24"/>
  <c r="CH49" i="24"/>
  <c r="AC50" i="7" l="1"/>
  <c r="DY50" i="7"/>
  <c r="EB50" i="7" s="1"/>
  <c r="CP50" i="7"/>
  <c r="AG50" i="7" s="1"/>
  <c r="GA50" i="24"/>
  <c r="BJ50" i="32" s="1"/>
  <c r="BI50" i="24"/>
  <c r="AC50" i="24"/>
  <c r="M50" i="27" s="1"/>
  <c r="GK50" i="24"/>
  <c r="BT50" i="32" s="1"/>
  <c r="CP50" i="24"/>
  <c r="AG50" i="24" s="1"/>
  <c r="EA50" i="24"/>
  <c r="DY50" i="24"/>
  <c r="EB50" i="24" s="1"/>
  <c r="FB50" i="24"/>
  <c r="AF50" i="24"/>
  <c r="P50" i="27" s="1"/>
  <c r="GN50" i="24"/>
  <c r="BW50" i="32" s="1"/>
  <c r="EW50" i="24"/>
  <c r="EZ50" i="24" s="1"/>
  <c r="FE50" i="7"/>
  <c r="FD50" i="7"/>
  <c r="FC50" i="7"/>
  <c r="GM50" i="24"/>
  <c r="BV50" i="32" s="1"/>
  <c r="AE50" i="24"/>
  <c r="O50" i="27" s="1"/>
  <c r="EP50" i="24"/>
  <c r="ES50" i="24" s="1"/>
  <c r="BT50" i="24"/>
  <c r="EZ50" i="7"/>
  <c r="FK50" i="7" s="1"/>
  <c r="BP50" i="7"/>
  <c r="BU50" i="7" s="1"/>
  <c r="W50" i="27"/>
  <c r="Q50" i="27"/>
  <c r="W49" i="24"/>
  <c r="G49" i="27" s="1"/>
  <c r="CL49" i="24"/>
  <c r="CJ49" i="24"/>
  <c r="CK49" i="7"/>
  <c r="V49" i="7"/>
  <c r="CN49" i="7"/>
  <c r="GH49" i="7"/>
  <c r="GG49" i="7"/>
  <c r="AG50" i="27"/>
  <c r="AI50" i="27" l="1"/>
  <c r="AJ50" i="27"/>
  <c r="GS50" i="7"/>
  <c r="GR50" i="7"/>
  <c r="GP50" i="7"/>
  <c r="GQ50" i="7"/>
  <c r="GG49" i="24"/>
  <c r="BP49" i="32" s="1"/>
  <c r="CK49" i="24"/>
  <c r="V49" i="24"/>
  <c r="F49" i="27" s="1"/>
  <c r="GH49" i="24"/>
  <c r="BQ49" i="32" s="1"/>
  <c r="CN49" i="24"/>
  <c r="FK50" i="24"/>
  <c r="FF50" i="7"/>
  <c r="FG50" i="7"/>
  <c r="X49" i="7"/>
  <c r="CO49" i="7"/>
  <c r="BP50" i="24"/>
  <c r="BU50" i="24" s="1"/>
  <c r="FE50" i="24"/>
  <c r="FD50" i="24"/>
  <c r="FC50" i="24"/>
  <c r="AD49" i="27" l="1"/>
  <c r="FF50" i="24"/>
  <c r="FG50" i="24"/>
  <c r="GS50" i="24"/>
  <c r="GP50" i="24"/>
  <c r="GR50" i="24"/>
  <c r="GQ50" i="24"/>
  <c r="X49" i="24"/>
  <c r="H49" i="27" s="1"/>
  <c r="CO49" i="24"/>
  <c r="GT50" i="7" a="1"/>
  <c r="GT50" i="7" s="1"/>
  <c r="AC49" i="27"/>
  <c r="GT50" i="24" l="1" a="1"/>
  <c r="GT50" i="24" s="1"/>
  <c r="GW50" i="7"/>
  <c r="GV50" i="7"/>
  <c r="BX50" i="7" s="1"/>
  <c r="GX50" i="7"/>
  <c r="GU50" i="7"/>
  <c r="BW50" i="7" s="1"/>
  <c r="GC50" i="7" l="1"/>
  <c r="DZ50" i="7"/>
  <c r="BY50" i="7"/>
  <c r="EH50" i="7"/>
  <c r="GD50" i="7"/>
  <c r="GU50" i="24"/>
  <c r="BW50" i="24" s="1"/>
  <c r="GV50" i="24"/>
  <c r="BX50" i="24" s="1"/>
  <c r="GW50" i="24"/>
  <c r="GX50" i="24"/>
  <c r="GE50" i="7" l="1"/>
  <c r="EX50" i="7"/>
  <c r="FH50" i="7" s="1"/>
  <c r="BZ50" i="7"/>
  <c r="CA50" i="7" s="1"/>
  <c r="CD50" i="7" s="1"/>
  <c r="GD50" i="24"/>
  <c r="BM50" i="32" s="1"/>
  <c r="EH50" i="24"/>
  <c r="CB50" i="7"/>
  <c r="CR50" i="7" s="1"/>
  <c r="GC50" i="24"/>
  <c r="BL50" i="32" s="1"/>
  <c r="DZ50" i="24"/>
  <c r="BY50" i="24"/>
  <c r="Y50" i="27" l="1"/>
  <c r="Z50" i="27"/>
  <c r="CV50" i="7"/>
  <c r="CX50" i="7" s="1"/>
  <c r="CY50" i="7" s="1"/>
  <c r="GE50" i="24"/>
  <c r="BN50" i="32" s="1"/>
  <c r="EX50" i="24"/>
  <c r="FH50" i="24" s="1"/>
  <c r="BZ50" i="24"/>
  <c r="GF50" i="7"/>
  <c r="EQ50" i="7"/>
  <c r="CB50" i="24"/>
  <c r="CR50" i="24" s="1"/>
  <c r="FI50" i="7"/>
  <c r="FA51" i="7"/>
  <c r="AA50" i="27" l="1"/>
  <c r="DA50" i="7"/>
  <c r="GF50" i="24"/>
  <c r="BO50" i="32" s="1"/>
  <c r="EQ50" i="24"/>
  <c r="FI50" i="24"/>
  <c r="FA51" i="24"/>
  <c r="CA50" i="24"/>
  <c r="CD50" i="24" s="1"/>
  <c r="DC50" i="7"/>
  <c r="DD50" i="7" s="1"/>
  <c r="EF50" i="7"/>
  <c r="EE51" i="7" s="1"/>
  <c r="Z50" i="7"/>
  <c r="CV50" i="24"/>
  <c r="CX50" i="24" s="1"/>
  <c r="Z50" i="24" l="1"/>
  <c r="J50" i="27" s="1"/>
  <c r="DC50" i="24"/>
  <c r="DD50" i="24" s="1"/>
  <c r="EF50" i="24"/>
  <c r="EE51" i="24" s="1"/>
  <c r="CY50" i="24"/>
  <c r="GL51" i="7"/>
  <c r="AD51" i="7"/>
  <c r="EG51" i="7"/>
  <c r="EJ51" i="7"/>
  <c r="EI51" i="7"/>
  <c r="DE50" i="7"/>
  <c r="DF50" i="7" s="1"/>
  <c r="BS51" i="7" s="1"/>
  <c r="AB50" i="27"/>
  <c r="DA50" i="24" l="1"/>
  <c r="DE50" i="24" s="1"/>
  <c r="DF50" i="24" s="1"/>
  <c r="BS51" i="24" s="1"/>
  <c r="AD51" i="24"/>
  <c r="N51" i="27" s="1"/>
  <c r="GL51" i="24"/>
  <c r="BU51" i="32" s="1"/>
  <c r="EG51" i="24"/>
  <c r="EI51" i="24"/>
  <c r="EJ51" i="24"/>
  <c r="DH50" i="7"/>
  <c r="FT50" i="7" s="1"/>
  <c r="AL50" i="24" s="1"/>
  <c r="Y50" i="7"/>
  <c r="CE50" i="7"/>
  <c r="DJ50" i="7"/>
  <c r="DN50" i="7" s="1"/>
  <c r="DQ50" i="7" s="1"/>
  <c r="EV50" i="7" l="1"/>
  <c r="EU51" i="7" s="1"/>
  <c r="AB50" i="7"/>
  <c r="Y50" i="24"/>
  <c r="I50" i="27" s="1"/>
  <c r="DH50" i="24"/>
  <c r="FT50" i="24" s="1"/>
  <c r="AL50" i="7" s="1"/>
  <c r="CE50" i="24"/>
  <c r="DJ50" i="24"/>
  <c r="DN50" i="24" s="1"/>
  <c r="DG50" i="7"/>
  <c r="AA50" i="7"/>
  <c r="EO50" i="7"/>
  <c r="EN51" i="7" s="1"/>
  <c r="DO50" i="7"/>
  <c r="DM51" i="7" s="1"/>
  <c r="DT50" i="7"/>
  <c r="BE51" i="7"/>
  <c r="CF50" i="7"/>
  <c r="CI50" i="7" s="1"/>
  <c r="AH51" i="27"/>
  <c r="AA50" i="24" l="1"/>
  <c r="K50" i="27" s="1"/>
  <c r="EO50" i="24"/>
  <c r="EN51" i="24" s="1"/>
  <c r="DO50" i="24"/>
  <c r="DM51" i="24" s="1"/>
  <c r="DQ50" i="24"/>
  <c r="GA51" i="7"/>
  <c r="BI51" i="7"/>
  <c r="DG50" i="24"/>
  <c r="DX50" i="24" s="1"/>
  <c r="DW51" i="24" s="1"/>
  <c r="BT51" i="7"/>
  <c r="GM51" i="7"/>
  <c r="EP51" i="7"/>
  <c r="ES51" i="7" s="1"/>
  <c r="AE51" i="7"/>
  <c r="DT50" i="24"/>
  <c r="BE51" i="24"/>
  <c r="CF50" i="24"/>
  <c r="CH50" i="24" s="1"/>
  <c r="DX50" i="7"/>
  <c r="DW51" i="7" s="1"/>
  <c r="FB51" i="7"/>
  <c r="GN51" i="7"/>
  <c r="EW51" i="7"/>
  <c r="EZ51" i="7" s="1"/>
  <c r="AF51" i="7"/>
  <c r="CH50" i="7"/>
  <c r="CI50" i="24" l="1"/>
  <c r="CL50" i="24" s="1"/>
  <c r="DY51" i="7"/>
  <c r="AC51" i="7"/>
  <c r="EB51" i="7"/>
  <c r="FK51" i="7" s="1"/>
  <c r="EA51" i="7"/>
  <c r="GK51" i="7"/>
  <c r="CP51" i="7"/>
  <c r="AG51" i="7" s="1"/>
  <c r="W50" i="7"/>
  <c r="CL50" i="7"/>
  <c r="CJ50" i="7"/>
  <c r="DY51" i="24"/>
  <c r="EB51" i="24" s="1"/>
  <c r="EA51" i="24"/>
  <c r="GK51" i="24"/>
  <c r="BT51" i="32" s="1"/>
  <c r="AC51" i="24"/>
  <c r="BP51" i="7"/>
  <c r="BU51" i="7" s="1"/>
  <c r="W50" i="24"/>
  <c r="AB50" i="24"/>
  <c r="L50" i="27" s="1"/>
  <c r="EV50" i="24"/>
  <c r="EU51" i="24" s="1"/>
  <c r="CP51" i="24" s="1"/>
  <c r="AG51" i="24" s="1"/>
  <c r="BT51" i="24"/>
  <c r="GA51" i="24"/>
  <c r="BJ51" i="32" s="1"/>
  <c r="BI51" i="24"/>
  <c r="EP51" i="24"/>
  <c r="ES51" i="24" s="1"/>
  <c r="AE51" i="24"/>
  <c r="O51" i="27" s="1"/>
  <c r="GM51" i="24"/>
  <c r="BV51" i="32" s="1"/>
  <c r="FC51" i="7"/>
  <c r="FD51" i="7"/>
  <c r="FE51" i="7"/>
  <c r="CJ50" i="24" l="1"/>
  <c r="GG50" i="24" s="1"/>
  <c r="BP50" i="32" s="1"/>
  <c r="W51" i="27"/>
  <c r="FG51" i="7"/>
  <c r="FF51" i="7"/>
  <c r="G50" i="27"/>
  <c r="Q51" i="27"/>
  <c r="AG51" i="27"/>
  <c r="AF51" i="24"/>
  <c r="P51" i="27" s="1"/>
  <c r="GN51" i="24"/>
  <c r="FB51" i="24"/>
  <c r="EW51" i="24"/>
  <c r="EZ51" i="24" s="1"/>
  <c r="FK51" i="24" s="1"/>
  <c r="BP51" i="24"/>
  <c r="BU51" i="24" s="1"/>
  <c r="AI51" i="27"/>
  <c r="GR51" i="7"/>
  <c r="GQ51" i="7"/>
  <c r="GP51" i="7"/>
  <c r="GS51" i="7"/>
  <c r="CN50" i="24"/>
  <c r="GH50" i="24"/>
  <c r="BQ50" i="32" s="1"/>
  <c r="CK50" i="24"/>
  <c r="CK50" i="7"/>
  <c r="GH50" i="7"/>
  <c r="CN50" i="7"/>
  <c r="GG50" i="7"/>
  <c r="V50" i="7"/>
  <c r="M51" i="27"/>
  <c r="V50" i="24" l="1"/>
  <c r="AC50" i="27"/>
  <c r="F50" i="27"/>
  <c r="GS51" i="24"/>
  <c r="GR51" i="24"/>
  <c r="GQ51" i="24"/>
  <c r="GP51" i="24"/>
  <c r="X50" i="24"/>
  <c r="CO50" i="24"/>
  <c r="BW51" i="32"/>
  <c r="AJ51" i="27"/>
  <c r="X50" i="7"/>
  <c r="CO50" i="7"/>
  <c r="AD50" i="27"/>
  <c r="FD51" i="24"/>
  <c r="FC51" i="24"/>
  <c r="FE51" i="24"/>
  <c r="GT51" i="7" a="1"/>
  <c r="GT51" i="7" s="1"/>
  <c r="H50" i="27" l="1"/>
  <c r="GT51" i="24" a="1"/>
  <c r="GT51" i="24" s="1"/>
  <c r="GX51" i="24" s="1"/>
  <c r="GW51" i="7"/>
  <c r="GX51" i="7"/>
  <c r="GV51" i="7"/>
  <c r="BX51" i="7" s="1"/>
  <c r="GU51" i="7"/>
  <c r="BW51" i="7" s="1"/>
  <c r="FG51" i="24"/>
  <c r="FF51" i="24"/>
  <c r="GV51" i="24" l="1"/>
  <c r="BX51" i="24" s="1"/>
  <c r="EH51" i="24" s="1"/>
  <c r="GW51" i="24"/>
  <c r="GU51" i="24"/>
  <c r="BW51" i="24" s="1"/>
  <c r="GC51" i="24" s="1"/>
  <c r="BL51" i="32" s="1"/>
  <c r="DZ51" i="7"/>
  <c r="GC51" i="7"/>
  <c r="BY51" i="7"/>
  <c r="GD51" i="7"/>
  <c r="EH51" i="7"/>
  <c r="GD51" i="24"/>
  <c r="BM51" i="32" s="1"/>
  <c r="Z51" i="27" l="1"/>
  <c r="BY51" i="24"/>
  <c r="CB51" i="24" s="1"/>
  <c r="CR51" i="24" s="1"/>
  <c r="CV51" i="24" s="1"/>
  <c r="CX51" i="24" s="1"/>
  <c r="DZ51" i="24"/>
  <c r="EX51" i="7"/>
  <c r="FH51" i="7" s="1"/>
  <c r="GE51" i="7"/>
  <c r="BZ51" i="7"/>
  <c r="CA51" i="7" s="1"/>
  <c r="CD51" i="7" s="1"/>
  <c r="Y51" i="27"/>
  <c r="BZ51" i="24"/>
  <c r="CA51" i="24" s="1"/>
  <c r="CD51" i="24" s="1"/>
  <c r="CB51" i="7"/>
  <c r="CR51" i="7" s="1"/>
  <c r="EX51" i="24" l="1"/>
  <c r="FH51" i="24" s="1"/>
  <c r="GE51" i="24"/>
  <c r="BN51" i="32" s="1"/>
  <c r="GF51" i="24"/>
  <c r="BO51" i="32" s="1"/>
  <c r="EQ51" i="24"/>
  <c r="EQ51" i="7"/>
  <c r="GF51" i="7"/>
  <c r="AB51" i="27" s="1"/>
  <c r="FI51" i="24"/>
  <c r="FA52" i="24"/>
  <c r="FI51" i="7"/>
  <c r="FA52" i="7"/>
  <c r="EF51" i="24"/>
  <c r="EE52" i="24" s="1"/>
  <c r="Z51" i="24"/>
  <c r="DC51" i="24"/>
  <c r="DD51" i="24" s="1"/>
  <c r="CV51" i="7"/>
  <c r="CX51" i="7" s="1"/>
  <c r="CY51" i="7" s="1"/>
  <c r="CY51" i="24"/>
  <c r="AA51" i="27" l="1"/>
  <c r="AD52" i="24"/>
  <c r="GL52" i="24"/>
  <c r="BU52" i="32" s="1"/>
  <c r="EI52" i="24"/>
  <c r="EG52" i="24"/>
  <c r="EJ52" i="24"/>
  <c r="DA51" i="24"/>
  <c r="DE51" i="24" s="1"/>
  <c r="CE51" i="24" s="1"/>
  <c r="DA51" i="7"/>
  <c r="DC51" i="7"/>
  <c r="DD51" i="7" s="1"/>
  <c r="Z51" i="7"/>
  <c r="J51" i="27" s="1"/>
  <c r="EF51" i="7"/>
  <c r="EE52" i="7" s="1"/>
  <c r="Y51" i="24" l="1"/>
  <c r="DH51" i="24"/>
  <c r="FT51" i="24" s="1"/>
  <c r="AL51" i="7" s="1"/>
  <c r="DF51" i="24"/>
  <c r="BS52" i="24" s="1"/>
  <c r="EG52" i="7"/>
  <c r="EI52" i="7"/>
  <c r="EJ52" i="7"/>
  <c r="GL52" i="7"/>
  <c r="AH52" i="27" s="1"/>
  <c r="AD52" i="7"/>
  <c r="N52" i="27" s="1"/>
  <c r="DE51" i="7"/>
  <c r="DT51" i="24"/>
  <c r="CF51" i="24"/>
  <c r="BE52" i="24"/>
  <c r="DJ51" i="24"/>
  <c r="DN51" i="24" s="1"/>
  <c r="CI51" i="24"/>
  <c r="CH51" i="24"/>
  <c r="W51" i="24" l="1"/>
  <c r="CL51" i="24"/>
  <c r="CJ51" i="24"/>
  <c r="Y51" i="7"/>
  <c r="I51" i="27" s="1"/>
  <c r="DH51" i="7"/>
  <c r="FT51" i="7" s="1"/>
  <c r="AL51" i="24" s="1"/>
  <c r="CE51" i="7"/>
  <c r="DJ51" i="7"/>
  <c r="DN51" i="7" s="1"/>
  <c r="DQ51" i="7" s="1"/>
  <c r="DF51" i="7"/>
  <c r="BS52" i="7" s="1"/>
  <c r="DG51" i="24"/>
  <c r="AA51" i="24"/>
  <c r="EO51" i="24"/>
  <c r="EN52" i="24" s="1"/>
  <c r="DO51" i="24"/>
  <c r="DM52" i="24" s="1"/>
  <c r="DQ51" i="24"/>
  <c r="GA52" i="24"/>
  <c r="BJ52" i="32" s="1"/>
  <c r="BI52" i="24"/>
  <c r="AB51" i="7" l="1"/>
  <c r="EV51" i="7"/>
  <c r="EU52" i="7" s="1"/>
  <c r="EP52" i="24"/>
  <c r="ES52" i="24" s="1"/>
  <c r="AE52" i="24"/>
  <c r="GM52" i="24"/>
  <c r="BV52" i="32" s="1"/>
  <c r="DG51" i="7"/>
  <c r="DX51" i="7" s="1"/>
  <c r="DW52" i="7" s="1"/>
  <c r="EV51" i="24"/>
  <c r="EU52" i="24" s="1"/>
  <c r="AB51" i="24"/>
  <c r="DX51" i="24"/>
  <c r="DW52" i="24" s="1"/>
  <c r="CK51" i="24"/>
  <c r="V51" i="24"/>
  <c r="GG51" i="24"/>
  <c r="BP51" i="32" s="1"/>
  <c r="GH51" i="24"/>
  <c r="BQ51" i="32" s="1"/>
  <c r="CN51" i="24"/>
  <c r="EO51" i="7"/>
  <c r="EN52" i="7" s="1"/>
  <c r="AA51" i="7"/>
  <c r="K51" i="27" s="1"/>
  <c r="DO51" i="7"/>
  <c r="DM52" i="7" s="1"/>
  <c r="BT52" i="24"/>
  <c r="BP52" i="24"/>
  <c r="BU52" i="24" s="1"/>
  <c r="CF51" i="7"/>
  <c r="DT51" i="7"/>
  <c r="BE52" i="7"/>
  <c r="CH51" i="7"/>
  <c r="CI51" i="7"/>
  <c r="X51" i="24" l="1"/>
  <c r="CO51" i="24"/>
  <c r="AC52" i="7"/>
  <c r="EA52" i="7"/>
  <c r="GK52" i="7"/>
  <c r="CP52" i="7"/>
  <c r="AG52" i="7" s="1"/>
  <c r="DY52" i="7"/>
  <c r="EB52" i="7" s="1"/>
  <c r="W51" i="7"/>
  <c r="G51" i="27" s="1"/>
  <c r="CL51" i="7"/>
  <c r="CJ51" i="7"/>
  <c r="GA52" i="7"/>
  <c r="W52" i="27" s="1"/>
  <c r="BI52" i="7"/>
  <c r="BT52" i="7"/>
  <c r="AC52" i="24"/>
  <c r="GK52" i="24"/>
  <c r="BT52" i="32" s="1"/>
  <c r="CP52" i="24"/>
  <c r="AG52" i="24" s="1"/>
  <c r="DY52" i="24"/>
  <c r="EB52" i="24" s="1"/>
  <c r="EA52" i="24"/>
  <c r="FB52" i="7"/>
  <c r="AF52" i="7"/>
  <c r="EW52" i="7"/>
  <c r="EZ52" i="7" s="1"/>
  <c r="GN52" i="7"/>
  <c r="AE52" i="7"/>
  <c r="O52" i="27" s="1"/>
  <c r="GM52" i="7"/>
  <c r="AI52" i="27" s="1"/>
  <c r="EP52" i="7"/>
  <c r="ES52" i="7" s="1"/>
  <c r="GN52" i="24"/>
  <c r="BW52" i="32" s="1"/>
  <c r="AF52" i="24"/>
  <c r="FB52" i="24"/>
  <c r="EW52" i="24"/>
  <c r="EZ52" i="24" s="1"/>
  <c r="L51" i="27"/>
  <c r="P52" i="27" l="1"/>
  <c r="AJ52" i="27"/>
  <c r="FK52" i="24"/>
  <c r="FK52" i="7"/>
  <c r="AG52" i="27"/>
  <c r="FE52" i="24"/>
  <c r="FC52" i="24"/>
  <c r="FD52" i="24"/>
  <c r="M52" i="27"/>
  <c r="BP52" i="7"/>
  <c r="BU52" i="7" s="1"/>
  <c r="FD52" i="7"/>
  <c r="FC52" i="7"/>
  <c r="FE52" i="7"/>
  <c r="GG51" i="7"/>
  <c r="AC51" i="27" s="1"/>
  <c r="CN51" i="7"/>
  <c r="CK51" i="7"/>
  <c r="V51" i="7"/>
  <c r="F51" i="27" s="1"/>
  <c r="GH51" i="7"/>
  <c r="AD51" i="27" s="1"/>
  <c r="Q52" i="27"/>
  <c r="FF52" i="7" l="1"/>
  <c r="FG52" i="7"/>
  <c r="FF52" i="24"/>
  <c r="FG52" i="24"/>
  <c r="GP52" i="7"/>
  <c r="GR52" i="7"/>
  <c r="GS52" i="7"/>
  <c r="GQ52" i="7"/>
  <c r="GR52" i="24"/>
  <c r="GP52" i="24"/>
  <c r="GS52" i="24"/>
  <c r="GQ52" i="24"/>
  <c r="X51" i="7"/>
  <c r="H51" i="27" s="1"/>
  <c r="CO51" i="7"/>
  <c r="GT52" i="24" l="1" a="1"/>
  <c r="GT52" i="24" s="1"/>
  <c r="GU52" i="24" s="1"/>
  <c r="BW52" i="24" s="1"/>
  <c r="GT52" i="7" a="1"/>
  <c r="GT52" i="7" s="1"/>
  <c r="GX52" i="24" l="1"/>
  <c r="GV52" i="24"/>
  <c r="BX52" i="24" s="1"/>
  <c r="EH52" i="24" s="1"/>
  <c r="GW52" i="24"/>
  <c r="GW52" i="7"/>
  <c r="GX52" i="7"/>
  <c r="GU52" i="7"/>
  <c r="BW52" i="7" s="1"/>
  <c r="GV52" i="7"/>
  <c r="BX52" i="7" s="1"/>
  <c r="GC52" i="24"/>
  <c r="BL52" i="32" s="1"/>
  <c r="DZ52" i="24"/>
  <c r="BY52" i="24" l="1"/>
  <c r="BZ52" i="24" s="1"/>
  <c r="GF52" i="24" s="1"/>
  <c r="BO52" i="32" s="1"/>
  <c r="GD52" i="24"/>
  <c r="BM52" i="32" s="1"/>
  <c r="EH52" i="7"/>
  <c r="GD52" i="7"/>
  <c r="Z52" i="27" s="1"/>
  <c r="GC52" i="7"/>
  <c r="Y52" i="27" s="1"/>
  <c r="DZ52" i="7"/>
  <c r="BY52" i="7"/>
  <c r="CB52" i="7" s="1"/>
  <c r="CR52" i="7" s="1"/>
  <c r="CB52" i="24" l="1"/>
  <c r="CR52" i="24" s="1"/>
  <c r="CV52" i="24" s="1"/>
  <c r="CX52" i="24" s="1"/>
  <c r="CY52" i="24" s="1"/>
  <c r="GE52" i="24"/>
  <c r="BN52" i="32" s="1"/>
  <c r="CA52" i="24"/>
  <c r="CD52" i="24" s="1"/>
  <c r="EQ52" i="24"/>
  <c r="EX52" i="24"/>
  <c r="FH52" i="24" s="1"/>
  <c r="FA53" i="24" s="1"/>
  <c r="CV52" i="7"/>
  <c r="CX52" i="7" s="1"/>
  <c r="GE52" i="7"/>
  <c r="AA52" i="27" s="1"/>
  <c r="EX52" i="7"/>
  <c r="FH52" i="7" s="1"/>
  <c r="BZ52" i="7"/>
  <c r="FI52" i="24" l="1"/>
  <c r="DA52" i="24"/>
  <c r="FI52" i="7"/>
  <c r="FA53" i="7"/>
  <c r="EQ52" i="7"/>
  <c r="GF52" i="7"/>
  <c r="AB52" i="27" s="1"/>
  <c r="CA52" i="7"/>
  <c r="CD52" i="7" s="1"/>
  <c r="DC52" i="24"/>
  <c r="DD52" i="24" s="1"/>
  <c r="Z52" i="24"/>
  <c r="EF52" i="24"/>
  <c r="EE53" i="24" s="1"/>
  <c r="EF52" i="7"/>
  <c r="EE53" i="7" s="1"/>
  <c r="Z52" i="7"/>
  <c r="DC52" i="7"/>
  <c r="DD52" i="7" s="1"/>
  <c r="CY52" i="7"/>
  <c r="J52" i="27" l="1"/>
  <c r="EJ53" i="24"/>
  <c r="AD53" i="24"/>
  <c r="GL53" i="24"/>
  <c r="BU53" i="32" s="1"/>
  <c r="EG53" i="24"/>
  <c r="EI53" i="24"/>
  <c r="EJ53" i="7"/>
  <c r="AD53" i="7"/>
  <c r="N53" i="27" s="1"/>
  <c r="EG53" i="7"/>
  <c r="GL53" i="7"/>
  <c r="EI53" i="7"/>
  <c r="DE52" i="24"/>
  <c r="DA52" i="7"/>
  <c r="DE52" i="7" s="1"/>
  <c r="AH53" i="27" l="1"/>
  <c r="DH52" i="7"/>
  <c r="FT52" i="7" s="1"/>
  <c r="AL52" i="24" s="1"/>
  <c r="Y52" i="7"/>
  <c r="DJ52" i="7"/>
  <c r="DN52" i="7" s="1"/>
  <c r="DQ52" i="7" s="1"/>
  <c r="DF52" i="7"/>
  <c r="BS53" i="7" s="1"/>
  <c r="CE52" i="7"/>
  <c r="DH52" i="24"/>
  <c r="FT52" i="24" s="1"/>
  <c r="AL52" i="7" s="1"/>
  <c r="Y52" i="24"/>
  <c r="DJ52" i="24"/>
  <c r="DN52" i="24" s="1"/>
  <c r="DQ52" i="24" s="1"/>
  <c r="CE52" i="24"/>
  <c r="DF52" i="24"/>
  <c r="BS53" i="24" s="1"/>
  <c r="DG52" i="24" l="1"/>
  <c r="DX52" i="24" s="1"/>
  <c r="DW53" i="24" s="1"/>
  <c r="GK53" i="24" s="1"/>
  <c r="BT53" i="32" s="1"/>
  <c r="DG52" i="7"/>
  <c r="DX52" i="7" s="1"/>
  <c r="DW53" i="7" s="1"/>
  <c r="AC53" i="7" s="1"/>
  <c r="AB52" i="7"/>
  <c r="EV52" i="7"/>
  <c r="EU53" i="7" s="1"/>
  <c r="DT52" i="7"/>
  <c r="CF52" i="7"/>
  <c r="CH52" i="7" s="1"/>
  <c r="BE53" i="7"/>
  <c r="BE53" i="24"/>
  <c r="CF52" i="24"/>
  <c r="CH52" i="24" s="1"/>
  <c r="DT52" i="24"/>
  <c r="EO52" i="24"/>
  <c r="EN53" i="24" s="1"/>
  <c r="AA52" i="24"/>
  <c r="DO52" i="24"/>
  <c r="DM53" i="24" s="1"/>
  <c r="EO52" i="7"/>
  <c r="EN53" i="7" s="1"/>
  <c r="AA52" i="7"/>
  <c r="DO52" i="7"/>
  <c r="DM53" i="7" s="1"/>
  <c r="AB52" i="24"/>
  <c r="EV52" i="24"/>
  <c r="EU53" i="24" s="1"/>
  <c r="I52" i="27"/>
  <c r="CI52" i="7" l="1"/>
  <c r="DY53" i="24"/>
  <c r="EB53" i="24" s="1"/>
  <c r="AC53" i="24"/>
  <c r="M53" i="27" s="1"/>
  <c r="DY53" i="7"/>
  <c r="EB53" i="7" s="1"/>
  <c r="EA53" i="7"/>
  <c r="K52" i="27"/>
  <c r="EA53" i="24"/>
  <c r="GK53" i="7"/>
  <c r="AG53" i="27" s="1"/>
  <c r="GM53" i="7"/>
  <c r="EP53" i="7"/>
  <c r="ES53" i="7" s="1"/>
  <c r="AE53" i="7"/>
  <c r="BI53" i="24"/>
  <c r="GA53" i="24"/>
  <c r="BJ53" i="32" s="1"/>
  <c r="GA53" i="7"/>
  <c r="BI53" i="7"/>
  <c r="W52" i="7"/>
  <c r="CL52" i="7"/>
  <c r="CJ52" i="7"/>
  <c r="GM53" i="24"/>
  <c r="BV53" i="32" s="1"/>
  <c r="AE53" i="24"/>
  <c r="EP53" i="24"/>
  <c r="ES53" i="24" s="1"/>
  <c r="BT53" i="24"/>
  <c r="FB53" i="24"/>
  <c r="EW53" i="24"/>
  <c r="EZ53" i="24" s="1"/>
  <c r="GN53" i="24"/>
  <c r="BW53" i="32" s="1"/>
  <c r="AF53" i="24"/>
  <c r="CP53" i="24"/>
  <c r="AG53" i="24" s="1"/>
  <c r="GN53" i="7"/>
  <c r="AF53" i="7"/>
  <c r="FB53" i="7"/>
  <c r="EW53" i="7"/>
  <c r="EZ53" i="7" s="1"/>
  <c r="CP53" i="7"/>
  <c r="AG53" i="7" s="1"/>
  <c r="BT53" i="7"/>
  <c r="L52" i="27"/>
  <c r="CI52" i="24"/>
  <c r="W53" i="27" l="1"/>
  <c r="W52" i="24"/>
  <c r="G52" i="27" s="1"/>
  <c r="AI53" i="27"/>
  <c r="FK53" i="24"/>
  <c r="GR53" i="24" s="1"/>
  <c r="FK53" i="7"/>
  <c r="GG52" i="7"/>
  <c r="V52" i="7"/>
  <c r="CK52" i="7"/>
  <c r="CN52" i="7"/>
  <c r="GH52" i="7"/>
  <c r="BP53" i="7"/>
  <c r="BU53" i="7" s="1"/>
  <c r="FD53" i="7"/>
  <c r="FE53" i="7"/>
  <c r="FC53" i="7"/>
  <c r="CJ52" i="24"/>
  <c r="P53" i="27"/>
  <c r="FD53" i="24"/>
  <c r="FC53" i="24"/>
  <c r="FE53" i="24"/>
  <c r="BP53" i="24"/>
  <c r="BU53" i="24" s="1"/>
  <c r="CL52" i="24"/>
  <c r="Q53" i="27"/>
  <c r="AJ53" i="27"/>
  <c r="O53" i="27"/>
  <c r="GQ53" i="24" l="1"/>
  <c r="GS53" i="24"/>
  <c r="GP53" i="24"/>
  <c r="FG53" i="24"/>
  <c r="FF53" i="24"/>
  <c r="CN52" i="24"/>
  <c r="V52" i="24"/>
  <c r="F52" i="27" s="1"/>
  <c r="CK52" i="24"/>
  <c r="GG52" i="24"/>
  <c r="BP52" i="32" s="1"/>
  <c r="GH52" i="24"/>
  <c r="BQ52" i="32" s="1"/>
  <c r="FF53" i="7"/>
  <c r="FG53" i="7"/>
  <c r="CO52" i="7"/>
  <c r="X52" i="7"/>
  <c r="GS53" i="7"/>
  <c r="GP53" i="7"/>
  <c r="GQ53" i="7"/>
  <c r="GR53" i="7"/>
  <c r="GT53" i="24" l="1" a="1"/>
  <c r="GT53" i="24" s="1"/>
  <c r="AD52" i="27"/>
  <c r="GT53" i="7" a="1"/>
  <c r="GT53" i="7" s="1"/>
  <c r="CO52" i="24"/>
  <c r="X52" i="24"/>
  <c r="H52" i="27" s="1"/>
  <c r="GU53" i="24"/>
  <c r="BW53" i="24" s="1"/>
  <c r="GW53" i="24"/>
  <c r="GV53" i="24"/>
  <c r="BX53" i="24" s="1"/>
  <c r="GX53" i="24"/>
  <c r="AC52" i="27"/>
  <c r="GD53" i="24" l="1"/>
  <c r="BM53" i="32" s="1"/>
  <c r="EH53" i="24"/>
  <c r="GC53" i="24"/>
  <c r="BL53" i="32" s="1"/>
  <c r="DZ53" i="24"/>
  <c r="BY53" i="24"/>
  <c r="GW53" i="7"/>
  <c r="GU53" i="7"/>
  <c r="BW53" i="7" s="1"/>
  <c r="GV53" i="7"/>
  <c r="BX53" i="7" s="1"/>
  <c r="GX53" i="7"/>
  <c r="CB53" i="24" l="1"/>
  <c r="CR53" i="24" s="1"/>
  <c r="CV53" i="24" s="1"/>
  <c r="CX53" i="24" s="1"/>
  <c r="CY53" i="24" s="1"/>
  <c r="BZ53" i="24"/>
  <c r="GF53" i="24" s="1"/>
  <c r="BO53" i="32" s="1"/>
  <c r="EH53" i="7"/>
  <c r="GD53" i="7"/>
  <c r="Z53" i="27" s="1"/>
  <c r="DZ53" i="7"/>
  <c r="GC53" i="7"/>
  <c r="Y53" i="27" s="1"/>
  <c r="BY53" i="7"/>
  <c r="BZ53" i="7" s="1"/>
  <c r="EX53" i="24"/>
  <c r="FH53" i="24" s="1"/>
  <c r="GE53" i="24"/>
  <c r="BN53" i="32" s="1"/>
  <c r="CA53" i="24" l="1"/>
  <c r="CD53" i="24" s="1"/>
  <c r="EQ53" i="24"/>
  <c r="EQ53" i="7"/>
  <c r="GF53" i="7"/>
  <c r="AB53" i="27" s="1"/>
  <c r="DA53" i="24"/>
  <c r="EX53" i="7"/>
  <c r="FH53" i="7" s="1"/>
  <c r="GE53" i="7"/>
  <c r="AA53" i="27" s="1"/>
  <c r="Z53" i="24"/>
  <c r="EF53" i="24"/>
  <c r="EE54" i="24" s="1"/>
  <c r="DC53" i="24"/>
  <c r="DD53" i="24" s="1"/>
  <c r="FI53" i="24"/>
  <c r="FA54" i="24"/>
  <c r="CB53" i="7"/>
  <c r="CR53" i="7" s="1"/>
  <c r="CA53" i="7"/>
  <c r="CD53" i="7" s="1"/>
  <c r="FI53" i="7" l="1"/>
  <c r="FA54" i="7"/>
  <c r="CV53" i="7"/>
  <c r="CX53" i="7" s="1"/>
  <c r="DE53" i="24"/>
  <c r="DF53" i="24" s="1"/>
  <c r="BS54" i="24" s="1"/>
  <c r="EJ54" i="24"/>
  <c r="EI54" i="24"/>
  <c r="AD54" i="24"/>
  <c r="GL54" i="24"/>
  <c r="BU54" i="32" s="1"/>
  <c r="EG54" i="24"/>
  <c r="CE53" i="24" l="1"/>
  <c r="DT53" i="24" s="1"/>
  <c r="DC53" i="7"/>
  <c r="DD53" i="7" s="1"/>
  <c r="Z53" i="7"/>
  <c r="J53" i="27" s="1"/>
  <c r="EF53" i="7"/>
  <c r="EE54" i="7" s="1"/>
  <c r="CY53" i="7"/>
  <c r="Y53" i="24"/>
  <c r="DH53" i="24"/>
  <c r="FT53" i="24" s="1"/>
  <c r="AL53" i="7" s="1"/>
  <c r="DJ53" i="24"/>
  <c r="DN53" i="24" s="1"/>
  <c r="DQ53" i="24" s="1"/>
  <c r="BE54" i="24" l="1"/>
  <c r="CF53" i="24"/>
  <c r="EG54" i="7"/>
  <c r="EJ54" i="7"/>
  <c r="AD54" i="7"/>
  <c r="N54" i="27" s="1"/>
  <c r="EI54" i="7"/>
  <c r="GL54" i="7"/>
  <c r="AH54" i="27" s="1"/>
  <c r="AA53" i="24"/>
  <c r="EO53" i="24"/>
  <c r="EN54" i="24" s="1"/>
  <c r="DO53" i="24"/>
  <c r="DM54" i="24" s="1"/>
  <c r="BI54" i="24"/>
  <c r="GA54" i="24"/>
  <c r="BJ54" i="32" s="1"/>
  <c r="DG53" i="24"/>
  <c r="AB53" i="24"/>
  <c r="EV53" i="24"/>
  <c r="EU54" i="24" s="1"/>
  <c r="DA53" i="7"/>
  <c r="DE53" i="7" s="1"/>
  <c r="CI53" i="24"/>
  <c r="CH53" i="24"/>
  <c r="CL53" i="24" l="1"/>
  <c r="W53" i="24"/>
  <c r="CJ53" i="24"/>
  <c r="GH53" i="24" s="1"/>
  <c r="BQ53" i="32" s="1"/>
  <c r="Y53" i="7"/>
  <c r="I53" i="27" s="1"/>
  <c r="DH53" i="7"/>
  <c r="FT53" i="7" s="1"/>
  <c r="AL53" i="24" s="1"/>
  <c r="DX53" i="24" s="1"/>
  <c r="DW54" i="24" s="1"/>
  <c r="CE53" i="7"/>
  <c r="DJ53" i="7"/>
  <c r="DN53" i="7" s="1"/>
  <c r="DQ53" i="7" s="1"/>
  <c r="DF53" i="7"/>
  <c r="BS54" i="7" s="1"/>
  <c r="AE54" i="24"/>
  <c r="GM54" i="24"/>
  <c r="BV54" i="32" s="1"/>
  <c r="EP54" i="24"/>
  <c r="ES54" i="24" s="1"/>
  <c r="BP54" i="24"/>
  <c r="BU54" i="24" s="1"/>
  <c r="CK53" i="24"/>
  <c r="CN53" i="24"/>
  <c r="V53" i="24"/>
  <c r="GG53" i="24"/>
  <c r="BP53" i="32" s="1"/>
  <c r="EW54" i="24"/>
  <c r="EZ54" i="24" s="1"/>
  <c r="FB54" i="24"/>
  <c r="GN54" i="24"/>
  <c r="BW54" i="32" s="1"/>
  <c r="AF54" i="24"/>
  <c r="BT54" i="24"/>
  <c r="EV53" i="7" l="1"/>
  <c r="EU54" i="7" s="1"/>
  <c r="AB53" i="7"/>
  <c r="L53" i="27" s="1"/>
  <c r="FE54" i="24"/>
  <c r="FD54" i="24"/>
  <c r="FC54" i="24"/>
  <c r="GK54" i="24"/>
  <c r="BT54" i="32" s="1"/>
  <c r="AC54" i="24"/>
  <c r="EA54" i="24"/>
  <c r="CP54" i="24"/>
  <c r="AG54" i="24" s="1"/>
  <c r="DY54" i="24"/>
  <c r="EB54" i="24" s="1"/>
  <c r="FK54" i="24" s="1"/>
  <c r="EO53" i="7"/>
  <c r="EN54" i="7" s="1"/>
  <c r="AA53" i="7"/>
  <c r="K53" i="27" s="1"/>
  <c r="DO53" i="7"/>
  <c r="DM54" i="7" s="1"/>
  <c r="CF53" i="7"/>
  <c r="CH53" i="7" s="1"/>
  <c r="DT53" i="7"/>
  <c r="BE54" i="7"/>
  <c r="X53" i="24"/>
  <c r="CO53" i="24"/>
  <c r="DG53" i="7"/>
  <c r="DX53" i="7" s="1"/>
  <c r="DW54" i="7" s="1"/>
  <c r="CI53" i="7" l="1"/>
  <c r="CJ53" i="7" s="1"/>
  <c r="GR54" i="24"/>
  <c r="GS54" i="24"/>
  <c r="GQ54" i="24"/>
  <c r="GP54" i="24"/>
  <c r="CL53" i="7"/>
  <c r="GA54" i="7"/>
  <c r="W54" i="27" s="1"/>
  <c r="BI54" i="7"/>
  <c r="GK54" i="7"/>
  <c r="AG54" i="27" s="1"/>
  <c r="EA54" i="7"/>
  <c r="CP54" i="7"/>
  <c r="AG54" i="7" s="1"/>
  <c r="Q54" i="27" s="1"/>
  <c r="DY54" i="7"/>
  <c r="AC54" i="7"/>
  <c r="M54" i="27" s="1"/>
  <c r="FF54" i="24"/>
  <c r="FG54" i="24"/>
  <c r="BT54" i="7"/>
  <c r="GM54" i="7"/>
  <c r="AI54" i="27" s="1"/>
  <c r="EP54" i="7"/>
  <c r="ES54" i="7" s="1"/>
  <c r="AE54" i="7"/>
  <c r="O54" i="27" s="1"/>
  <c r="EW54" i="7"/>
  <c r="EZ54" i="7" s="1"/>
  <c r="GN54" i="7"/>
  <c r="AJ54" i="27" s="1"/>
  <c r="AF54" i="7"/>
  <c r="P54" i="27" s="1"/>
  <c r="FB54" i="7"/>
  <c r="W53" i="7" l="1"/>
  <c r="G53" i="27" s="1"/>
  <c r="GT54" i="24" a="1"/>
  <c r="GT54" i="24" s="1"/>
  <c r="GU54" i="24" s="1"/>
  <c r="BW54" i="24" s="1"/>
  <c r="EB54" i="7"/>
  <c r="FK54" i="7" s="1"/>
  <c r="GH53" i="7"/>
  <c r="AD53" i="27" s="1"/>
  <c r="V53" i="7"/>
  <c r="F53" i="27" s="1"/>
  <c r="GG53" i="7"/>
  <c r="AC53" i="27" s="1"/>
  <c r="CK53" i="7"/>
  <c r="CN53" i="7"/>
  <c r="FE54" i="7"/>
  <c r="FD54" i="7"/>
  <c r="FC54" i="7"/>
  <c r="BP54" i="7"/>
  <c r="BU54" i="7" s="1"/>
  <c r="GV54" i="24" l="1"/>
  <c r="BX54" i="24" s="1"/>
  <c r="GX54" i="24"/>
  <c r="GW54" i="24"/>
  <c r="CO53" i="7"/>
  <c r="X53" i="7"/>
  <c r="H53" i="27" s="1"/>
  <c r="EH54" i="24"/>
  <c r="GD54" i="24"/>
  <c r="BM54" i="32" s="1"/>
  <c r="GP54" i="7"/>
  <c r="GS54" i="7"/>
  <c r="GQ54" i="7"/>
  <c r="GR54" i="7"/>
  <c r="GC54" i="24"/>
  <c r="BL54" i="32" s="1"/>
  <c r="DZ54" i="24"/>
  <c r="BY54" i="24"/>
  <c r="BZ54" i="24" s="1"/>
  <c r="FG54" i="7"/>
  <c r="FF54" i="7"/>
  <c r="GT54" i="7" l="1" a="1"/>
  <c r="GT54" i="7" s="1"/>
  <c r="GW54" i="7" s="1"/>
  <c r="EQ54" i="24"/>
  <c r="GF54" i="24"/>
  <c r="BO54" i="32" s="1"/>
  <c r="GE54" i="24"/>
  <c r="BN54" i="32" s="1"/>
  <c r="EX54" i="24"/>
  <c r="FH54" i="24" s="1"/>
  <c r="GX54" i="7"/>
  <c r="GU54" i="7"/>
  <c r="BW54" i="7" s="1"/>
  <c r="CA54" i="24"/>
  <c r="CD54" i="24" s="1"/>
  <c r="CB54" i="24"/>
  <c r="CR54" i="24" s="1"/>
  <c r="GV54" i="7" l="1"/>
  <c r="BX54" i="7" s="1"/>
  <c r="GD54" i="7" s="1"/>
  <c r="Z54" i="27" s="1"/>
  <c r="DZ54" i="7"/>
  <c r="GC54" i="7"/>
  <c r="Y54" i="27" s="1"/>
  <c r="FI54" i="24"/>
  <c r="FA55" i="24"/>
  <c r="CV54" i="24"/>
  <c r="CX54" i="24" s="1"/>
  <c r="CY54" i="24" s="1"/>
  <c r="EH54" i="7" l="1"/>
  <c r="BY54" i="7"/>
  <c r="BZ54" i="7" s="1"/>
  <c r="EQ54" i="7" s="1"/>
  <c r="DA54" i="24"/>
  <c r="DC54" i="24"/>
  <c r="DD54" i="24" s="1"/>
  <c r="Z54" i="24"/>
  <c r="EF54" i="24"/>
  <c r="EE55" i="24" s="1"/>
  <c r="CA54" i="7" l="1"/>
  <c r="CD54" i="7" s="1"/>
  <c r="CB54" i="7"/>
  <c r="CR54" i="7" s="1"/>
  <c r="CV54" i="7" s="1"/>
  <c r="CX54" i="7" s="1"/>
  <c r="EX54" i="7"/>
  <c r="FH54" i="7" s="1"/>
  <c r="GF54" i="7"/>
  <c r="AB54" i="27" s="1"/>
  <c r="GE54" i="7"/>
  <c r="AA54" i="27" s="1"/>
  <c r="DE54" i="24"/>
  <c r="DF54" i="24" s="1"/>
  <c r="BS55" i="24" s="1"/>
  <c r="FI54" i="7"/>
  <c r="FA55" i="7"/>
  <c r="GL55" i="24"/>
  <c r="BU55" i="32" s="1"/>
  <c r="AD55" i="24"/>
  <c r="EJ55" i="24"/>
  <c r="EG55" i="24"/>
  <c r="EI55" i="24"/>
  <c r="EF54" i="7" l="1"/>
  <c r="EE55" i="7" s="1"/>
  <c r="Z54" i="7"/>
  <c r="J54" i="27" s="1"/>
  <c r="DC54" i="7"/>
  <c r="DD54" i="7" s="1"/>
  <c r="CY54" i="7"/>
  <c r="DH54" i="24"/>
  <c r="FT54" i="24" s="1"/>
  <c r="AL54" i="7" s="1"/>
  <c r="Y54" i="24"/>
  <c r="CE54" i="24"/>
  <c r="DJ54" i="24"/>
  <c r="DN54" i="24" s="1"/>
  <c r="DA54" i="7" l="1"/>
  <c r="DE54" i="7" s="1"/>
  <c r="EO54" i="24"/>
  <c r="EN55" i="24" s="1"/>
  <c r="AA54" i="24"/>
  <c r="DO54" i="24"/>
  <c r="DM55" i="24" s="1"/>
  <c r="DT54" i="24"/>
  <c r="CF54" i="24"/>
  <c r="CH54" i="24" s="1"/>
  <c r="BE55" i="24"/>
  <c r="AD55" i="7"/>
  <c r="N55" i="27" s="1"/>
  <c r="EJ55" i="7"/>
  <c r="EI55" i="7"/>
  <c r="GL55" i="7"/>
  <c r="AH55" i="27" s="1"/>
  <c r="EG55" i="7"/>
  <c r="DQ54" i="24"/>
  <c r="DG54" i="24"/>
  <c r="CI54" i="24" l="1"/>
  <c r="W54" i="24" s="1"/>
  <c r="BT55" i="24"/>
  <c r="GM55" i="24"/>
  <c r="BV55" i="32" s="1"/>
  <c r="EP55" i="24"/>
  <c r="ES55" i="24" s="1"/>
  <c r="AE55" i="24"/>
  <c r="GA55" i="24"/>
  <c r="BJ55" i="32" s="1"/>
  <c r="BI55" i="24"/>
  <c r="DH54" i="7"/>
  <c r="FT54" i="7" s="1"/>
  <c r="AL54" i="24" s="1"/>
  <c r="DX54" i="24" s="1"/>
  <c r="DW55" i="24" s="1"/>
  <c r="Y54" i="7"/>
  <c r="I54" i="27" s="1"/>
  <c r="CE54" i="7"/>
  <c r="DF54" i="7"/>
  <c r="BS55" i="7" s="1"/>
  <c r="AB54" i="24"/>
  <c r="EV54" i="24"/>
  <c r="EU55" i="24" s="1"/>
  <c r="DJ54" i="7"/>
  <c r="DN54" i="7" s="1"/>
  <c r="CL54" i="24" l="1"/>
  <c r="CJ54" i="24"/>
  <c r="GG54" i="24" s="1"/>
  <c r="BP54" i="32" s="1"/>
  <c r="CP55" i="24"/>
  <c r="AG55" i="24" s="1"/>
  <c r="DY55" i="24"/>
  <c r="GK55" i="24"/>
  <c r="BT55" i="32" s="1"/>
  <c r="EB55" i="24"/>
  <c r="AC55" i="24"/>
  <c r="EA55" i="24"/>
  <c r="EO54" i="7"/>
  <c r="EN55" i="7" s="1"/>
  <c r="AA54" i="7"/>
  <c r="K54" i="27" s="1"/>
  <c r="DO54" i="7"/>
  <c r="DM55" i="7" s="1"/>
  <c r="DQ54" i="7"/>
  <c r="AF55" i="24"/>
  <c r="GN55" i="24"/>
  <c r="BW55" i="32" s="1"/>
  <c r="EW55" i="24"/>
  <c r="EZ55" i="24" s="1"/>
  <c r="FB55" i="24"/>
  <c r="DT54" i="7"/>
  <c r="BE55" i="7"/>
  <c r="CF54" i="7"/>
  <c r="CH54" i="7" s="1"/>
  <c r="BP55" i="24"/>
  <c r="BU55" i="24" s="1"/>
  <c r="DG54" i="7"/>
  <c r="DX54" i="7" s="1"/>
  <c r="DW55" i="7" s="1"/>
  <c r="CI54" i="7"/>
  <c r="V54" i="24" l="1"/>
  <c r="CN54" i="24"/>
  <c r="CO54" i="24" s="1"/>
  <c r="GH54" i="24"/>
  <c r="BQ54" i="32" s="1"/>
  <c r="CK54" i="24"/>
  <c r="EP55" i="7"/>
  <c r="ES55" i="7" s="1"/>
  <c r="GM55" i="7"/>
  <c r="AI55" i="27" s="1"/>
  <c r="AE55" i="7"/>
  <c r="O55" i="27" s="1"/>
  <c r="FD55" i="24"/>
  <c r="FE55" i="24"/>
  <c r="FC55" i="24"/>
  <c r="AC55" i="7"/>
  <c r="M55" i="27" s="1"/>
  <c r="GK55" i="7"/>
  <c r="AG55" i="27" s="1"/>
  <c r="DY55" i="7"/>
  <c r="EB55" i="7" s="1"/>
  <c r="EA55" i="7"/>
  <c r="W54" i="7"/>
  <c r="G54" i="27" s="1"/>
  <c r="CJ54" i="7"/>
  <c r="CL54" i="7"/>
  <c r="FK55" i="24"/>
  <c r="BI55" i="7"/>
  <c r="GA55" i="7"/>
  <c r="W55" i="27" s="1"/>
  <c r="AB54" i="7"/>
  <c r="L54" i="27" s="1"/>
  <c r="EV54" i="7"/>
  <c r="EU55" i="7" s="1"/>
  <c r="BT55" i="7"/>
  <c r="X54" i="24" l="1"/>
  <c r="EW55" i="7"/>
  <c r="EZ55" i="7" s="1"/>
  <c r="FK55" i="7" s="1"/>
  <c r="GN55" i="7"/>
  <c r="AJ55" i="27" s="1"/>
  <c r="FB55" i="7"/>
  <c r="AF55" i="7"/>
  <c r="P55" i="27" s="1"/>
  <c r="FF55" i="24"/>
  <c r="FG55" i="24"/>
  <c r="BP55" i="7"/>
  <c r="BU55" i="7" s="1"/>
  <c r="GQ55" i="24"/>
  <c r="GS55" i="24"/>
  <c r="GP55" i="24"/>
  <c r="GR55" i="24"/>
  <c r="V54" i="7"/>
  <c r="F54" i="27" s="1"/>
  <c r="GG54" i="7"/>
  <c r="AC54" i="27" s="1"/>
  <c r="CK54" i="7"/>
  <c r="GH54" i="7"/>
  <c r="AD54" i="27" s="1"/>
  <c r="CN54" i="7"/>
  <c r="CP55" i="7"/>
  <c r="AG55" i="7" s="1"/>
  <c r="Q55" i="27" s="1"/>
  <c r="GT55" i="24" l="1" a="1"/>
  <c r="GT55" i="24" s="1"/>
  <c r="GV55" i="24" s="1"/>
  <c r="BX55" i="24" s="1"/>
  <c r="GR55" i="7"/>
  <c r="GS55" i="7"/>
  <c r="GP55" i="7"/>
  <c r="GQ55" i="7"/>
  <c r="X54" i="7"/>
  <c r="H54" i="27" s="1"/>
  <c r="CO54" i="7"/>
  <c r="FD55" i="7"/>
  <c r="FE55" i="7"/>
  <c r="FC55" i="7"/>
  <c r="GX55" i="24" l="1"/>
  <c r="GW55" i="24"/>
  <c r="GU55" i="24"/>
  <c r="BW55" i="24" s="1"/>
  <c r="BY55" i="24" s="1"/>
  <c r="EH55" i="24"/>
  <c r="GD55" i="24"/>
  <c r="BM55" i="32" s="1"/>
  <c r="FF55" i="7"/>
  <c r="FG55" i="7"/>
  <c r="GT55" i="7" a="1"/>
  <c r="GT55" i="7" s="1"/>
  <c r="CB55" i="24" l="1"/>
  <c r="CR55" i="24" s="1"/>
  <c r="CV55" i="24" s="1"/>
  <c r="CX55" i="24" s="1"/>
  <c r="CY55" i="24" s="1"/>
  <c r="BZ55" i="24"/>
  <c r="CA55" i="24" s="1"/>
  <c r="CD55" i="24" s="1"/>
  <c r="GC55" i="24"/>
  <c r="BL55" i="32" s="1"/>
  <c r="DZ55" i="24"/>
  <c r="EQ55" i="24"/>
  <c r="GU55" i="7"/>
  <c r="BW55" i="7" s="1"/>
  <c r="GV55" i="7"/>
  <c r="BX55" i="7" s="1"/>
  <c r="GX55" i="7"/>
  <c r="GW55" i="7"/>
  <c r="GE55" i="24"/>
  <c r="BN55" i="32" s="1"/>
  <c r="EX55" i="24"/>
  <c r="FH55" i="24" s="1"/>
  <c r="GF55" i="24" l="1"/>
  <c r="BO55" i="32" s="1"/>
  <c r="EH55" i="7"/>
  <c r="GD55" i="7"/>
  <c r="Z55" i="27" s="1"/>
  <c r="DZ55" i="7"/>
  <c r="GC55" i="7"/>
  <c r="Y55" i="27" s="1"/>
  <c r="BY55" i="7"/>
  <c r="CB55" i="7" s="1"/>
  <c r="CR55" i="7" s="1"/>
  <c r="DA55" i="24"/>
  <c r="FI55" i="24"/>
  <c r="FA56" i="24"/>
  <c r="DC55" i="24"/>
  <c r="DD55" i="24" s="1"/>
  <c r="Z55" i="24"/>
  <c r="EF55" i="24"/>
  <c r="EE56" i="24" s="1"/>
  <c r="BZ55" i="7" l="1"/>
  <c r="EQ55" i="7" s="1"/>
  <c r="DE55" i="24"/>
  <c r="DF55" i="24" s="1"/>
  <c r="BS56" i="24" s="1"/>
  <c r="CV55" i="7"/>
  <c r="CX55" i="7" s="1"/>
  <c r="AD56" i="24"/>
  <c r="EL56" i="24"/>
  <c r="GL56" i="24"/>
  <c r="BU56" i="32" s="1"/>
  <c r="EG56" i="24"/>
  <c r="GE55" i="7"/>
  <c r="AA55" i="27" s="1"/>
  <c r="EX55" i="7"/>
  <c r="FH55" i="7" s="1"/>
  <c r="EI56" i="24"/>
  <c r="EJ56" i="24"/>
  <c r="CA55" i="7" l="1"/>
  <c r="CD55" i="7" s="1"/>
  <c r="GF55" i="7"/>
  <c r="AB55" i="27" s="1"/>
  <c r="EF55" i="7"/>
  <c r="EE56" i="7" s="1"/>
  <c r="DC55" i="7"/>
  <c r="DD55" i="7" s="1"/>
  <c r="Z55" i="7"/>
  <c r="J55" i="27" s="1"/>
  <c r="CY55" i="7"/>
  <c r="Y55" i="24"/>
  <c r="DH55" i="24"/>
  <c r="FT55" i="24" s="1"/>
  <c r="AL55" i="7" s="1"/>
  <c r="DJ55" i="24"/>
  <c r="DN55" i="24" s="1"/>
  <c r="DQ55" i="24" s="1"/>
  <c r="FI55" i="7"/>
  <c r="FA56" i="7"/>
  <c r="CE55" i="24"/>
  <c r="DG55" i="24" l="1"/>
  <c r="AB55" i="24"/>
  <c r="EV55" i="24"/>
  <c r="EU56" i="24" s="1"/>
  <c r="BE56" i="24"/>
  <c r="DT55" i="24"/>
  <c r="CF55" i="24"/>
  <c r="CI55" i="24" s="1"/>
  <c r="DA55" i="7"/>
  <c r="DE55" i="7" s="1"/>
  <c r="DF55" i="7" s="1"/>
  <c r="BS56" i="7" s="1"/>
  <c r="AA55" i="24"/>
  <c r="EO55" i="24"/>
  <c r="EN56" i="24" s="1"/>
  <c r="DO55" i="24"/>
  <c r="DM56" i="24" s="1"/>
  <c r="AD56" i="7"/>
  <c r="N56" i="27" s="1"/>
  <c r="GL56" i="7"/>
  <c r="AH56" i="27" s="1"/>
  <c r="EL56" i="7"/>
  <c r="EG56" i="7"/>
  <c r="EJ56" i="7"/>
  <c r="EI56" i="7"/>
  <c r="CH55" i="24" l="1"/>
  <c r="W55" i="24" s="1"/>
  <c r="BT56" i="24"/>
  <c r="GM56" i="24"/>
  <c r="BV56" i="32" s="1"/>
  <c r="EP56" i="24"/>
  <c r="ES56" i="24" s="1"/>
  <c r="AE56" i="24"/>
  <c r="DH55" i="7"/>
  <c r="FT55" i="7" s="1"/>
  <c r="AL55" i="24" s="1"/>
  <c r="DX55" i="24" s="1"/>
  <c r="DW56" i="24" s="1"/>
  <c r="Y55" i="7"/>
  <c r="I55" i="27" s="1"/>
  <c r="BI56" i="24"/>
  <c r="GA56" i="24"/>
  <c r="BJ56" i="32" s="1"/>
  <c r="AF56" i="24"/>
  <c r="EW56" i="24"/>
  <c r="EZ56" i="24" s="1"/>
  <c r="GN56" i="24"/>
  <c r="BW56" i="32" s="1"/>
  <c r="FB56" i="24"/>
  <c r="CE55" i="7"/>
  <c r="DJ55" i="7"/>
  <c r="DN55" i="7" s="1"/>
  <c r="CL55" i="24" l="1"/>
  <c r="CJ55" i="24"/>
  <c r="DG55" i="7"/>
  <c r="DX55" i="7" s="1"/>
  <c r="DW56" i="7" s="1"/>
  <c r="EA56" i="7" s="1"/>
  <c r="BP56" i="24"/>
  <c r="BU56" i="24" s="1"/>
  <c r="GG55" i="24"/>
  <c r="BP55" i="32" s="1"/>
  <c r="CK55" i="24"/>
  <c r="GH55" i="24"/>
  <c r="BQ55" i="32" s="1"/>
  <c r="CN55" i="24"/>
  <c r="V55" i="24"/>
  <c r="AC56" i="24"/>
  <c r="DY56" i="24"/>
  <c r="CP56" i="24"/>
  <c r="AG56" i="24" s="1"/>
  <c r="GK56" i="24"/>
  <c r="BT56" i="32" s="1"/>
  <c r="FC56" i="24"/>
  <c r="FE56" i="24"/>
  <c r="FD56" i="24"/>
  <c r="GK56" i="7"/>
  <c r="AA55" i="7"/>
  <c r="K55" i="27" s="1"/>
  <c r="EO55" i="7"/>
  <c r="EN56" i="7" s="1"/>
  <c r="DO55" i="7"/>
  <c r="DM56" i="7" s="1"/>
  <c r="DQ55" i="7"/>
  <c r="DT55" i="7"/>
  <c r="CF55" i="7"/>
  <c r="CI55" i="7" s="1"/>
  <c r="BE56" i="7"/>
  <c r="EA56" i="24"/>
  <c r="DY56" i="7" l="1"/>
  <c r="EB56" i="7" s="1"/>
  <c r="AC56" i="7"/>
  <c r="M56" i="27" s="1"/>
  <c r="X55" i="24"/>
  <c r="CO55" i="24"/>
  <c r="EB56" i="24"/>
  <c r="FK56" i="24" s="1"/>
  <c r="BT56" i="7"/>
  <c r="EV55" i="7"/>
  <c r="EU56" i="7" s="1"/>
  <c r="AB55" i="7"/>
  <c r="L55" i="27" s="1"/>
  <c r="AE56" i="7"/>
  <c r="O56" i="27" s="1"/>
  <c r="GM56" i="7"/>
  <c r="AI56" i="27" s="1"/>
  <c r="EP56" i="7"/>
  <c r="ES56" i="7" s="1"/>
  <c r="BI56" i="7"/>
  <c r="GA56" i="7"/>
  <c r="W56" i="27" s="1"/>
  <c r="AG56" i="27"/>
  <c r="FG56" i="24"/>
  <c r="FF56" i="24"/>
  <c r="CH55" i="7"/>
  <c r="W55" i="7" l="1"/>
  <c r="G55" i="27" s="1"/>
  <c r="CL55" i="7"/>
  <c r="CJ55" i="7"/>
  <c r="BP56" i="7"/>
  <c r="BU56" i="7" s="1"/>
  <c r="GS56" i="24"/>
  <c r="GR56" i="24"/>
  <c r="GP56" i="24"/>
  <c r="GQ56" i="24"/>
  <c r="FB56" i="7"/>
  <c r="GN56" i="7"/>
  <c r="AJ56" i="27" s="1"/>
  <c r="EW56" i="7"/>
  <c r="EZ56" i="7" s="1"/>
  <c r="FK56" i="7" s="1"/>
  <c r="AF56" i="7"/>
  <c r="P56" i="27" s="1"/>
  <c r="CP56" i="7"/>
  <c r="AG56" i="7" s="1"/>
  <c r="Q56" i="27" s="1"/>
  <c r="GQ56" i="7" l="1"/>
  <c r="GR56" i="7"/>
  <c r="GP56" i="7"/>
  <c r="GS56" i="7"/>
  <c r="FC56" i="7"/>
  <c r="FD56" i="7"/>
  <c r="FE56" i="7"/>
  <c r="CK55" i="7"/>
  <c r="V55" i="7"/>
  <c r="F55" i="27" s="1"/>
  <c r="GH55" i="7"/>
  <c r="AD55" i="27" s="1"/>
  <c r="GG55" i="7"/>
  <c r="AC55" i="27" s="1"/>
  <c r="CN55" i="7"/>
  <c r="GT56" i="24" a="1"/>
  <c r="GT56" i="24" s="1"/>
  <c r="X55" i="7" l="1"/>
  <c r="H55" i="27" s="1"/>
  <c r="CO55" i="7"/>
  <c r="FF56" i="7"/>
  <c r="FG56" i="7"/>
  <c r="GT56" i="7" a="1"/>
  <c r="GT56" i="7" s="1"/>
  <c r="GV56" i="24"/>
  <c r="BX56" i="24" s="1"/>
  <c r="GU56" i="24"/>
  <c r="BW56" i="24" s="1"/>
  <c r="GW56" i="24"/>
  <c r="GX56" i="24"/>
  <c r="GC56" i="24" l="1"/>
  <c r="BL56" i="32" s="1"/>
  <c r="DZ56" i="24"/>
  <c r="BY56" i="24"/>
  <c r="BZ56" i="24" s="1"/>
  <c r="GX56" i="7"/>
  <c r="GV56" i="7"/>
  <c r="BX56" i="7" s="1"/>
  <c r="GU56" i="7"/>
  <c r="BW56" i="7" s="1"/>
  <c r="GW56" i="7"/>
  <c r="EH56" i="24"/>
  <c r="GD56" i="24"/>
  <c r="BM56" i="32" s="1"/>
  <c r="CA56" i="24" l="1"/>
  <c r="CD56" i="24" s="1"/>
  <c r="GE56" i="24"/>
  <c r="BN56" i="32" s="1"/>
  <c r="EX56" i="24"/>
  <c r="FH56" i="24" s="1"/>
  <c r="EQ56" i="24"/>
  <c r="GF56" i="24"/>
  <c r="BO56" i="32" s="1"/>
  <c r="DZ56" i="7"/>
  <c r="GC56" i="7"/>
  <c r="Y56" i="27" s="1"/>
  <c r="BY56" i="7"/>
  <c r="BZ56" i="7" s="1"/>
  <c r="CA56" i="7" s="1"/>
  <c r="CD56" i="7" s="1"/>
  <c r="GD56" i="7"/>
  <c r="Z56" i="27" s="1"/>
  <c r="EH56" i="7"/>
  <c r="CB56" i="24"/>
  <c r="CR56" i="24" s="1"/>
  <c r="CB56" i="7" l="1"/>
  <c r="CR56" i="7" s="1"/>
  <c r="CV56" i="7" s="1"/>
  <c r="CX56" i="7" s="1"/>
  <c r="CY56" i="7" s="1"/>
  <c r="CV56" i="24"/>
  <c r="CX56" i="24" s="1"/>
  <c r="GF56" i="7"/>
  <c r="AB56" i="27" s="1"/>
  <c r="EQ56" i="7"/>
  <c r="EX56" i="7"/>
  <c r="FH56" i="7" s="1"/>
  <c r="GE56" i="7"/>
  <c r="AA56" i="27" s="1"/>
  <c r="FI56" i="24"/>
  <c r="FA57" i="24"/>
  <c r="DA56" i="7" l="1"/>
  <c r="DC56" i="7"/>
  <c r="DD56" i="7" s="1"/>
  <c r="EF56" i="7"/>
  <c r="EE57" i="7" s="1"/>
  <c r="Z56" i="7"/>
  <c r="DC56" i="24"/>
  <c r="DD56" i="24" s="1"/>
  <c r="EF56" i="24"/>
  <c r="EE57" i="24" s="1"/>
  <c r="Z56" i="24"/>
  <c r="FI56" i="7"/>
  <c r="FA57" i="7"/>
  <c r="CY56" i="24"/>
  <c r="J56" i="27" l="1"/>
  <c r="AD57" i="7"/>
  <c r="GL57" i="7"/>
  <c r="EG57" i="7"/>
  <c r="DE56" i="7"/>
  <c r="DF56" i="7" s="1"/>
  <c r="BS57" i="7" s="1"/>
  <c r="EG57" i="24"/>
  <c r="AD57" i="24"/>
  <c r="GL57" i="24"/>
  <c r="BU57" i="32" s="1"/>
  <c r="DA56" i="24"/>
  <c r="DE56" i="24" s="1"/>
  <c r="DF56" i="24" s="1"/>
  <c r="BS57" i="24" s="1"/>
  <c r="EJ57" i="24"/>
  <c r="EJ57" i="7"/>
  <c r="EI57" i="7"/>
  <c r="EI57" i="24"/>
  <c r="DG56" i="7" l="1"/>
  <c r="DX56" i="7" s="1"/>
  <c r="DW57" i="7" s="1"/>
  <c r="Y56" i="7"/>
  <c r="DJ56" i="7"/>
  <c r="DN56" i="7" s="1"/>
  <c r="AH57" i="27"/>
  <c r="Y56" i="24"/>
  <c r="DG56" i="24"/>
  <c r="DX56" i="24" s="1"/>
  <c r="DW57" i="24" s="1"/>
  <c r="CE56" i="24"/>
  <c r="DJ56" i="24"/>
  <c r="DN56" i="24" s="1"/>
  <c r="DQ56" i="24" s="1"/>
  <c r="CE56" i="7"/>
  <c r="N57" i="27"/>
  <c r="GK57" i="24" l="1"/>
  <c r="BT57" i="32" s="1"/>
  <c r="DY57" i="24"/>
  <c r="EB57" i="24" s="1"/>
  <c r="AC57" i="24"/>
  <c r="EO56" i="7"/>
  <c r="EN57" i="7" s="1"/>
  <c r="AA56" i="7"/>
  <c r="DO56" i="7"/>
  <c r="DM57" i="7" s="1"/>
  <c r="DT56" i="7"/>
  <c r="CF56" i="7"/>
  <c r="CH56" i="7" s="1"/>
  <c r="BE57" i="7"/>
  <c r="DQ56" i="7"/>
  <c r="EO56" i="24"/>
  <c r="EN57" i="24" s="1"/>
  <c r="AA56" i="24"/>
  <c r="DO56" i="24"/>
  <c r="DM57" i="24" s="1"/>
  <c r="I56" i="27"/>
  <c r="AB56" i="24"/>
  <c r="EV56" i="24"/>
  <c r="EU57" i="24" s="1"/>
  <c r="GK57" i="7"/>
  <c r="AG57" i="27" s="1"/>
  <c r="AC57" i="7"/>
  <c r="DY57" i="7"/>
  <c r="EB57" i="7" s="1"/>
  <c r="BE57" i="24"/>
  <c r="CF56" i="24"/>
  <c r="CH56" i="24" s="1"/>
  <c r="DT56" i="24"/>
  <c r="EA57" i="24"/>
  <c r="EA57" i="7"/>
  <c r="CI56" i="7" l="1"/>
  <c r="W56" i="7" s="1"/>
  <c r="M57" i="27"/>
  <c r="CL56" i="7"/>
  <c r="CP57" i="24"/>
  <c r="AG57" i="24" s="1"/>
  <c r="AB56" i="7"/>
  <c r="L56" i="27" s="1"/>
  <c r="EV56" i="7"/>
  <c r="EU57" i="7" s="1"/>
  <c r="EP57" i="7"/>
  <c r="ES57" i="7" s="1"/>
  <c r="GM57" i="7"/>
  <c r="AE57" i="7"/>
  <c r="GA57" i="24"/>
  <c r="BJ57" i="32" s="1"/>
  <c r="BI57" i="24"/>
  <c r="AF57" i="24"/>
  <c r="FB57" i="24"/>
  <c r="GN57" i="24"/>
  <c r="BW57" i="32" s="1"/>
  <c r="EW57" i="24"/>
  <c r="BI57" i="7"/>
  <c r="GA57" i="7"/>
  <c r="BT57" i="24"/>
  <c r="BT57" i="7"/>
  <c r="AE57" i="24"/>
  <c r="GM57" i="24"/>
  <c r="BV57" i="32" s="1"/>
  <c r="EP57" i="24"/>
  <c r="ES57" i="24" s="1"/>
  <c r="K56" i="27"/>
  <c r="CI56" i="24"/>
  <c r="CJ56" i="7" l="1"/>
  <c r="CK56" i="7" s="1"/>
  <c r="W56" i="24"/>
  <c r="CL56" i="24"/>
  <c r="BP57" i="7"/>
  <c r="BU57" i="7" s="1"/>
  <c r="FB57" i="7"/>
  <c r="GN57" i="7"/>
  <c r="AJ57" i="27" s="1"/>
  <c r="EW57" i="7"/>
  <c r="EZ57" i="7" s="1"/>
  <c r="FK57" i="7" s="1"/>
  <c r="AF57" i="7"/>
  <c r="P57" i="27" s="1"/>
  <c r="CP57" i="7"/>
  <c r="AG57" i="7" s="1"/>
  <c r="Q57" i="27" s="1"/>
  <c r="FC57" i="24"/>
  <c r="FD57" i="24"/>
  <c r="FE57" i="24"/>
  <c r="EZ57" i="24"/>
  <c r="FK57" i="24" s="1"/>
  <c r="CJ56" i="24"/>
  <c r="O57" i="27"/>
  <c r="V56" i="7"/>
  <c r="AI57" i="27"/>
  <c r="G56" i="27"/>
  <c r="W57" i="27"/>
  <c r="BP57" i="24"/>
  <c r="BU57" i="24" s="1"/>
  <c r="CN56" i="7" l="1"/>
  <c r="CO56" i="7" s="1"/>
  <c r="GH56" i="7"/>
  <c r="GG56" i="7"/>
  <c r="GR57" i="7"/>
  <c r="GS57" i="7"/>
  <c r="GP57" i="7"/>
  <c r="GQ57" i="7"/>
  <c r="GQ57" i="24"/>
  <c r="GR57" i="24"/>
  <c r="GP57" i="24"/>
  <c r="GS57" i="24"/>
  <c r="FF57" i="24"/>
  <c r="FG57" i="24"/>
  <c r="GG56" i="24"/>
  <c r="BP56" i="32" s="1"/>
  <c r="V56" i="24"/>
  <c r="F56" i="27" s="1"/>
  <c r="GH56" i="24"/>
  <c r="BQ56" i="32" s="1"/>
  <c r="CK56" i="24"/>
  <c r="CN56" i="24"/>
  <c r="FE57" i="7"/>
  <c r="FC57" i="7"/>
  <c r="FD57" i="7"/>
  <c r="X56" i="7" l="1"/>
  <c r="AD56" i="27"/>
  <c r="GT57" i="7" a="1"/>
  <c r="GT57" i="7" s="1"/>
  <c r="GX57" i="7" s="1"/>
  <c r="GT57" i="24" a="1"/>
  <c r="GT57" i="24" s="1"/>
  <c r="GX57" i="24" s="1"/>
  <c r="FG57" i="7"/>
  <c r="FF57" i="7"/>
  <c r="AC56" i="27"/>
  <c r="CO56" i="24"/>
  <c r="X56" i="24"/>
  <c r="H56" i="27" s="1"/>
  <c r="GV57" i="24" l="1"/>
  <c r="BX57" i="24" s="1"/>
  <c r="GD57" i="24" s="1"/>
  <c r="BM57" i="32" s="1"/>
  <c r="GU57" i="24"/>
  <c r="BW57" i="24" s="1"/>
  <c r="GC57" i="24" s="1"/>
  <c r="BL57" i="32" s="1"/>
  <c r="GW57" i="24"/>
  <c r="GW57" i="7"/>
  <c r="GV57" i="7"/>
  <c r="BX57" i="7" s="1"/>
  <c r="GD57" i="7" s="1"/>
  <c r="GU57" i="7"/>
  <c r="BW57" i="7" s="1"/>
  <c r="GC57" i="7" s="1"/>
  <c r="EH57" i="7" l="1"/>
  <c r="EE58" i="7" s="1"/>
  <c r="AD58" i="7" s="1"/>
  <c r="Z57" i="24"/>
  <c r="EH57" i="24"/>
  <c r="EE58" i="24" s="1"/>
  <c r="EG58" i="24" s="1"/>
  <c r="Z57" i="27"/>
  <c r="Z57" i="7"/>
  <c r="DZ57" i="7"/>
  <c r="BY57" i="24"/>
  <c r="CB57" i="24" s="1"/>
  <c r="CR57" i="24" s="1"/>
  <c r="CY57" i="24" s="1"/>
  <c r="DZ57" i="24"/>
  <c r="BY57" i="7"/>
  <c r="CB57" i="7" s="1"/>
  <c r="CR57" i="7" s="1"/>
  <c r="CV57" i="7" s="1"/>
  <c r="Y57" i="27"/>
  <c r="EI58" i="7"/>
  <c r="EJ58" i="24"/>
  <c r="EI58" i="24"/>
  <c r="AD58" i="24" l="1"/>
  <c r="GL58" i="24"/>
  <c r="BU58" i="32" s="1"/>
  <c r="GL58" i="7"/>
  <c r="AH58" i="27" s="1"/>
  <c r="EG58" i="7"/>
  <c r="EJ58" i="7"/>
  <c r="J57" i="27"/>
  <c r="GE57" i="24"/>
  <c r="BN57" i="32" s="1"/>
  <c r="EX57" i="24"/>
  <c r="FH57" i="24" s="1"/>
  <c r="FI57" i="24" s="1"/>
  <c r="CY57" i="7"/>
  <c r="DA57" i="7" s="1"/>
  <c r="DE57" i="7" s="1"/>
  <c r="BZ57" i="7"/>
  <c r="GF57" i="7" s="1"/>
  <c r="EX57" i="7"/>
  <c r="FH57" i="7" s="1"/>
  <c r="FI57" i="7" s="1"/>
  <c r="GE57" i="7"/>
  <c r="BZ57" i="24"/>
  <c r="CV57" i="24"/>
  <c r="DA57" i="24"/>
  <c r="DE57" i="24" s="1"/>
  <c r="N58" i="27"/>
  <c r="AA57" i="27" l="1"/>
  <c r="FA58" i="24"/>
  <c r="FA58" i="7"/>
  <c r="GF57" i="24"/>
  <c r="BO57" i="32" s="1"/>
  <c r="CA57" i="24"/>
  <c r="CD57" i="24" s="1"/>
  <c r="EQ57" i="24"/>
  <c r="CA57" i="7"/>
  <c r="CD57" i="7" s="1"/>
  <c r="EQ57" i="7"/>
  <c r="CE57" i="7"/>
  <c r="CF57" i="7" s="1"/>
  <c r="DJ57" i="7"/>
  <c r="DN57" i="7" s="1"/>
  <c r="DJ57" i="24"/>
  <c r="DN57" i="24" s="1"/>
  <c r="CE57" i="24"/>
  <c r="DT57" i="24" s="1"/>
  <c r="DF57" i="7"/>
  <c r="BS58" i="7" s="1"/>
  <c r="DG57" i="7"/>
  <c r="DX57" i="7" s="1"/>
  <c r="DW58" i="7" s="1"/>
  <c r="Y57" i="7"/>
  <c r="Y57" i="24"/>
  <c r="DF57" i="24"/>
  <c r="BS58" i="24" s="1"/>
  <c r="DG57" i="24"/>
  <c r="DX57" i="24" s="1"/>
  <c r="DW58" i="24" s="1"/>
  <c r="BE58" i="24" l="1"/>
  <c r="BE58" i="7"/>
  <c r="GA58" i="7" s="1"/>
  <c r="CH57" i="7"/>
  <c r="DT57" i="7"/>
  <c r="AB57" i="27"/>
  <c r="CF57" i="24"/>
  <c r="CI57" i="24" s="1"/>
  <c r="I57" i="27"/>
  <c r="DO57" i="24"/>
  <c r="DM58" i="24" s="1"/>
  <c r="EO57" i="24"/>
  <c r="EN58" i="24" s="1"/>
  <c r="AA57" i="24"/>
  <c r="DO57" i="7"/>
  <c r="DM58" i="7" s="1"/>
  <c r="EO57" i="7"/>
  <c r="EN58" i="7" s="1"/>
  <c r="AA57" i="7"/>
  <c r="DQ57" i="24"/>
  <c r="DQ57" i="7"/>
  <c r="GK58" i="7"/>
  <c r="AC58" i="7"/>
  <c r="DY58" i="7"/>
  <c r="EB58" i="7" s="1"/>
  <c r="DY58" i="24"/>
  <c r="GK58" i="24"/>
  <c r="BT58" i="32" s="1"/>
  <c r="AC58" i="24"/>
  <c r="BI58" i="24"/>
  <c r="GA58" i="24"/>
  <c r="BJ58" i="32" s="1"/>
  <c r="EA58" i="7"/>
  <c r="EA58" i="24"/>
  <c r="CI57" i="7"/>
  <c r="BI58" i="7" l="1"/>
  <c r="CH57" i="24"/>
  <c r="W57" i="24" s="1"/>
  <c r="CL57" i="24"/>
  <c r="W58" i="27"/>
  <c r="W57" i="7"/>
  <c r="CL57" i="7"/>
  <c r="AE58" i="7"/>
  <c r="GM58" i="7"/>
  <c r="EP58" i="7"/>
  <c r="ES58" i="7" s="1"/>
  <c r="BT58" i="7"/>
  <c r="GM58" i="24"/>
  <c r="BV58" i="32" s="1"/>
  <c r="EP58" i="24"/>
  <c r="ES58" i="24" s="1"/>
  <c r="AE58" i="24"/>
  <c r="BT58" i="24"/>
  <c r="M58" i="27"/>
  <c r="EV57" i="7"/>
  <c r="EU58" i="7" s="1"/>
  <c r="AB57" i="7"/>
  <c r="AB57" i="24"/>
  <c r="EV57" i="24"/>
  <c r="EU58" i="24" s="1"/>
  <c r="K57" i="27"/>
  <c r="BP58" i="7"/>
  <c r="BU58" i="7" s="1"/>
  <c r="EB58" i="24"/>
  <c r="CJ57" i="7"/>
  <c r="BP58" i="24"/>
  <c r="BU58" i="24" s="1"/>
  <c r="AG58" i="27"/>
  <c r="CJ57" i="24" l="1"/>
  <c r="G57" i="27"/>
  <c r="GG57" i="24"/>
  <c r="BP57" i="32" s="1"/>
  <c r="V57" i="24"/>
  <c r="GH57" i="24"/>
  <c r="BQ57" i="32" s="1"/>
  <c r="L57" i="27"/>
  <c r="EW58" i="7"/>
  <c r="AF58" i="7"/>
  <c r="FB58" i="7"/>
  <c r="GN58" i="7"/>
  <c r="AI58" i="27"/>
  <c r="AF58" i="24"/>
  <c r="CP58" i="24"/>
  <c r="AG58" i="24" s="1"/>
  <c r="GN58" i="24"/>
  <c r="BW58" i="32" s="1"/>
  <c r="FB58" i="24"/>
  <c r="EW58" i="24"/>
  <c r="O58" i="27"/>
  <c r="CP58" i="7"/>
  <c r="AG58" i="7" s="1"/>
  <c r="CN57" i="7"/>
  <c r="GH57" i="7"/>
  <c r="AD57" i="27" s="1"/>
  <c r="GG57" i="7"/>
  <c r="AC57" i="27" s="1"/>
  <c r="CK57" i="7"/>
  <c r="V57" i="7"/>
  <c r="CK57" i="24" l="1"/>
  <c r="CN57" i="24"/>
  <c r="F57" i="27"/>
  <c r="Q58" i="27"/>
  <c r="AJ58" i="27"/>
  <c r="FE58" i="24"/>
  <c r="FD58" i="24"/>
  <c r="FC58" i="24"/>
  <c r="P58" i="27"/>
  <c r="EZ58" i="24"/>
  <c r="FK58" i="24" s="1"/>
  <c r="FC58" i="7"/>
  <c r="FD58" i="7"/>
  <c r="FE58" i="7"/>
  <c r="EZ58" i="7"/>
  <c r="FK58" i="7" s="1"/>
  <c r="CO57" i="7"/>
  <c r="X57" i="7"/>
  <c r="X57" i="24" l="1"/>
  <c r="H57" i="27" s="1"/>
  <c r="CO57" i="24"/>
  <c r="GS58" i="24"/>
  <c r="GQ58" i="24"/>
  <c r="GP58" i="24"/>
  <c r="GR58" i="24"/>
  <c r="GP58" i="7"/>
  <c r="GR58" i="7"/>
  <c r="GQ58" i="7"/>
  <c r="GS58" i="7"/>
  <c r="FF58" i="24"/>
  <c r="FG58" i="24"/>
  <c r="FF58" i="7"/>
  <c r="FG58" i="7"/>
  <c r="GT58" i="24" l="1" a="1"/>
  <c r="GT58" i="24" s="1"/>
  <c r="GU58" i="24" s="1"/>
  <c r="BW58" i="24" s="1"/>
  <c r="GT58" i="7" a="1"/>
  <c r="GT58" i="7" s="1"/>
  <c r="GW58" i="24" l="1"/>
  <c r="GX58" i="24"/>
  <c r="GV58" i="24"/>
  <c r="BX58" i="24" s="1"/>
  <c r="EH58" i="24" s="1"/>
  <c r="EE59" i="24" s="1"/>
  <c r="EI59" i="24" s="1"/>
  <c r="GC58" i="24"/>
  <c r="BL58" i="32" s="1"/>
  <c r="DZ58" i="24"/>
  <c r="GU58" i="7"/>
  <c r="BW58" i="7" s="1"/>
  <c r="GV58" i="7"/>
  <c r="BX58" i="7" s="1"/>
  <c r="GX58" i="7"/>
  <c r="GW58" i="7"/>
  <c r="EJ59" i="24" l="1"/>
  <c r="BY58" i="24"/>
  <c r="BZ58" i="24" s="1"/>
  <c r="GD58" i="24"/>
  <c r="BM58" i="32" s="1"/>
  <c r="Z58" i="24"/>
  <c r="DZ58" i="7"/>
  <c r="BY58" i="7"/>
  <c r="GC58" i="7"/>
  <c r="Y58" i="27" s="1"/>
  <c r="EH58" i="7"/>
  <c r="EE59" i="7" s="1"/>
  <c r="EJ59" i="7" s="1"/>
  <c r="GD58" i="7"/>
  <c r="Z58" i="7"/>
  <c r="EG59" i="24"/>
  <c r="AD59" i="24"/>
  <c r="GL59" i="24"/>
  <c r="BU59" i="32" s="1"/>
  <c r="J58" i="27" l="1"/>
  <c r="Z58" i="27"/>
  <c r="EI59" i="7"/>
  <c r="EX58" i="24"/>
  <c r="FH58" i="24" s="1"/>
  <c r="GE58" i="24"/>
  <c r="BN58" i="32" s="1"/>
  <c r="CB58" i="24"/>
  <c r="CR58" i="24" s="1"/>
  <c r="CV58" i="24" s="1"/>
  <c r="FA59" i="24"/>
  <c r="FI58" i="24"/>
  <c r="CB58" i="7"/>
  <c r="CR58" i="7" s="1"/>
  <c r="GE58" i="7"/>
  <c r="EX58" i="7"/>
  <c r="FH58" i="7" s="1"/>
  <c r="AD59" i="7"/>
  <c r="N59" i="27" s="1"/>
  <c r="GL59" i="7"/>
  <c r="AH59" i="27" s="1"/>
  <c r="EG59" i="7"/>
  <c r="EQ58" i="24"/>
  <c r="GF58" i="24"/>
  <c r="BO58" i="32" s="1"/>
  <c r="BZ58" i="7"/>
  <c r="CA58" i="7" s="1"/>
  <c r="CD58" i="7" s="1"/>
  <c r="CA58" i="24"/>
  <c r="CD58" i="24" s="1"/>
  <c r="AA58" i="27" l="1"/>
  <c r="CY58" i="24"/>
  <c r="DA58" i="24" s="1"/>
  <c r="DE58" i="24" s="1"/>
  <c r="DJ58" i="24" s="1"/>
  <c r="DN58" i="24" s="1"/>
  <c r="GF58" i="7"/>
  <c r="AB58" i="27" s="1"/>
  <c r="EQ58" i="7"/>
  <c r="FA59" i="7"/>
  <c r="FI58" i="7"/>
  <c r="CV58" i="7"/>
  <c r="CY58" i="7"/>
  <c r="CE58" i="24" l="1"/>
  <c r="BE59" i="24" s="1"/>
  <c r="DO58" i="24"/>
  <c r="DM59" i="24" s="1"/>
  <c r="EO58" i="24"/>
  <c r="EN59" i="24" s="1"/>
  <c r="AA58" i="24"/>
  <c r="DA58" i="7"/>
  <c r="DE58" i="7" s="1"/>
  <c r="DJ58" i="7" s="1"/>
  <c r="DN58" i="7" s="1"/>
  <c r="DQ58" i="24"/>
  <c r="DG58" i="24"/>
  <c r="DX58" i="24" s="1"/>
  <c r="DW59" i="24" s="1"/>
  <c r="EA59" i="24" s="1"/>
  <c r="Y58" i="24"/>
  <c r="DF58" i="24"/>
  <c r="BS59" i="24" s="1"/>
  <c r="DT58" i="24" l="1"/>
  <c r="CF58" i="24"/>
  <c r="DQ58" i="7"/>
  <c r="AB58" i="7" s="1"/>
  <c r="GK59" i="24"/>
  <c r="BT59" i="32" s="1"/>
  <c r="DY59" i="24"/>
  <c r="EB59" i="24" s="1"/>
  <c r="AC59" i="24"/>
  <c r="DF58" i="7"/>
  <c r="BS59" i="7" s="1"/>
  <c r="Y58" i="7"/>
  <c r="I58" i="27" s="1"/>
  <c r="DG58" i="7"/>
  <c r="DX58" i="7" s="1"/>
  <c r="DW59" i="7" s="1"/>
  <c r="EA59" i="7" s="1"/>
  <c r="DO58" i="7"/>
  <c r="DM59" i="7" s="1"/>
  <c r="EO58" i="7"/>
  <c r="EN59" i="7" s="1"/>
  <c r="AA58" i="7"/>
  <c r="K58" i="27" s="1"/>
  <c r="EV58" i="24"/>
  <c r="EU59" i="24" s="1"/>
  <c r="CP59" i="24" s="1"/>
  <c r="AG59" i="24" s="1"/>
  <c r="AB58" i="24"/>
  <c r="CE58" i="7"/>
  <c r="GA59" i="24"/>
  <c r="BJ59" i="32" s="1"/>
  <c r="BI59" i="24"/>
  <c r="BP59" i="24" s="1"/>
  <c r="BU59" i="24" s="1"/>
  <c r="GM59" i="24"/>
  <c r="BV59" i="32" s="1"/>
  <c r="AE59" i="24"/>
  <c r="EP59" i="24"/>
  <c r="ES59" i="24" s="1"/>
  <c r="BT59" i="24"/>
  <c r="CH58" i="24"/>
  <c r="CI58" i="24"/>
  <c r="EV58" i="7" l="1"/>
  <c r="EU59" i="7" s="1"/>
  <c r="GN59" i="7" s="1"/>
  <c r="W58" i="24"/>
  <c r="CL58" i="24"/>
  <c r="CJ58" i="24"/>
  <c r="CK58" i="24" s="1"/>
  <c r="L58" i="27"/>
  <c r="GM59" i="7"/>
  <c r="AI59" i="27" s="1"/>
  <c r="EP59" i="7"/>
  <c r="ES59" i="7" s="1"/>
  <c r="AE59" i="7"/>
  <c r="O59" i="27" s="1"/>
  <c r="BT59" i="7"/>
  <c r="DY59" i="7"/>
  <c r="EB59" i="7" s="1"/>
  <c r="CP59" i="7"/>
  <c r="AG59" i="7" s="1"/>
  <c r="Q59" i="27" s="1"/>
  <c r="GK59" i="7"/>
  <c r="AG59" i="27" s="1"/>
  <c r="AC59" i="7"/>
  <c r="M59" i="27" s="1"/>
  <c r="AF59" i="7"/>
  <c r="BE59" i="7"/>
  <c r="DT58" i="7"/>
  <c r="CF58" i="7"/>
  <c r="CI58" i="7" s="1"/>
  <c r="V58" i="24"/>
  <c r="FB59" i="24"/>
  <c r="GN59" i="24"/>
  <c r="BW59" i="32" s="1"/>
  <c r="AF59" i="24"/>
  <c r="EW59" i="24"/>
  <c r="GH58" i="24" l="1"/>
  <c r="BQ58" i="32" s="1"/>
  <c r="EW59" i="7"/>
  <c r="FB59" i="7"/>
  <c r="CH58" i="7"/>
  <c r="CJ58" i="7" s="1"/>
  <c r="GG58" i="24"/>
  <c r="BP58" i="32" s="1"/>
  <c r="CN58" i="24"/>
  <c r="X58" i="24" s="1"/>
  <c r="CL58" i="7"/>
  <c r="W58" i="7"/>
  <c r="G58" i="27" s="1"/>
  <c r="EZ59" i="7"/>
  <c r="FK59" i="7" s="1"/>
  <c r="FE59" i="7"/>
  <c r="FD59" i="7"/>
  <c r="FC59" i="7"/>
  <c r="AJ59" i="27"/>
  <c r="FE59" i="24"/>
  <c r="FC59" i="24"/>
  <c r="FD59" i="24"/>
  <c r="EZ59" i="24"/>
  <c r="FK59" i="24" s="1"/>
  <c r="BI59" i="7"/>
  <c r="BP59" i="7" s="1"/>
  <c r="BU59" i="7" s="1"/>
  <c r="GA59" i="7"/>
  <c r="W59" i="27" s="1"/>
  <c r="P59" i="27"/>
  <c r="CO58" i="24" l="1"/>
  <c r="GS59" i="7"/>
  <c r="GP59" i="7"/>
  <c r="GR59" i="7"/>
  <c r="GQ59" i="7"/>
  <c r="GP59" i="24"/>
  <c r="GR59" i="24"/>
  <c r="GS59" i="24"/>
  <c r="GQ59" i="24"/>
  <c r="FF59" i="7"/>
  <c r="FG59" i="7"/>
  <c r="FG59" i="24"/>
  <c r="FF59" i="24"/>
  <c r="CN58" i="7"/>
  <c r="CK58" i="7"/>
  <c r="V58" i="7"/>
  <c r="F58" i="27" s="1"/>
  <c r="GH58" i="7"/>
  <c r="AD58" i="27" s="1"/>
  <c r="GG58" i="7"/>
  <c r="AC58" i="27" s="1"/>
  <c r="GT59" i="24" l="1" a="1"/>
  <c r="GT59" i="24" s="1"/>
  <c r="GX59" i="24" s="1"/>
  <c r="GT59" i="7" a="1"/>
  <c r="GT59" i="7" s="1"/>
  <c r="GW59" i="7" s="1"/>
  <c r="CO58" i="7"/>
  <c r="X58" i="7"/>
  <c r="H58" i="27" s="1"/>
  <c r="GU59" i="7" l="1"/>
  <c r="BW59" i="7" s="1"/>
  <c r="GC59" i="7" s="1"/>
  <c r="GX59" i="7"/>
  <c r="GV59" i="7"/>
  <c r="BX59" i="7" s="1"/>
  <c r="EH59" i="7" s="1"/>
  <c r="EE60" i="7" s="1"/>
  <c r="EJ60" i="7" s="1"/>
  <c r="GW59" i="24"/>
  <c r="GV59" i="24"/>
  <c r="BX59" i="24" s="1"/>
  <c r="EH59" i="24" s="1"/>
  <c r="EE60" i="24" s="1"/>
  <c r="EI60" i="24" s="1"/>
  <c r="GU59" i="24"/>
  <c r="BW59" i="24" s="1"/>
  <c r="DZ59" i="24" s="1"/>
  <c r="GD59" i="7" l="1"/>
  <c r="EI60" i="7"/>
  <c r="EJ60" i="24"/>
  <c r="GC59" i="24"/>
  <c r="BL59" i="32" s="1"/>
  <c r="Z59" i="7"/>
  <c r="DZ59" i="7"/>
  <c r="BY59" i="24"/>
  <c r="BZ59" i="24" s="1"/>
  <c r="GF59" i="24" s="1"/>
  <c r="BO59" i="32" s="1"/>
  <c r="BY59" i="7"/>
  <c r="CB59" i="7" s="1"/>
  <c r="CR59" i="7" s="1"/>
  <c r="CY59" i="7" s="1"/>
  <c r="DA59" i="7" s="1"/>
  <c r="DE59" i="7" s="1"/>
  <c r="DF59" i="7" s="1"/>
  <c r="BS60" i="7" s="1"/>
  <c r="GD59" i="24"/>
  <c r="BM59" i="32" s="1"/>
  <c r="Z59" i="24"/>
  <c r="GL60" i="24"/>
  <c r="BU60" i="32" s="1"/>
  <c r="AD60" i="24"/>
  <c r="EG60" i="24"/>
  <c r="AD60" i="7"/>
  <c r="GL60" i="7"/>
  <c r="EG60" i="7"/>
  <c r="J59" i="27" l="1"/>
  <c r="CA59" i="24"/>
  <c r="CD59" i="24" s="1"/>
  <c r="Y59" i="27"/>
  <c r="EX59" i="24"/>
  <c r="FH59" i="24" s="1"/>
  <c r="FA60" i="24" s="1"/>
  <c r="GE59" i="7"/>
  <c r="GE59" i="24"/>
  <c r="BN59" i="32" s="1"/>
  <c r="EQ59" i="24"/>
  <c r="EX59" i="7"/>
  <c r="FH59" i="7" s="1"/>
  <c r="FI59" i="7" s="1"/>
  <c r="CE59" i="7" s="1"/>
  <c r="BZ59" i="7"/>
  <c r="GF59" i="7" s="1"/>
  <c r="AB59" i="27" s="1"/>
  <c r="Z59" i="27"/>
  <c r="CV59" i="7"/>
  <c r="CB59" i="24"/>
  <c r="CR59" i="24" s="1"/>
  <c r="Y59" i="7"/>
  <c r="N60" i="27"/>
  <c r="DG59" i="7"/>
  <c r="DX59" i="7" s="1"/>
  <c r="DW60" i="7" s="1"/>
  <c r="AC60" i="7" s="1"/>
  <c r="DJ59" i="7"/>
  <c r="DN59" i="7" s="1"/>
  <c r="DQ59" i="7" s="1"/>
  <c r="AB59" i="7" s="1"/>
  <c r="AH60" i="27"/>
  <c r="FI59" i="24" l="1"/>
  <c r="AA59" i="27"/>
  <c r="EA60" i="7"/>
  <c r="FA60" i="7"/>
  <c r="EQ59" i="7"/>
  <c r="CA59" i="7"/>
  <c r="CD59" i="7" s="1"/>
  <c r="CY59" i="24"/>
  <c r="DA59" i="24" s="1"/>
  <c r="DE59" i="24" s="1"/>
  <c r="DF59" i="24" s="1"/>
  <c r="BS60" i="24" s="1"/>
  <c r="CV59" i="24"/>
  <c r="AA59" i="7"/>
  <c r="DO59" i="7"/>
  <c r="EO59" i="7"/>
  <c r="GK60" i="7"/>
  <c r="DY60" i="7"/>
  <c r="EB60" i="7" s="1"/>
  <c r="BE60" i="7"/>
  <c r="CF59" i="7"/>
  <c r="CH59" i="7" s="1"/>
  <c r="DT59" i="7"/>
  <c r="EV59" i="7"/>
  <c r="EU60" i="7" s="1"/>
  <c r="EN60" i="7" l="1"/>
  <c r="EP60" i="7" s="1"/>
  <c r="ES60" i="7" s="1"/>
  <c r="CI59" i="7"/>
  <c r="DM60" i="7"/>
  <c r="BT60" i="7" s="1"/>
  <c r="Y59" i="24"/>
  <c r="I59" i="27" s="1"/>
  <c r="DG59" i="24"/>
  <c r="DX59" i="24" s="1"/>
  <c r="DW60" i="24" s="1"/>
  <c r="DY60" i="24" s="1"/>
  <c r="EB60" i="24" s="1"/>
  <c r="DJ59" i="24"/>
  <c r="DN59" i="24" s="1"/>
  <c r="DQ59" i="24" s="1"/>
  <c r="EV59" i="24" s="1"/>
  <c r="EU60" i="24" s="1"/>
  <c r="CE59" i="24"/>
  <c r="AE60" i="7"/>
  <c r="GM60" i="7"/>
  <c r="CP60" i="7"/>
  <c r="AG60" i="7" s="1"/>
  <c r="FB60" i="7"/>
  <c r="GN60" i="7"/>
  <c r="AF60" i="7"/>
  <c r="EW60" i="7"/>
  <c r="EZ60" i="7" s="1"/>
  <c r="FK60" i="7" s="1"/>
  <c r="CJ59" i="7"/>
  <c r="W59" i="7"/>
  <c r="CL59" i="7"/>
  <c r="GA60" i="7"/>
  <c r="BI60" i="7"/>
  <c r="BP60" i="7" s="1"/>
  <c r="BU60" i="7" s="1"/>
  <c r="BE60" i="24" l="1"/>
  <c r="DT59" i="24"/>
  <c r="CF59" i="24"/>
  <c r="CI59" i="24" s="1"/>
  <c r="EO59" i="24"/>
  <c r="EN60" i="24" s="1"/>
  <c r="AE60" i="24" s="1"/>
  <c r="O60" i="27" s="1"/>
  <c r="EA60" i="24"/>
  <c r="AC60" i="24"/>
  <c r="M60" i="27" s="1"/>
  <c r="AA59" i="24"/>
  <c r="K59" i="27" s="1"/>
  <c r="GK60" i="24"/>
  <c r="BT60" i="32" s="1"/>
  <c r="AB59" i="24"/>
  <c r="L59" i="27" s="1"/>
  <c r="FC60" i="7"/>
  <c r="DO59" i="24"/>
  <c r="DM60" i="24" s="1"/>
  <c r="BT60" i="24" s="1"/>
  <c r="FD60" i="7"/>
  <c r="FE60" i="7"/>
  <c r="FF60" i="7" s="1"/>
  <c r="GR60" i="7"/>
  <c r="GQ60" i="7"/>
  <c r="GS60" i="7"/>
  <c r="GP60" i="7"/>
  <c r="CL59" i="24"/>
  <c r="AF60" i="24"/>
  <c r="P60" i="27" s="1"/>
  <c r="FB60" i="24"/>
  <c r="GN60" i="24"/>
  <c r="EW60" i="24"/>
  <c r="EZ60" i="24" s="1"/>
  <c r="GA60" i="24"/>
  <c r="BJ60" i="32" s="1"/>
  <c r="BI60" i="24"/>
  <c r="BP60" i="24" s="1"/>
  <c r="BU60" i="24" s="1"/>
  <c r="CN59" i="7"/>
  <c r="GH59" i="7"/>
  <c r="CK59" i="7"/>
  <c r="GG59" i="7"/>
  <c r="V59" i="7"/>
  <c r="EP60" i="24" l="1"/>
  <c r="ES60" i="24" s="1"/>
  <c r="GM60" i="24"/>
  <c r="BV60" i="32" s="1"/>
  <c r="AG60" i="27"/>
  <c r="CP60" i="24"/>
  <c r="AG60" i="24" s="1"/>
  <c r="Q60" i="27" s="1"/>
  <c r="CH59" i="24"/>
  <c r="FG60" i="7"/>
  <c r="GT60" i="7" a="1"/>
  <c r="GT60" i="7" s="1"/>
  <c r="GW60" i="7" s="1"/>
  <c r="FK60" i="24"/>
  <c r="GR60" i="24" s="1"/>
  <c r="W60" i="27"/>
  <c r="X59" i="7"/>
  <c r="CO59" i="7"/>
  <c r="FD60" i="24"/>
  <c r="FE60" i="24"/>
  <c r="FC60" i="24"/>
  <c r="BW60" i="32"/>
  <c r="AJ60" i="27"/>
  <c r="AI60" i="27" l="1"/>
  <c r="CJ59" i="24"/>
  <c r="W59" i="24"/>
  <c r="G59" i="27" s="1"/>
  <c r="GX60" i="7"/>
  <c r="GU60" i="7"/>
  <c r="BW60" i="7" s="1"/>
  <c r="GC60" i="7" s="1"/>
  <c r="GV60" i="7"/>
  <c r="BX60" i="7" s="1"/>
  <c r="GD60" i="7" s="1"/>
  <c r="GS60" i="24"/>
  <c r="GP60" i="24"/>
  <c r="GQ60" i="24"/>
  <c r="FF60" i="24"/>
  <c r="FG60" i="24"/>
  <c r="GG59" i="24" l="1"/>
  <c r="CN59" i="24"/>
  <c r="GH59" i="24"/>
  <c r="V59" i="24"/>
  <c r="F59" i="27" s="1"/>
  <c r="CK59" i="24"/>
  <c r="GT60" i="24" a="1"/>
  <c r="GT60" i="24" s="1"/>
  <c r="GU60" i="24" s="1"/>
  <c r="BW60" i="24" s="1"/>
  <c r="Z60" i="7"/>
  <c r="EH60" i="7"/>
  <c r="EE61" i="7" s="1"/>
  <c r="EJ61" i="7" s="1"/>
  <c r="DZ60" i="7"/>
  <c r="BY60" i="7"/>
  <c r="GX60" i="24" l="1"/>
  <c r="GV60" i="24"/>
  <c r="BX60" i="24" s="1"/>
  <c r="EH60" i="24" s="1"/>
  <c r="EE61" i="24" s="1"/>
  <c r="EI61" i="24" s="1"/>
  <c r="GL61" i="7"/>
  <c r="EG61" i="7"/>
  <c r="BQ59" i="32"/>
  <c r="AD59" i="27"/>
  <c r="X59" i="24"/>
  <c r="H59" i="27" s="1"/>
  <c r="CO59" i="24"/>
  <c r="GW60" i="24"/>
  <c r="EI61" i="7"/>
  <c r="BP59" i="32"/>
  <c r="AC59" i="27"/>
  <c r="CB60" i="7"/>
  <c r="CR60" i="7" s="1"/>
  <c r="GE60" i="7"/>
  <c r="EX60" i="7"/>
  <c r="FH60" i="7" s="1"/>
  <c r="BZ60" i="7"/>
  <c r="AD61" i="7"/>
  <c r="BY60" i="24"/>
  <c r="BZ60" i="24" s="1"/>
  <c r="GC60" i="24"/>
  <c r="DZ60" i="24"/>
  <c r="GD60" i="24" l="1"/>
  <c r="Z60" i="24"/>
  <c r="J60" i="27" s="1"/>
  <c r="EJ61" i="24"/>
  <c r="CA60" i="7"/>
  <c r="CD60" i="7" s="1"/>
  <c r="GF60" i="7"/>
  <c r="EQ60" i="7"/>
  <c r="FI60" i="7"/>
  <c r="FA61" i="7"/>
  <c r="CY60" i="7"/>
  <c r="CV60" i="7"/>
  <c r="GF60" i="24"/>
  <c r="EQ60" i="24"/>
  <c r="CA60" i="24"/>
  <c r="CD60" i="24" s="1"/>
  <c r="CB60" i="24"/>
  <c r="CR60" i="24" s="1"/>
  <c r="BM60" i="32"/>
  <c r="Z60" i="27"/>
  <c r="AD61" i="24"/>
  <c r="N61" i="27" s="1"/>
  <c r="GL61" i="24"/>
  <c r="EG61" i="24"/>
  <c r="EX60" i="24"/>
  <c r="FH60" i="24" s="1"/>
  <c r="GE60" i="24"/>
  <c r="BL60" i="32"/>
  <c r="Y60" i="27"/>
  <c r="DA60" i="7" l="1"/>
  <c r="DE60" i="7" s="1"/>
  <c r="DJ60" i="7" s="1"/>
  <c r="DN60" i="7" s="1"/>
  <c r="FI60" i="24"/>
  <c r="FA61" i="24"/>
  <c r="BN60" i="32"/>
  <c r="AA60" i="27"/>
  <c r="BU61" i="32"/>
  <c r="AH61" i="27"/>
  <c r="CV60" i="24"/>
  <c r="CY60" i="24"/>
  <c r="BO60" i="32"/>
  <c r="AB60" i="27"/>
  <c r="CE60" i="7" l="1"/>
  <c r="CF60" i="7" s="1"/>
  <c r="CI60" i="7" s="1"/>
  <c r="DO60" i="7"/>
  <c r="DM61" i="7" s="1"/>
  <c r="BT61" i="7" s="1"/>
  <c r="EO60" i="7"/>
  <c r="EN61" i="7" s="1"/>
  <c r="AA60" i="7"/>
  <c r="Y60" i="7"/>
  <c r="DF60" i="7"/>
  <c r="BS61" i="7" s="1"/>
  <c r="DG60" i="7"/>
  <c r="DX60" i="7" s="1"/>
  <c r="DW61" i="7" s="1"/>
  <c r="EA61" i="7" s="1"/>
  <c r="DQ60" i="7"/>
  <c r="DA60" i="24"/>
  <c r="DE60" i="24" s="1"/>
  <c r="DJ60" i="24" s="1"/>
  <c r="DN60" i="24" s="1"/>
  <c r="BE61" i="7" l="1"/>
  <c r="GA61" i="7" s="1"/>
  <c r="DT60" i="7"/>
  <c r="CH60" i="7"/>
  <c r="CJ60" i="7" s="1"/>
  <c r="CL60" i="7"/>
  <c r="BI61" i="7"/>
  <c r="BP61" i="7" s="1"/>
  <c r="BU61" i="7" s="1"/>
  <c r="AB60" i="7"/>
  <c r="EV60" i="7"/>
  <c r="EU61" i="7" s="1"/>
  <c r="EP61" i="7"/>
  <c r="ES61" i="7" s="1"/>
  <c r="AE61" i="7"/>
  <c r="GM61" i="7"/>
  <c r="DY61" i="7"/>
  <c r="EB61" i="7" s="1"/>
  <c r="AC61" i="7"/>
  <c r="GK61" i="7"/>
  <c r="CE60" i="24"/>
  <c r="CF60" i="24" s="1"/>
  <c r="DQ60" i="24"/>
  <c r="Y60" i="24"/>
  <c r="I60" i="27" s="1"/>
  <c r="DG60" i="24"/>
  <c r="DX60" i="24" s="1"/>
  <c r="DW61" i="24" s="1"/>
  <c r="EA61" i="24" s="1"/>
  <c r="DF60" i="24"/>
  <c r="BS61" i="24" s="1"/>
  <c r="EO60" i="24"/>
  <c r="EN61" i="24" s="1"/>
  <c r="AA60" i="24"/>
  <c r="K60" i="27" s="1"/>
  <c r="DO60" i="24"/>
  <c r="DM61" i="24" s="1"/>
  <c r="DT60" i="24" l="1"/>
  <c r="BE61" i="24"/>
  <c r="W60" i="7"/>
  <c r="CI60" i="24"/>
  <c r="CH60" i="24"/>
  <c r="CJ60" i="24" s="1"/>
  <c r="AF61" i="7"/>
  <c r="GN61" i="7"/>
  <c r="EW61" i="7"/>
  <c r="EZ61" i="7" s="1"/>
  <c r="FK61" i="7" s="1"/>
  <c r="CP61" i="7"/>
  <c r="AG61" i="7" s="1"/>
  <c r="FB61" i="7"/>
  <c r="CK60" i="7"/>
  <c r="GH60" i="7"/>
  <c r="V60" i="7"/>
  <c r="GG60" i="7"/>
  <c r="CN60" i="7"/>
  <c r="W60" i="24"/>
  <c r="G60" i="27" s="1"/>
  <c r="CL60" i="24"/>
  <c r="BT61" i="24"/>
  <c r="AE61" i="24"/>
  <c r="O61" i="27" s="1"/>
  <c r="GM61" i="24"/>
  <c r="EP61" i="24"/>
  <c r="GA61" i="24"/>
  <c r="BI61" i="24"/>
  <c r="BP61" i="24" s="1"/>
  <c r="BU61" i="24" s="1"/>
  <c r="GK61" i="24"/>
  <c r="DY61" i="24"/>
  <c r="EB61" i="24" s="1"/>
  <c r="AC61" i="24"/>
  <c r="M61" i="27" s="1"/>
  <c r="AB60" i="24"/>
  <c r="L60" i="27" s="1"/>
  <c r="EV60" i="24"/>
  <c r="EU61" i="24" s="1"/>
  <c r="CP61" i="24" s="1"/>
  <c r="AG61" i="24" s="1"/>
  <c r="Q61" i="27" s="1"/>
  <c r="GS61" i="7" l="1"/>
  <c r="GR61" i="7"/>
  <c r="GP61" i="7"/>
  <c r="GQ61" i="7"/>
  <c r="X60" i="7"/>
  <c r="CO60" i="7"/>
  <c r="FC61" i="7"/>
  <c r="FE61" i="7"/>
  <c r="FD61" i="7"/>
  <c r="ES61" i="24"/>
  <c r="BV61" i="32"/>
  <c r="AI61" i="27"/>
  <c r="GT61" i="7" a="1"/>
  <c r="GT61" i="7" s="1"/>
  <c r="V60" i="24"/>
  <c r="F60" i="27" s="1"/>
  <c r="CN60" i="24"/>
  <c r="CK60" i="24"/>
  <c r="GG60" i="24"/>
  <c r="GH60" i="24"/>
  <c r="BT61" i="32"/>
  <c r="AG61" i="27"/>
  <c r="BJ61" i="32"/>
  <c r="W61" i="27"/>
  <c r="FB61" i="24"/>
  <c r="EW61" i="24"/>
  <c r="EZ61" i="24" s="1"/>
  <c r="FK61" i="24" s="1"/>
  <c r="GN61" i="24"/>
  <c r="AF61" i="24"/>
  <c r="P61" i="27" s="1"/>
  <c r="FF61" i="7" l="1"/>
  <c r="FG61" i="7"/>
  <c r="CO60" i="24"/>
  <c r="X60" i="24"/>
  <c r="H60" i="27" s="1"/>
  <c r="GQ61" i="24"/>
  <c r="GS61" i="24"/>
  <c r="GR61" i="24"/>
  <c r="GP61" i="24"/>
  <c r="GT61" i="24" s="1" a="1"/>
  <c r="GT61" i="24" s="1"/>
  <c r="GW61" i="7"/>
  <c r="GU61" i="7"/>
  <c r="BW61" i="7" s="1"/>
  <c r="GX61" i="7"/>
  <c r="GV61" i="7"/>
  <c r="BX61" i="7" s="1"/>
  <c r="BW61" i="32"/>
  <c r="AJ61" i="27"/>
  <c r="BQ60" i="32"/>
  <c r="AD60" i="27"/>
  <c r="BP60" i="32"/>
  <c r="AC60" i="27"/>
  <c r="FC61" i="24"/>
  <c r="FE61" i="24"/>
  <c r="FD61" i="24"/>
  <c r="GW61" i="24" l="1"/>
  <c r="GV61" i="24"/>
  <c r="BX61" i="24" s="1"/>
  <c r="GX61" i="24"/>
  <c r="GU61" i="24"/>
  <c r="BW61" i="24" s="1"/>
  <c r="GC61" i="7"/>
  <c r="BY61" i="7"/>
  <c r="DZ61" i="7"/>
  <c r="FF61" i="24"/>
  <c r="FG61" i="24"/>
  <c r="GD61" i="7"/>
  <c r="Z61" i="7"/>
  <c r="EH61" i="7"/>
  <c r="EE62" i="7" s="1"/>
  <c r="EI62" i="7" s="1"/>
  <c r="EJ62" i="7" l="1"/>
  <c r="CB61" i="7"/>
  <c r="CR61" i="7" s="1"/>
  <c r="EX61" i="7"/>
  <c r="FH61" i="7" s="1"/>
  <c r="GE61" i="7"/>
  <c r="EG62" i="7"/>
  <c r="AD62" i="7"/>
  <c r="GL62" i="7"/>
  <c r="Y61" i="27"/>
  <c r="BZ61" i="7"/>
  <c r="CA61" i="7" s="1"/>
  <c r="CD61" i="7" s="1"/>
  <c r="DZ61" i="24"/>
  <c r="GC61" i="24"/>
  <c r="BL61" i="32" s="1"/>
  <c r="BY61" i="24"/>
  <c r="CB61" i="24" s="1"/>
  <c r="CR61" i="24" s="1"/>
  <c r="EH61" i="24"/>
  <c r="EE62" i="24" s="1"/>
  <c r="EI62" i="24" s="1"/>
  <c r="GD61" i="24"/>
  <c r="BM61" i="32" s="1"/>
  <c r="Z61" i="24"/>
  <c r="J61" i="27" s="1"/>
  <c r="EJ62" i="24"/>
  <c r="BZ61" i="24" l="1"/>
  <c r="CA61" i="24" s="1"/>
  <c r="CD61" i="24" s="1"/>
  <c r="Z61" i="27"/>
  <c r="CV61" i="24"/>
  <c r="CY61" i="24"/>
  <c r="GL62" i="24"/>
  <c r="BU62" i="32" s="1"/>
  <c r="AD62" i="24"/>
  <c r="N62" i="27" s="1"/>
  <c r="EG62" i="24"/>
  <c r="GE61" i="24"/>
  <c r="BN61" i="32" s="1"/>
  <c r="EX61" i="24"/>
  <c r="FH61" i="24" s="1"/>
  <c r="GF61" i="7"/>
  <c r="EQ61" i="7"/>
  <c r="FI61" i="7"/>
  <c r="FA62" i="7"/>
  <c r="CY61" i="7"/>
  <c r="CV61" i="7"/>
  <c r="GF61" i="24" l="1"/>
  <c r="BO61" i="32" s="1"/>
  <c r="EQ61" i="24"/>
  <c r="AH62" i="27"/>
  <c r="AB61" i="27"/>
  <c r="FI61" i="24"/>
  <c r="FA62" i="24"/>
  <c r="AA61" i="27"/>
  <c r="DA61" i="7"/>
  <c r="DE61" i="7" s="1"/>
  <c r="CE61" i="7" s="1"/>
  <c r="DA61" i="24"/>
  <c r="DE61" i="24" s="1"/>
  <c r="DJ61" i="24" s="1"/>
  <c r="DN61" i="24" s="1"/>
  <c r="DJ61" i="7" l="1"/>
  <c r="DN61" i="7" s="1"/>
  <c r="DQ61" i="7" s="1"/>
  <c r="EV61" i="7" s="1"/>
  <c r="EU62" i="7" s="1"/>
  <c r="CE61" i="24"/>
  <c r="EO61" i="24"/>
  <c r="EN62" i="24" s="1"/>
  <c r="AA61" i="24"/>
  <c r="DO61" i="24"/>
  <c r="DM62" i="24" s="1"/>
  <c r="DQ61" i="24"/>
  <c r="DG61" i="24"/>
  <c r="DX61" i="24" s="1"/>
  <c r="DW62" i="24" s="1"/>
  <c r="EA62" i="24" s="1"/>
  <c r="Y61" i="24"/>
  <c r="DF61" i="24"/>
  <c r="BS62" i="24" s="1"/>
  <c r="DO61" i="7"/>
  <c r="DM62" i="7" s="1"/>
  <c r="BE62" i="24"/>
  <c r="DT61" i="24"/>
  <c r="CF61" i="24"/>
  <c r="CI61" i="24" s="1"/>
  <c r="DF61" i="7"/>
  <c r="BS62" i="7" s="1"/>
  <c r="DG61" i="7"/>
  <c r="DX61" i="7" s="1"/>
  <c r="DW62" i="7" s="1"/>
  <c r="EA62" i="7" s="1"/>
  <c r="Y61" i="7"/>
  <c r="I61" i="27" s="1"/>
  <c r="BE62" i="7"/>
  <c r="DT61" i="7"/>
  <c r="CF61" i="7"/>
  <c r="CH61" i="7" s="1"/>
  <c r="CH61" i="24"/>
  <c r="AB61" i="7" l="1"/>
  <c r="AA61" i="7"/>
  <c r="K61" i="27" s="1"/>
  <c r="EO61" i="7"/>
  <c r="EN62" i="7" s="1"/>
  <c r="CI61" i="7"/>
  <c r="CJ61" i="7" s="1"/>
  <c r="W61" i="24"/>
  <c r="CL61" i="24"/>
  <c r="CJ61" i="24"/>
  <c r="CL61" i="7"/>
  <c r="EP62" i="24"/>
  <c r="ES62" i="24" s="1"/>
  <c r="AE62" i="24"/>
  <c r="GM62" i="24"/>
  <c r="BV62" i="32" s="1"/>
  <c r="DY62" i="24"/>
  <c r="EB62" i="24" s="1"/>
  <c r="AC62" i="24"/>
  <c r="GK62" i="24"/>
  <c r="BT62" i="32" s="1"/>
  <c r="GA62" i="7"/>
  <c r="BI62" i="7"/>
  <c r="BP62" i="7" s="1"/>
  <c r="BU62" i="7" s="1"/>
  <c r="GA62" i="24"/>
  <c r="BJ62" i="32" s="1"/>
  <c r="BI62" i="24"/>
  <c r="BP62" i="24" s="1"/>
  <c r="BU62" i="24" s="1"/>
  <c r="AF62" i="7"/>
  <c r="EW62" i="7"/>
  <c r="EZ62" i="7" s="1"/>
  <c r="FB62" i="7"/>
  <c r="GN62" i="7"/>
  <c r="AB61" i="24"/>
  <c r="L61" i="27" s="1"/>
  <c r="EV61" i="24"/>
  <c r="EU62" i="24" s="1"/>
  <c r="CP62" i="24" s="1"/>
  <c r="AG62" i="24" s="1"/>
  <c r="DY62" i="7"/>
  <c r="EB62" i="7" s="1"/>
  <c r="GK62" i="7"/>
  <c r="CP62" i="7"/>
  <c r="AG62" i="7" s="1"/>
  <c r="AC62" i="7"/>
  <c r="BT62" i="7"/>
  <c r="BT62" i="24"/>
  <c r="EP62" i="7"/>
  <c r="ES62" i="7" s="1"/>
  <c r="GM62" i="7"/>
  <c r="AE62" i="7"/>
  <c r="AI62" i="27" l="1"/>
  <c r="W61" i="7"/>
  <c r="G61" i="27" s="1"/>
  <c r="M62" i="27"/>
  <c r="O62" i="27"/>
  <c r="W62" i="27"/>
  <c r="AG62" i="27"/>
  <c r="GH61" i="7"/>
  <c r="V61" i="7"/>
  <c r="GG61" i="7"/>
  <c r="CK61" i="7"/>
  <c r="CN61" i="7"/>
  <c r="FE62" i="7"/>
  <c r="FD62" i="7"/>
  <c r="FC62" i="7"/>
  <c r="FK62" i="7"/>
  <c r="Q62" i="27"/>
  <c r="FB62" i="24"/>
  <c r="EW62" i="24"/>
  <c r="GN62" i="24"/>
  <c r="BW62" i="32" s="1"/>
  <c r="AF62" i="24"/>
  <c r="P62" i="27" s="1"/>
  <c r="GG61" i="24"/>
  <c r="BP61" i="32" s="1"/>
  <c r="GH61" i="24"/>
  <c r="BQ61" i="32" s="1"/>
  <c r="CN61" i="24"/>
  <c r="CK61" i="24"/>
  <c r="V61" i="24"/>
  <c r="F61" i="27" l="1"/>
  <c r="AD61" i="27"/>
  <c r="X61" i="24"/>
  <c r="CO61" i="24"/>
  <c r="AC61" i="27"/>
  <c r="FC62" i="24"/>
  <c r="FD62" i="24"/>
  <c r="FE62" i="24"/>
  <c r="CO61" i="7"/>
  <c r="X61" i="7"/>
  <c r="GQ62" i="7"/>
  <c r="GS62" i="7"/>
  <c r="GR62" i="7"/>
  <c r="GP62" i="7"/>
  <c r="EZ62" i="24"/>
  <c r="FK62" i="24" s="1"/>
  <c r="FG62" i="7"/>
  <c r="FF62" i="7"/>
  <c r="AJ62" i="27"/>
  <c r="H61" i="27" l="1"/>
  <c r="FG62" i="24"/>
  <c r="FF62" i="24"/>
  <c r="GS62" i="24"/>
  <c r="GR62" i="24"/>
  <c r="GP62" i="24"/>
  <c r="GQ62" i="24"/>
  <c r="GT62" i="7" a="1"/>
  <c r="GT62" i="7" s="1"/>
  <c r="GU62" i="7" l="1"/>
  <c r="BW62" i="7" s="1"/>
  <c r="GX62" i="7"/>
  <c r="GW62" i="7"/>
  <c r="GV62" i="7"/>
  <c r="BX62" i="7" s="1"/>
  <c r="GT62" i="24" a="1"/>
  <c r="GT62" i="24" s="1"/>
  <c r="GX62" i="24" l="1"/>
  <c r="GW62" i="24"/>
  <c r="GV62" i="24"/>
  <c r="BX62" i="24" s="1"/>
  <c r="GU62" i="24"/>
  <c r="BW62" i="24" s="1"/>
  <c r="GD62" i="7"/>
  <c r="Z62" i="7"/>
  <c r="EH62" i="7"/>
  <c r="EE63" i="7" s="1"/>
  <c r="EJ63" i="7" s="1"/>
  <c r="BY62" i="7"/>
  <c r="GC62" i="7"/>
  <c r="DZ62" i="7"/>
  <c r="EI63" i="7" l="1"/>
  <c r="AD63" i="7"/>
  <c r="GL63" i="7"/>
  <c r="EG63" i="7"/>
  <c r="DZ62" i="24"/>
  <c r="GC62" i="24"/>
  <c r="BL62" i="32" s="1"/>
  <c r="BY62" i="24"/>
  <c r="GE62" i="7"/>
  <c r="EX62" i="7"/>
  <c r="FH62" i="7" s="1"/>
  <c r="GD62" i="24"/>
  <c r="BM62" i="32" s="1"/>
  <c r="EH62" i="24"/>
  <c r="EE63" i="24" s="1"/>
  <c r="Z62" i="24"/>
  <c r="J62" i="27" s="1"/>
  <c r="CB62" i="7"/>
  <c r="CR62" i="7" s="1"/>
  <c r="BZ62" i="7"/>
  <c r="EI63" i="24"/>
  <c r="EJ63" i="24"/>
  <c r="Y62" i="27" l="1"/>
  <c r="FA63" i="7"/>
  <c r="FI62" i="7"/>
  <c r="Z62" i="27"/>
  <c r="GF62" i="7"/>
  <c r="EQ62" i="7"/>
  <c r="CY62" i="7"/>
  <c r="CV62" i="7"/>
  <c r="CB62" i="24"/>
  <c r="CR62" i="24" s="1"/>
  <c r="GE62" i="24"/>
  <c r="BN62" i="32" s="1"/>
  <c r="EX62" i="24"/>
  <c r="FH62" i="24" s="1"/>
  <c r="BZ62" i="24"/>
  <c r="AD63" i="24"/>
  <c r="N63" i="27" s="1"/>
  <c r="GL63" i="24"/>
  <c r="BU63" i="32" s="1"/>
  <c r="EG63" i="24"/>
  <c r="CA62" i="7"/>
  <c r="CD62" i="7" s="1"/>
  <c r="DA62" i="7" l="1"/>
  <c r="DE62" i="7" s="1"/>
  <c r="DJ62" i="7" s="1"/>
  <c r="DN62" i="7" s="1"/>
  <c r="EQ62" i="24"/>
  <c r="GF62" i="24"/>
  <c r="BO62" i="32" s="1"/>
  <c r="CA62" i="24"/>
  <c r="CD62" i="24" s="1"/>
  <c r="AH63" i="27"/>
  <c r="AA62" i="27"/>
  <c r="FI62" i="24"/>
  <c r="FA63" i="24"/>
  <c r="CE62" i="7"/>
  <c r="CV62" i="24"/>
  <c r="CY62" i="24"/>
  <c r="AB62" i="27" l="1"/>
  <c r="EO62" i="7"/>
  <c r="EN63" i="7" s="1"/>
  <c r="DO62" i="7"/>
  <c r="DM63" i="7" s="1"/>
  <c r="AA62" i="7"/>
  <c r="DA62" i="24"/>
  <c r="DE62" i="24" s="1"/>
  <c r="CE62" i="24" s="1"/>
  <c r="DT62" i="7"/>
  <c r="CF62" i="7"/>
  <c r="CI62" i="7" s="1"/>
  <c r="BE63" i="7"/>
  <c r="DQ62" i="7"/>
  <c r="Y62" i="7"/>
  <c r="DF62" i="7"/>
  <c r="BS63" i="7" s="1"/>
  <c r="DG62" i="7"/>
  <c r="DX62" i="7" s="1"/>
  <c r="DW63" i="7" s="1"/>
  <c r="EA63" i="7" s="1"/>
  <c r="CH62" i="7" l="1"/>
  <c r="CJ62" i="7" s="1"/>
  <c r="CL62" i="7"/>
  <c r="EV62" i="7"/>
  <c r="EU63" i="7" s="1"/>
  <c r="CP63" i="7" s="1"/>
  <c r="AG63" i="7" s="1"/>
  <c r="AB62" i="7"/>
  <c r="DG62" i="24"/>
  <c r="DX62" i="24" s="1"/>
  <c r="DW63" i="24" s="1"/>
  <c r="EA63" i="24" s="1"/>
  <c r="DF62" i="24"/>
  <c r="BS63" i="24" s="1"/>
  <c r="Y62" i="24"/>
  <c r="I62" i="27" s="1"/>
  <c r="BE63" i="24"/>
  <c r="DT62" i="24"/>
  <c r="CF62" i="24"/>
  <c r="DJ62" i="24"/>
  <c r="DN62" i="24" s="1"/>
  <c r="DQ62" i="24" s="1"/>
  <c r="BT63" i="7"/>
  <c r="GK63" i="7"/>
  <c r="AC63" i="7"/>
  <c r="DY63" i="7"/>
  <c r="EB63" i="7" s="1"/>
  <c r="GA63" i="7"/>
  <c r="BI63" i="7"/>
  <c r="BP63" i="7" s="1"/>
  <c r="BU63" i="7" s="1"/>
  <c r="GM63" i="7"/>
  <c r="AE63" i="7"/>
  <c r="EP63" i="7"/>
  <c r="CI62" i="24"/>
  <c r="CH62" i="24"/>
  <c r="W62" i="7" l="1"/>
  <c r="W62" i="24"/>
  <c r="CL62" i="24"/>
  <c r="CJ62" i="24"/>
  <c r="EO62" i="24"/>
  <c r="EN63" i="24" s="1"/>
  <c r="AA62" i="24"/>
  <c r="K62" i="27" s="1"/>
  <c r="DO62" i="24"/>
  <c r="DM63" i="24" s="1"/>
  <c r="EW63" i="7"/>
  <c r="EZ63" i="7" s="1"/>
  <c r="GN63" i="7"/>
  <c r="AF63" i="7"/>
  <c r="FB63" i="7"/>
  <c r="GK63" i="24"/>
  <c r="BT63" i="32" s="1"/>
  <c r="AC63" i="24"/>
  <c r="M63" i="27" s="1"/>
  <c r="DY63" i="24"/>
  <c r="EB63" i="24" s="1"/>
  <c r="GA63" i="24"/>
  <c r="BJ63" i="32" s="1"/>
  <c r="BI63" i="24"/>
  <c r="BP63" i="24" s="1"/>
  <c r="BU63" i="24" s="1"/>
  <c r="CN62" i="7"/>
  <c r="V62" i="7"/>
  <c r="CK62" i="7"/>
  <c r="GH62" i="7"/>
  <c r="GG62" i="7"/>
  <c r="EV62" i="24"/>
  <c r="EU63" i="24" s="1"/>
  <c r="CP63" i="24" s="1"/>
  <c r="AG63" i="24" s="1"/>
  <c r="Q63" i="27" s="1"/>
  <c r="AB62" i="24"/>
  <c r="L62" i="27" s="1"/>
  <c r="ES63" i="7"/>
  <c r="G62" i="27" l="1"/>
  <c r="FK63" i="7"/>
  <c r="EW63" i="24"/>
  <c r="AF63" i="24"/>
  <c r="P63" i="27" s="1"/>
  <c r="FB63" i="24"/>
  <c r="GN63" i="24"/>
  <c r="BW63" i="32" s="1"/>
  <c r="EZ63" i="24"/>
  <c r="BT63" i="24"/>
  <c r="AE63" i="24"/>
  <c r="O63" i="27" s="1"/>
  <c r="EP63" i="24"/>
  <c r="ES63" i="24" s="1"/>
  <c r="GM63" i="24"/>
  <c r="CN62" i="24"/>
  <c r="GG62" i="24"/>
  <c r="BP62" i="32" s="1"/>
  <c r="GH62" i="24"/>
  <c r="BQ62" i="32" s="1"/>
  <c r="CK62" i="24"/>
  <c r="V62" i="24"/>
  <c r="F62" i="27" s="1"/>
  <c r="X62" i="7"/>
  <c r="CO62" i="7"/>
  <c r="FD63" i="7"/>
  <c r="FC63" i="7"/>
  <c r="FE63" i="7"/>
  <c r="AG63" i="27"/>
  <c r="W63" i="27"/>
  <c r="AC62" i="27" l="1"/>
  <c r="BV63" i="32"/>
  <c r="AI63" i="27"/>
  <c r="FK63" i="24"/>
  <c r="FG63" i="7"/>
  <c r="FF63" i="7"/>
  <c r="X62" i="24"/>
  <c r="H62" i="27" s="1"/>
  <c r="CO62" i="24"/>
  <c r="AJ63" i="27"/>
  <c r="FE63" i="24"/>
  <c r="FD63" i="24"/>
  <c r="FC63" i="24"/>
  <c r="AD62" i="27"/>
  <c r="GQ63" i="7"/>
  <c r="GS63" i="7"/>
  <c r="GP63" i="7"/>
  <c r="GR63" i="7"/>
  <c r="GT63" i="7" l="1" a="1"/>
  <c r="GT63" i="7" s="1"/>
  <c r="GX63" i="7" s="1"/>
  <c r="GP63" i="24"/>
  <c r="GQ63" i="24"/>
  <c r="GR63" i="24"/>
  <c r="GS63" i="24"/>
  <c r="FF63" i="24"/>
  <c r="FG63" i="24"/>
  <c r="GW63" i="7" l="1"/>
  <c r="GV63" i="7"/>
  <c r="BX63" i="7" s="1"/>
  <c r="EH63" i="7" s="1"/>
  <c r="EE64" i="7" s="1"/>
  <c r="EI64" i="7" s="1"/>
  <c r="GU63" i="7"/>
  <c r="BW63" i="7" s="1"/>
  <c r="DZ63" i="7" s="1"/>
  <c r="GT63" i="24" a="1"/>
  <c r="GT63" i="24" s="1"/>
  <c r="EJ64" i="7" l="1"/>
  <c r="GC63" i="7"/>
  <c r="BY63" i="7"/>
  <c r="CB63" i="7" s="1"/>
  <c r="CR63" i="7" s="1"/>
  <c r="CV63" i="7" s="1"/>
  <c r="GD63" i="7"/>
  <c r="Z63" i="7"/>
  <c r="GU63" i="24"/>
  <c r="BW63" i="24" s="1"/>
  <c r="GV63" i="24"/>
  <c r="BX63" i="24" s="1"/>
  <c r="GW63" i="24"/>
  <c r="GX63" i="24"/>
  <c r="AD64" i="7"/>
  <c r="GL64" i="7"/>
  <c r="EG64" i="7"/>
  <c r="GE63" i="7" l="1"/>
  <c r="CY63" i="7"/>
  <c r="EX63" i="7"/>
  <c r="FH63" i="7" s="1"/>
  <c r="FI63" i="7" s="1"/>
  <c r="BZ63" i="7"/>
  <c r="GF63" i="7" s="1"/>
  <c r="DZ63" i="24"/>
  <c r="GC63" i="24"/>
  <c r="BY63" i="24"/>
  <c r="GD63" i="24"/>
  <c r="EH63" i="24"/>
  <c r="EE64" i="24" s="1"/>
  <c r="EI64" i="24" s="1"/>
  <c r="Z63" i="24"/>
  <c r="J63" i="27" s="1"/>
  <c r="FA64" i="7"/>
  <c r="DA63" i="7"/>
  <c r="DE63" i="7" s="1"/>
  <c r="DJ63" i="7" s="1"/>
  <c r="DN63" i="7" s="1"/>
  <c r="CA63" i="7"/>
  <c r="CD63" i="7" s="1"/>
  <c r="EJ64" i="24" l="1"/>
  <c r="EQ63" i="7"/>
  <c r="CE63" i="7"/>
  <c r="CF63" i="7" s="1"/>
  <c r="CI63" i="7" s="1"/>
  <c r="DQ63" i="7"/>
  <c r="EV63" i="7" s="1"/>
  <c r="EU64" i="7" s="1"/>
  <c r="EX63" i="24"/>
  <c r="FH63" i="24" s="1"/>
  <c r="GE63" i="24"/>
  <c r="BZ63" i="24"/>
  <c r="CA63" i="24" s="1"/>
  <c r="CD63" i="24" s="1"/>
  <c r="CB63" i="24"/>
  <c r="CR63" i="24" s="1"/>
  <c r="BL63" i="32"/>
  <c r="Y63" i="27"/>
  <c r="EO63" i="7"/>
  <c r="AA63" i="7"/>
  <c r="DO63" i="7"/>
  <c r="DM64" i="7" s="1"/>
  <c r="DG63" i="7"/>
  <c r="DX63" i="7" s="1"/>
  <c r="DW64" i="7" s="1"/>
  <c r="EA64" i="7" s="1"/>
  <c r="Y63" i="7"/>
  <c r="DF63" i="7"/>
  <c r="BS64" i="7" s="1"/>
  <c r="GL64" i="24"/>
  <c r="EG64" i="24"/>
  <c r="AD64" i="24"/>
  <c r="N64" i="27" s="1"/>
  <c r="BM63" i="32"/>
  <c r="Z63" i="27"/>
  <c r="CH63" i="7"/>
  <c r="DT63" i="7" l="1"/>
  <c r="EN64" i="7"/>
  <c r="AE64" i="7" s="1"/>
  <c r="BE64" i="7"/>
  <c r="BI64" i="7" s="1"/>
  <c r="BP64" i="7" s="1"/>
  <c r="BU64" i="7" s="1"/>
  <c r="AB63" i="7"/>
  <c r="W63" i="7"/>
  <c r="CJ63" i="7"/>
  <c r="CL63" i="7"/>
  <c r="EQ63" i="24"/>
  <c r="GF63" i="24"/>
  <c r="BU64" i="32"/>
  <c r="AH64" i="27"/>
  <c r="BN63" i="32"/>
  <c r="AA63" i="27"/>
  <c r="AC64" i="7"/>
  <c r="DY64" i="7"/>
  <c r="EB64" i="7" s="1"/>
  <c r="GK64" i="7"/>
  <c r="FI63" i="24"/>
  <c r="FA64" i="24"/>
  <c r="BT64" i="7"/>
  <c r="CY63" i="24"/>
  <c r="CV63" i="24"/>
  <c r="FB64" i="7"/>
  <c r="AF64" i="7"/>
  <c r="EW64" i="7"/>
  <c r="GN64" i="7"/>
  <c r="GA64" i="7" l="1"/>
  <c r="GM64" i="7"/>
  <c r="EP64" i="7"/>
  <c r="ES64" i="7" s="1"/>
  <c r="CP64" i="7"/>
  <c r="AG64" i="7" s="1"/>
  <c r="DA63" i="24"/>
  <c r="DE63" i="24" s="1"/>
  <c r="DJ63" i="24" s="1"/>
  <c r="DN63" i="24" s="1"/>
  <c r="BO63" i="32"/>
  <c r="AB63" i="27"/>
  <c r="EZ64" i="7"/>
  <c r="FK64" i="7" s="1"/>
  <c r="FE64" i="7"/>
  <c r="FD64" i="7"/>
  <c r="FC64" i="7"/>
  <c r="CN63" i="7"/>
  <c r="V63" i="7"/>
  <c r="GG63" i="7"/>
  <c r="CK63" i="7"/>
  <c r="GH63" i="7"/>
  <c r="CE63" i="24" l="1"/>
  <c r="DT63" i="24" s="1"/>
  <c r="EO63" i="24"/>
  <c r="EN64" i="24" s="1"/>
  <c r="AA63" i="24"/>
  <c r="K63" i="27" s="1"/>
  <c r="DO63" i="24"/>
  <c r="DM64" i="24" s="1"/>
  <c r="DQ63" i="24"/>
  <c r="FF64" i="7"/>
  <c r="FG64" i="7"/>
  <c r="GS64" i="7"/>
  <c r="GR64" i="7"/>
  <c r="GQ64" i="7"/>
  <c r="GP64" i="7"/>
  <c r="X63" i="7"/>
  <c r="CO63" i="7"/>
  <c r="DG63" i="24"/>
  <c r="DX63" i="24" s="1"/>
  <c r="DW64" i="24" s="1"/>
  <c r="EA64" i="24" s="1"/>
  <c r="DF63" i="24"/>
  <c r="BS64" i="24" s="1"/>
  <c r="Y63" i="24"/>
  <c r="I63" i="27" s="1"/>
  <c r="BE64" i="24" l="1"/>
  <c r="GA64" i="24" s="1"/>
  <c r="CF63" i="24"/>
  <c r="CI63" i="24" s="1"/>
  <c r="GT64" i="7" a="1"/>
  <c r="GT64" i="7" s="1"/>
  <c r="GW64" i="7" s="1"/>
  <c r="CL63" i="24"/>
  <c r="AB63" i="24"/>
  <c r="L63" i="27" s="1"/>
  <c r="EV63" i="24"/>
  <c r="EU64" i="24" s="1"/>
  <c r="CP64" i="24" s="1"/>
  <c r="AG64" i="24" s="1"/>
  <c r="Q64" i="27" s="1"/>
  <c r="DY64" i="24"/>
  <c r="EB64" i="24" s="1"/>
  <c r="AC64" i="24"/>
  <c r="M64" i="27" s="1"/>
  <c r="GK64" i="24"/>
  <c r="BT64" i="24"/>
  <c r="AE64" i="24"/>
  <c r="O64" i="27" s="1"/>
  <c r="EP64" i="24"/>
  <c r="ES64" i="24" s="1"/>
  <c r="GM64" i="24"/>
  <c r="BI64" i="24" l="1"/>
  <c r="CH63" i="24"/>
  <c r="W63" i="24" s="1"/>
  <c r="G63" i="27" s="1"/>
  <c r="GV64" i="7"/>
  <c r="BX64" i="7" s="1"/>
  <c r="GD64" i="7" s="1"/>
  <c r="GU64" i="7"/>
  <c r="BW64" i="7" s="1"/>
  <c r="DZ64" i="7" s="1"/>
  <c r="GX64" i="7"/>
  <c r="BT64" i="32"/>
  <c r="AG64" i="27"/>
  <c r="BP64" i="24"/>
  <c r="BU64" i="24" s="1"/>
  <c r="BV64" i="32"/>
  <c r="AI64" i="27"/>
  <c r="BJ64" i="32"/>
  <c r="W64" i="27"/>
  <c r="AF64" i="24"/>
  <c r="P64" i="27" s="1"/>
  <c r="FB64" i="24"/>
  <c r="EW64" i="24"/>
  <c r="EZ64" i="24" s="1"/>
  <c r="FK64" i="24" s="1"/>
  <c r="GN64" i="24"/>
  <c r="CJ63" i="24" l="1"/>
  <c r="Z64" i="7"/>
  <c r="BY64" i="7"/>
  <c r="EX64" i="7" s="1"/>
  <c r="FH64" i="7" s="1"/>
  <c r="GC64" i="7"/>
  <c r="EH64" i="7"/>
  <c r="EE65" i="7" s="1"/>
  <c r="EJ65" i="7" s="1"/>
  <c r="GR64" i="24"/>
  <c r="GS64" i="24"/>
  <c r="GQ64" i="24"/>
  <c r="GP64" i="24"/>
  <c r="BW64" i="32"/>
  <c r="AJ64" i="27"/>
  <c r="BZ64" i="7"/>
  <c r="FE64" i="24"/>
  <c r="FD64" i="24"/>
  <c r="FC64" i="24"/>
  <c r="CB64" i="7"/>
  <c r="CR64" i="7" s="1"/>
  <c r="V63" i="24" l="1"/>
  <c r="F63" i="27" s="1"/>
  <c r="CK63" i="24"/>
  <c r="GH63" i="24"/>
  <c r="GG63" i="24"/>
  <c r="CN63" i="24"/>
  <c r="GE64" i="7"/>
  <c r="GL65" i="7"/>
  <c r="FO65" i="7"/>
  <c r="AM65" i="24" s="1"/>
  <c r="EF65" i="24" s="1"/>
  <c r="EI65" i="7"/>
  <c r="AD65" i="7"/>
  <c r="GT64" i="24" a="1"/>
  <c r="GT64" i="24" s="1"/>
  <c r="GV64" i="24" s="1"/>
  <c r="BX64" i="24" s="1"/>
  <c r="FI64" i="7"/>
  <c r="FA65" i="7"/>
  <c r="FR65" i="7" s="1"/>
  <c r="AP65" i="24" s="1"/>
  <c r="GF64" i="7"/>
  <c r="EQ64" i="7"/>
  <c r="FF64" i="24"/>
  <c r="FG64" i="24"/>
  <c r="CA64" i="7"/>
  <c r="CD64" i="7" s="1"/>
  <c r="CY64" i="7"/>
  <c r="CV64" i="7"/>
  <c r="X63" i="24" l="1"/>
  <c r="H63" i="27" s="1"/>
  <c r="CO63" i="24"/>
  <c r="AC63" i="27"/>
  <c r="BP63" i="32"/>
  <c r="BQ63" i="32"/>
  <c r="AD63" i="27"/>
  <c r="GW64" i="24"/>
  <c r="GX64" i="24"/>
  <c r="GU64" i="24"/>
  <c r="BW64" i="24" s="1"/>
  <c r="DZ64" i="24" s="1"/>
  <c r="EH64" i="24"/>
  <c r="EE65" i="24" s="1"/>
  <c r="EJ65" i="24" s="1"/>
  <c r="GD64" i="24"/>
  <c r="Z64" i="24"/>
  <c r="J64" i="27" s="1"/>
  <c r="DA64" i="7"/>
  <c r="DE64" i="7" s="1"/>
  <c r="EI65" i="24" l="1"/>
  <c r="BY64" i="24"/>
  <c r="EX64" i="24" s="1"/>
  <c r="FH64" i="24" s="1"/>
  <c r="GC64" i="24"/>
  <c r="CE64" i="7"/>
  <c r="Y64" i="7"/>
  <c r="DG64" i="7"/>
  <c r="DX64" i="7" s="1"/>
  <c r="DW65" i="7" s="1"/>
  <c r="EA65" i="7" s="1"/>
  <c r="DF64" i="7"/>
  <c r="BS65" i="7" s="1"/>
  <c r="BM64" i="32"/>
  <c r="Z64" i="27"/>
  <c r="GL65" i="24"/>
  <c r="AD65" i="24"/>
  <c r="N65" i="27" s="1"/>
  <c r="EG65" i="24"/>
  <c r="BL64" i="32"/>
  <c r="Y64" i="27"/>
  <c r="DJ64" i="7"/>
  <c r="DN64" i="7" s="1"/>
  <c r="CB64" i="24" l="1"/>
  <c r="CR64" i="24" s="1"/>
  <c r="CV64" i="24" s="1"/>
  <c r="BZ64" i="24"/>
  <c r="CA64" i="24" s="1"/>
  <c r="CD64" i="24" s="1"/>
  <c r="GE64" i="24"/>
  <c r="DO64" i="7"/>
  <c r="EO64" i="7"/>
  <c r="EN65" i="7" s="1"/>
  <c r="AA64" i="7"/>
  <c r="DQ64" i="7"/>
  <c r="CY64" i="24"/>
  <c r="CF64" i="7"/>
  <c r="CI64" i="7" s="1"/>
  <c r="DT64" i="7"/>
  <c r="BU65" i="32"/>
  <c r="AH65" i="27"/>
  <c r="BN64" i="32"/>
  <c r="AA64" i="27"/>
  <c r="GK65" i="7"/>
  <c r="AC65" i="7"/>
  <c r="FN65" i="7"/>
  <c r="AL65" i="24" s="1"/>
  <c r="EB65" i="7"/>
  <c r="FI64" i="24"/>
  <c r="FA65" i="24"/>
  <c r="CH64" i="7"/>
  <c r="GF64" i="24" l="1"/>
  <c r="EQ64" i="24"/>
  <c r="W64" i="7"/>
  <c r="CJ64" i="7"/>
  <c r="CL64" i="7"/>
  <c r="DA64" i="24"/>
  <c r="DE64" i="24" s="1"/>
  <c r="DJ64" i="24" s="1"/>
  <c r="DN64" i="24" s="1"/>
  <c r="BO64" i="32"/>
  <c r="AB64" i="27"/>
  <c r="EV64" i="7"/>
  <c r="EU65" i="7" s="1"/>
  <c r="AB64" i="7"/>
  <c r="AE65" i="7"/>
  <c r="GM65" i="7"/>
  <c r="ES65" i="7"/>
  <c r="FP65" i="7"/>
  <c r="AN65" i="24" s="1"/>
  <c r="EO64" i="24" l="1"/>
  <c r="EN65" i="24" s="1"/>
  <c r="AA64" i="24"/>
  <c r="K64" i="27" s="1"/>
  <c r="DO64" i="24"/>
  <c r="DM65" i="24" s="1"/>
  <c r="DQ64" i="24"/>
  <c r="DG64" i="24"/>
  <c r="DX64" i="24" s="1"/>
  <c r="DW65" i="24" s="1"/>
  <c r="EA65" i="24" s="1"/>
  <c r="Y64" i="24"/>
  <c r="I64" i="27" s="1"/>
  <c r="DF64" i="24"/>
  <c r="BS65" i="24" s="1"/>
  <c r="CE64" i="24"/>
  <c r="FQ65" i="7"/>
  <c r="AO65" i="24" s="1"/>
  <c r="AF65" i="7"/>
  <c r="FB65" i="7"/>
  <c r="GN65" i="7"/>
  <c r="EZ65" i="7"/>
  <c r="FK65" i="7" s="1"/>
  <c r="CP65" i="7"/>
  <c r="CK64" i="7"/>
  <c r="GG64" i="7"/>
  <c r="CN64" i="7"/>
  <c r="GH64" i="7"/>
  <c r="V64" i="7"/>
  <c r="GP65" i="7" l="1"/>
  <c r="GR65" i="7"/>
  <c r="GS65" i="7"/>
  <c r="GQ65" i="7"/>
  <c r="AG65" i="7"/>
  <c r="B98" i="7"/>
  <c r="AB64" i="24"/>
  <c r="L64" i="27" s="1"/>
  <c r="EV64" i="24"/>
  <c r="EU65" i="24" s="1"/>
  <c r="CP65" i="24" s="1"/>
  <c r="AG65" i="24" s="1"/>
  <c r="AC65" i="24"/>
  <c r="M65" i="27" s="1"/>
  <c r="DY65" i="24"/>
  <c r="EB65" i="24" s="1"/>
  <c r="GK65" i="24"/>
  <c r="X64" i="7"/>
  <c r="CO64" i="7"/>
  <c r="B100" i="7" s="1"/>
  <c r="B101" i="7" s="1"/>
  <c r="S6" i="32" s="1"/>
  <c r="AX18" i="32" s="1"/>
  <c r="AZ18" i="32" s="1"/>
  <c r="BT65" i="24"/>
  <c r="DT64" i="24"/>
  <c r="BE65" i="24"/>
  <c r="CF64" i="24"/>
  <c r="CH64" i="24" s="1"/>
  <c r="GM65" i="24"/>
  <c r="AE65" i="24"/>
  <c r="O65" i="27" s="1"/>
  <c r="EP65" i="24"/>
  <c r="ES65" i="24" s="1"/>
  <c r="CI64" i="24" l="1"/>
  <c r="W64" i="24" s="1"/>
  <c r="G64" i="27" s="1"/>
  <c r="Q65" i="27"/>
  <c r="CL64" i="24"/>
  <c r="S4" i="32"/>
  <c r="C98" i="7"/>
  <c r="V4" i="32" s="1"/>
  <c r="EW65" i="24"/>
  <c r="GN65" i="24"/>
  <c r="FB65" i="24"/>
  <c r="AF65" i="24"/>
  <c r="P65" i="27" s="1"/>
  <c r="BV65" i="32"/>
  <c r="AI65" i="27"/>
  <c r="GA65" i="24"/>
  <c r="BI65" i="24"/>
  <c r="BT65" i="32"/>
  <c r="AG65" i="27"/>
  <c r="GT65" i="7" a="1"/>
  <c r="GT65" i="7" s="1"/>
  <c r="CJ64" i="24" l="1"/>
  <c r="V64" i="24" s="1"/>
  <c r="F64" i="27" s="1"/>
  <c r="BW65" i="32"/>
  <c r="AJ65" i="27"/>
  <c r="BP65" i="24"/>
  <c r="BU65" i="24" s="1"/>
  <c r="FD65" i="24"/>
  <c r="FE65" i="24"/>
  <c r="FC65" i="24"/>
  <c r="W65" i="27"/>
  <c r="BJ65" i="32"/>
  <c r="GH64" i="24"/>
  <c r="EZ65" i="24"/>
  <c r="FK65" i="24" s="1"/>
  <c r="GW65" i="7"/>
  <c r="GU65" i="7"/>
  <c r="BW65" i="7" s="1"/>
  <c r="GV65" i="7"/>
  <c r="BX65" i="7" s="1"/>
  <c r="GX65" i="7"/>
  <c r="CK64" i="24" l="1"/>
  <c r="CN64" i="24"/>
  <c r="GG64" i="24"/>
  <c r="FG65" i="24"/>
  <c r="FF65" i="24"/>
  <c r="GS65" i="24"/>
  <c r="GR65" i="24"/>
  <c r="GP65" i="24"/>
  <c r="GQ65" i="24"/>
  <c r="X64" i="24"/>
  <c r="H64" i="27" s="1"/>
  <c r="CO64" i="24"/>
  <c r="BP64" i="32"/>
  <c r="AC64" i="27"/>
  <c r="GD65" i="7"/>
  <c r="Z65" i="7"/>
  <c r="EH65" i="7"/>
  <c r="EE66" i="7" s="1"/>
  <c r="EI66" i="7" s="1"/>
  <c r="BQ64" i="32"/>
  <c r="AD64" i="27"/>
  <c r="BY65" i="7"/>
  <c r="DZ65" i="7"/>
  <c r="GC65" i="7"/>
  <c r="EJ66" i="7" l="1"/>
  <c r="CB65" i="7"/>
  <c r="CR65" i="7" s="1"/>
  <c r="GT65" i="24" a="1"/>
  <c r="GT65" i="24" s="1"/>
  <c r="EX65" i="7"/>
  <c r="FH65" i="7" s="1"/>
  <c r="GE65" i="7"/>
  <c r="BZ65" i="7"/>
  <c r="GL66" i="7"/>
  <c r="AD66" i="7"/>
  <c r="FA66" i="7" l="1"/>
  <c r="FI65" i="7"/>
  <c r="GU65" i="24"/>
  <c r="BW65" i="24" s="1"/>
  <c r="GV65" i="24"/>
  <c r="BX65" i="24" s="1"/>
  <c r="GW65" i="24"/>
  <c r="GX65" i="24"/>
  <c r="CY65" i="7"/>
  <c r="CV65" i="7"/>
  <c r="GF65" i="7"/>
  <c r="EQ65" i="7"/>
  <c r="CA65" i="7"/>
  <c r="CD65" i="7" s="1"/>
  <c r="CL65" i="7" l="1"/>
  <c r="EH65" i="24"/>
  <c r="EE66" i="24" s="1"/>
  <c r="GD65" i="24"/>
  <c r="Z65" i="24"/>
  <c r="J65" i="27" s="1"/>
  <c r="GC65" i="24"/>
  <c r="DZ65" i="24"/>
  <c r="BY65" i="24"/>
  <c r="BZ65" i="24" s="1"/>
  <c r="DA65" i="7"/>
  <c r="DE65" i="7" s="1"/>
  <c r="CE65" i="7" s="1"/>
  <c r="EI66" i="24"/>
  <c r="EJ66" i="24"/>
  <c r="DJ65" i="7" l="1"/>
  <c r="DN65" i="7" s="1"/>
  <c r="DQ65" i="7" s="1"/>
  <c r="EQ65" i="24"/>
  <c r="GF65" i="24"/>
  <c r="CA65" i="24"/>
  <c r="CD65" i="24" s="1"/>
  <c r="DO65" i="7"/>
  <c r="CF65" i="7"/>
  <c r="CI65" i="7" s="1"/>
  <c r="BL65" i="32"/>
  <c r="Y65" i="27"/>
  <c r="BM65" i="32"/>
  <c r="Z65" i="27"/>
  <c r="EX65" i="24"/>
  <c r="FH65" i="24" s="1"/>
  <c r="GE65" i="24"/>
  <c r="AD66" i="24"/>
  <c r="N66" i="27" s="1"/>
  <c r="GL66" i="24"/>
  <c r="EG66" i="24"/>
  <c r="DF65" i="7"/>
  <c r="BS66" i="7" s="1"/>
  <c r="DG65" i="7"/>
  <c r="DX65" i="7" s="1"/>
  <c r="DW66" i="7" s="1"/>
  <c r="EA66" i="7" s="1"/>
  <c r="Y65" i="7"/>
  <c r="CB65" i="24"/>
  <c r="CR65" i="24" s="1"/>
  <c r="CH65" i="7" l="1"/>
  <c r="W65" i="7" s="1"/>
  <c r="EO65" i="7"/>
  <c r="EN66" i="7" s="1"/>
  <c r="ES66" i="7" s="1"/>
  <c r="AA65" i="7"/>
  <c r="AB65" i="7"/>
  <c r="EV65" i="7"/>
  <c r="EU66" i="7" s="1"/>
  <c r="GN66" i="7" s="1"/>
  <c r="C104" i="7"/>
  <c r="AW33" i="32" s="1"/>
  <c r="B104" i="7"/>
  <c r="AT33" i="32" s="1"/>
  <c r="BN65" i="32"/>
  <c r="AA65" i="27"/>
  <c r="CV65" i="24"/>
  <c r="CY65" i="24"/>
  <c r="FI65" i="24"/>
  <c r="FA66" i="24"/>
  <c r="EB66" i="7"/>
  <c r="GK66" i="7"/>
  <c r="AC66" i="7"/>
  <c r="BU66" i="32"/>
  <c r="AH66" i="27"/>
  <c r="BO65" i="32"/>
  <c r="AB65" i="27"/>
  <c r="CJ65" i="7" l="1"/>
  <c r="GM66" i="7"/>
  <c r="AF66" i="7"/>
  <c r="EZ66" i="7"/>
  <c r="FK66" i="7" s="1"/>
  <c r="AE66" i="7"/>
  <c r="CP66" i="7"/>
  <c r="AG66" i="7" s="1"/>
  <c r="FB66" i="7"/>
  <c r="DA65" i="24"/>
  <c r="DE65" i="24" s="1"/>
  <c r="CK65" i="7"/>
  <c r="GG65" i="7"/>
  <c r="V65" i="7"/>
  <c r="GH65" i="7"/>
  <c r="GP66" i="7" l="1"/>
  <c r="GR66" i="7"/>
  <c r="GQ66" i="7"/>
  <c r="GS66" i="7"/>
  <c r="DJ65" i="24"/>
  <c r="DN65" i="24" s="1"/>
  <c r="DF65" i="24"/>
  <c r="BS66" i="24" s="1"/>
  <c r="Y65" i="24"/>
  <c r="I65" i="27" s="1"/>
  <c r="DG65" i="24"/>
  <c r="DX65" i="24" s="1"/>
  <c r="DW66" i="24" s="1"/>
  <c r="EA66" i="24" s="1"/>
  <c r="CE65" i="24"/>
  <c r="DO65" i="24" l="1"/>
  <c r="DM66" i="24" s="1"/>
  <c r="EO65" i="24"/>
  <c r="EN66" i="24" s="1"/>
  <c r="AA65" i="24"/>
  <c r="K65" i="27" s="1"/>
  <c r="DQ65" i="24"/>
  <c r="DT65" i="24"/>
  <c r="BE66" i="24"/>
  <c r="CF65" i="24"/>
  <c r="CI65" i="24" s="1"/>
  <c r="GK66" i="24"/>
  <c r="AC66" i="24"/>
  <c r="M66" i="27" s="1"/>
  <c r="DY66" i="24"/>
  <c r="EB66" i="24" s="1"/>
  <c r="GT66" i="7" a="1"/>
  <c r="GT66" i="7" s="1"/>
  <c r="CH65" i="24" l="1"/>
  <c r="W65" i="24" s="1"/>
  <c r="G65" i="27" s="1"/>
  <c r="CL65" i="24"/>
  <c r="GX66" i="7"/>
  <c r="GV66" i="7"/>
  <c r="BX66" i="7" s="1"/>
  <c r="GU66" i="7"/>
  <c r="BW66" i="7" s="1"/>
  <c r="GW66" i="7"/>
  <c r="GA66" i="24"/>
  <c r="BI66" i="24"/>
  <c r="AB65" i="24"/>
  <c r="L65" i="27" s="1"/>
  <c r="EV65" i="24"/>
  <c r="EU66" i="24" s="1"/>
  <c r="BT66" i="32"/>
  <c r="AG66" i="27"/>
  <c r="AE66" i="24"/>
  <c r="O66" i="27" s="1"/>
  <c r="GM66" i="24"/>
  <c r="EP66" i="24"/>
  <c r="BT66" i="24"/>
  <c r="CJ65" i="24" l="1"/>
  <c r="CK65" i="24" s="1"/>
  <c r="W66" i="27"/>
  <c r="BJ66" i="32"/>
  <c r="GC66" i="7"/>
  <c r="DZ66" i="7"/>
  <c r="BY66" i="7"/>
  <c r="ES66" i="24"/>
  <c r="Z66" i="7"/>
  <c r="EH66" i="7"/>
  <c r="EE67" i="7" s="1"/>
  <c r="EJ67" i="7" s="1"/>
  <c r="GD66" i="7"/>
  <c r="GN66" i="24"/>
  <c r="AF66" i="24"/>
  <c r="P66" i="27" s="1"/>
  <c r="EW66" i="24"/>
  <c r="FB66" i="24"/>
  <c r="CP66" i="24"/>
  <c r="AG66" i="24" s="1"/>
  <c r="Q66" i="27" s="1"/>
  <c r="CN65" i="24"/>
  <c r="GG65" i="24"/>
  <c r="BV66" i="32"/>
  <c r="AI66" i="27"/>
  <c r="BP66" i="24"/>
  <c r="BU66" i="24" s="1"/>
  <c r="V65" i="24" l="1"/>
  <c r="F65" i="27" s="1"/>
  <c r="GH65" i="24"/>
  <c r="AD65" i="27" s="1"/>
  <c r="EI67" i="7"/>
  <c r="GE66" i="7"/>
  <c r="EX66" i="7"/>
  <c r="FH66" i="7" s="1"/>
  <c r="BQ65" i="32"/>
  <c r="BW66" i="32"/>
  <c r="AJ66" i="27"/>
  <c r="X65" i="24"/>
  <c r="H65" i="27" s="1"/>
  <c r="CO65" i="24"/>
  <c r="AD67" i="7"/>
  <c r="GL67" i="7"/>
  <c r="BZ66" i="7"/>
  <c r="CA66" i="7" s="1"/>
  <c r="CD66" i="7" s="1"/>
  <c r="EZ66" i="24"/>
  <c r="FK66" i="24" s="1"/>
  <c r="FE66" i="24"/>
  <c r="FD66" i="24"/>
  <c r="FC66" i="24"/>
  <c r="BP65" i="32"/>
  <c r="AC65" i="27"/>
  <c r="CB66" i="7"/>
  <c r="CR66" i="7" s="1"/>
  <c r="CL66" i="7" l="1"/>
  <c r="CJ66" i="7"/>
  <c r="GP66" i="24"/>
  <c r="GR66" i="24"/>
  <c r="GS66" i="24"/>
  <c r="GQ66" i="24"/>
  <c r="FG66" i="24"/>
  <c r="FF66" i="24"/>
  <c r="GF66" i="7"/>
  <c r="EQ66" i="7"/>
  <c r="FI66" i="7"/>
  <c r="FA67" i="7"/>
  <c r="CY66" i="7"/>
  <c r="CV66" i="7"/>
  <c r="DA66" i="7" l="1"/>
  <c r="DE66" i="7" s="1"/>
  <c r="DJ66" i="7" s="1"/>
  <c r="DN66" i="7" s="1"/>
  <c r="GT66" i="24" a="1"/>
  <c r="GT66" i="24" s="1"/>
  <c r="GG66" i="7"/>
  <c r="GH66" i="7"/>
  <c r="V66" i="7"/>
  <c r="CK66" i="7"/>
  <c r="DO66" i="7" l="1"/>
  <c r="AA66" i="7"/>
  <c r="EO66" i="7"/>
  <c r="EN67" i="7" s="1"/>
  <c r="GW66" i="24"/>
  <c r="GV66" i="24"/>
  <c r="BX66" i="24" s="1"/>
  <c r="GU66" i="24"/>
  <c r="BW66" i="24" s="1"/>
  <c r="GX66" i="24"/>
  <c r="DQ66" i="7"/>
  <c r="DF66" i="7"/>
  <c r="BS67" i="7" s="1"/>
  <c r="Y66" i="7"/>
  <c r="DG66" i="7"/>
  <c r="DX66" i="7" s="1"/>
  <c r="DW67" i="7" s="1"/>
  <c r="EA67" i="7" s="1"/>
  <c r="GD66" i="24" l="1"/>
  <c r="EH66" i="24"/>
  <c r="EE67" i="24" s="1"/>
  <c r="EJ67" i="24" s="1"/>
  <c r="Z66" i="24"/>
  <c r="J66" i="27" s="1"/>
  <c r="GK67" i="7"/>
  <c r="EB67" i="7"/>
  <c r="AC67" i="7"/>
  <c r="ES67" i="7"/>
  <c r="GM67" i="7"/>
  <c r="AE67" i="7"/>
  <c r="DZ66" i="24"/>
  <c r="GC66" i="24"/>
  <c r="BY66" i="24"/>
  <c r="CB66" i="24" s="1"/>
  <c r="CR66" i="24" s="1"/>
  <c r="EV66" i="7"/>
  <c r="EU67" i="7" s="1"/>
  <c r="CP67" i="7" s="1"/>
  <c r="AG67" i="7" s="1"/>
  <c r="AB66" i="7"/>
  <c r="EI67" i="24" l="1"/>
  <c r="CY66" i="24"/>
  <c r="CV66" i="24"/>
  <c r="BZ66" i="24"/>
  <c r="BL66" i="32"/>
  <c r="Y66" i="27"/>
  <c r="GN67" i="7"/>
  <c r="EZ67" i="7"/>
  <c r="FK67" i="7" s="1"/>
  <c r="FB67" i="7"/>
  <c r="AF67" i="7"/>
  <c r="EG67" i="24"/>
  <c r="AD67" i="24"/>
  <c r="N67" i="27" s="1"/>
  <c r="GL67" i="24"/>
  <c r="GE66" i="24"/>
  <c r="EX66" i="24"/>
  <c r="FH66" i="24" s="1"/>
  <c r="BM66" i="32"/>
  <c r="Z66" i="27"/>
  <c r="FI66" i="24" l="1"/>
  <c r="FA67" i="24"/>
  <c r="GQ67" i="7"/>
  <c r="GS67" i="7"/>
  <c r="GP67" i="7"/>
  <c r="GR67" i="7"/>
  <c r="BN66" i="32"/>
  <c r="AA66" i="27"/>
  <c r="BU67" i="32"/>
  <c r="AH67" i="27"/>
  <c r="GF66" i="24"/>
  <c r="EQ66" i="24"/>
  <c r="CA66" i="24"/>
  <c r="CD66" i="24" s="1"/>
  <c r="DA66" i="24"/>
  <c r="DE66" i="24" s="1"/>
  <c r="DJ66" i="24" l="1"/>
  <c r="DN66" i="24" s="1"/>
  <c r="DF66" i="24"/>
  <c r="BS67" i="24" s="1"/>
  <c r="DG66" i="24"/>
  <c r="DX66" i="24" s="1"/>
  <c r="DW67" i="24" s="1"/>
  <c r="EA67" i="24" s="1"/>
  <c r="Y66" i="24"/>
  <c r="I66" i="27" s="1"/>
  <c r="GT67" i="7" a="1"/>
  <c r="GT67" i="7" s="1"/>
  <c r="BO66" i="32"/>
  <c r="AB66" i="27"/>
  <c r="CE66" i="24"/>
  <c r="GV67" i="7" l="1"/>
  <c r="BX67" i="7" s="1"/>
  <c r="GU67" i="7"/>
  <c r="BW67" i="7" s="1"/>
  <c r="GW67" i="7"/>
  <c r="GX67" i="7"/>
  <c r="CF66" i="24"/>
  <c r="CI66" i="24" s="1"/>
  <c r="BE67" i="24"/>
  <c r="DT66" i="24"/>
  <c r="DY67" i="24"/>
  <c r="EB67" i="24" s="1"/>
  <c r="GK67" i="24"/>
  <c r="AC67" i="24"/>
  <c r="M67" i="27" s="1"/>
  <c r="EO66" i="24"/>
  <c r="EN67" i="24" s="1"/>
  <c r="AA66" i="24"/>
  <c r="K66" i="27" s="1"/>
  <c r="DO66" i="24"/>
  <c r="DM67" i="24" s="1"/>
  <c r="DQ66" i="24"/>
  <c r="CH66" i="24"/>
  <c r="W66" i="24" l="1"/>
  <c r="G66" i="27" s="1"/>
  <c r="CL66" i="24"/>
  <c r="CJ66" i="24"/>
  <c r="BT67" i="24"/>
  <c r="GA67" i="24"/>
  <c r="BI67" i="24"/>
  <c r="BT67" i="32"/>
  <c r="AG67" i="27"/>
  <c r="EP67" i="24"/>
  <c r="ES67" i="24" s="1"/>
  <c r="AE67" i="24"/>
  <c r="O67" i="27" s="1"/>
  <c r="GM67" i="24"/>
  <c r="AB66" i="24"/>
  <c r="L66" i="27" s="1"/>
  <c r="EV66" i="24"/>
  <c r="EU67" i="24" s="1"/>
  <c r="CP67" i="24" s="1"/>
  <c r="AG67" i="24" s="1"/>
  <c r="Q67" i="27" s="1"/>
  <c r="DZ67" i="7"/>
  <c r="GC67" i="7"/>
  <c r="BY67" i="7"/>
  <c r="BZ67" i="7" s="1"/>
  <c r="Z67" i="7"/>
  <c r="EH67" i="7"/>
  <c r="EE68" i="7" s="1"/>
  <c r="EI68" i="7" s="1"/>
  <c r="GD67" i="7"/>
  <c r="EJ68" i="7" l="1"/>
  <c r="CB67" i="7"/>
  <c r="CR67" i="7" s="1"/>
  <c r="CV67" i="7" s="1"/>
  <c r="EX67" i="7"/>
  <c r="FH67" i="7" s="1"/>
  <c r="GE67" i="7"/>
  <c r="W67" i="27"/>
  <c r="BJ67" i="32"/>
  <c r="BP67" i="24"/>
  <c r="BU67" i="24" s="1"/>
  <c r="CA67" i="7"/>
  <c r="CD67" i="7" s="1"/>
  <c r="BV67" i="32"/>
  <c r="AI67" i="27"/>
  <c r="EQ67" i="7"/>
  <c r="GF67" i="7"/>
  <c r="CN66" i="24"/>
  <c r="GG66" i="24"/>
  <c r="V66" i="24"/>
  <c r="F66" i="27" s="1"/>
  <c r="CK66" i="24"/>
  <c r="GH66" i="24"/>
  <c r="AD68" i="7"/>
  <c r="GL68" i="7"/>
  <c r="EW67" i="24"/>
  <c r="EZ67" i="24" s="1"/>
  <c r="FK67" i="24" s="1"/>
  <c r="AF67" i="24"/>
  <c r="P67" i="27" s="1"/>
  <c r="GN67" i="24"/>
  <c r="FB67" i="24"/>
  <c r="CY67" i="7" l="1"/>
  <c r="DA67" i="7" s="1"/>
  <c r="DE67" i="7" s="1"/>
  <c r="GR67" i="24"/>
  <c r="GP67" i="24"/>
  <c r="GS67" i="24"/>
  <c r="GQ67" i="24"/>
  <c r="X66" i="24"/>
  <c r="H66" i="27" s="1"/>
  <c r="CO66" i="24"/>
  <c r="FD67" i="24"/>
  <c r="FC67" i="24"/>
  <c r="FE67" i="24"/>
  <c r="BW67" i="32"/>
  <c r="AJ67" i="27"/>
  <c r="BQ66" i="32"/>
  <c r="AD66" i="27"/>
  <c r="FI67" i="7"/>
  <c r="FA68" i="7"/>
  <c r="BP66" i="32"/>
  <c r="AC66" i="27"/>
  <c r="CJ67" i="7"/>
  <c r="CL67" i="7"/>
  <c r="DJ67" i="7" l="1"/>
  <c r="DN67" i="7" s="1"/>
  <c r="DQ67" i="7" s="1"/>
  <c r="DG67" i="7"/>
  <c r="DX67" i="7" s="1"/>
  <c r="DW68" i="7" s="1"/>
  <c r="DF67" i="7"/>
  <c r="BS68" i="7" s="1"/>
  <c r="Y67" i="7"/>
  <c r="GT67" i="24" a="1"/>
  <c r="GT67" i="24" s="1"/>
  <c r="V67" i="7"/>
  <c r="GH67" i="7"/>
  <c r="CK67" i="7"/>
  <c r="GG67" i="7"/>
  <c r="FG67" i="24"/>
  <c r="FF67" i="24"/>
  <c r="EA68" i="7"/>
  <c r="AA67" i="7" l="1"/>
  <c r="EO67" i="7"/>
  <c r="EN68" i="7" s="1"/>
  <c r="GM68" i="7" s="1"/>
  <c r="AB67" i="7"/>
  <c r="EV67" i="7"/>
  <c r="EU68" i="7" s="1"/>
  <c r="GN68" i="7" s="1"/>
  <c r="DO67" i="7"/>
  <c r="GW67" i="24"/>
  <c r="GV67" i="24"/>
  <c r="BX67" i="24" s="1"/>
  <c r="GU67" i="24"/>
  <c r="BW67" i="24" s="1"/>
  <c r="GX67" i="24"/>
  <c r="GK68" i="7"/>
  <c r="EB68" i="7"/>
  <c r="AC68" i="7"/>
  <c r="FB68" i="7" l="1"/>
  <c r="AF68" i="7"/>
  <c r="EZ68" i="7"/>
  <c r="ES68" i="7"/>
  <c r="AE68" i="7"/>
  <c r="CP68" i="7"/>
  <c r="AG68" i="7" s="1"/>
  <c r="FK68" i="7"/>
  <c r="DZ67" i="24"/>
  <c r="GC67" i="24"/>
  <c r="BY67" i="24"/>
  <c r="Z67" i="24"/>
  <c r="J67" i="27" s="1"/>
  <c r="EH67" i="24"/>
  <c r="EE68" i="24" s="1"/>
  <c r="GD67" i="24"/>
  <c r="EI68" i="24"/>
  <c r="EJ68" i="24"/>
  <c r="BZ67" i="24" l="1"/>
  <c r="CA67" i="24" s="1"/>
  <c r="CD67" i="24" s="1"/>
  <c r="BM67" i="32"/>
  <c r="Z67" i="27"/>
  <c r="BL67" i="32"/>
  <c r="Y67" i="27"/>
  <c r="GL68" i="24"/>
  <c r="EG68" i="24"/>
  <c r="AD68" i="24"/>
  <c r="N68" i="27" s="1"/>
  <c r="GE67" i="24"/>
  <c r="EX67" i="24"/>
  <c r="FH67" i="24" s="1"/>
  <c r="GS68" i="7"/>
  <c r="GR68" i="7"/>
  <c r="GQ68" i="7"/>
  <c r="GP68" i="7"/>
  <c r="CB67" i="24"/>
  <c r="CR67" i="24" s="1"/>
  <c r="EQ67" i="24" l="1"/>
  <c r="GF67" i="24"/>
  <c r="BO67" i="32" s="1"/>
  <c r="FI67" i="24"/>
  <c r="FA68" i="24"/>
  <c r="BU68" i="32"/>
  <c r="AH68" i="27"/>
  <c r="BN67" i="32"/>
  <c r="AA67" i="27"/>
  <c r="CV67" i="24"/>
  <c r="CY67" i="24"/>
  <c r="GT68" i="7" a="1"/>
  <c r="GT68" i="7" s="1"/>
  <c r="AB67" i="27" l="1"/>
  <c r="GX68" i="7"/>
  <c r="GU68" i="7"/>
  <c r="BW68" i="7" s="1"/>
  <c r="GV68" i="7"/>
  <c r="BX68" i="7" s="1"/>
  <c r="GW68" i="7"/>
  <c r="DA67" i="24"/>
  <c r="DE67" i="24" s="1"/>
  <c r="DJ67" i="24" s="1"/>
  <c r="DN67" i="24" s="1"/>
  <c r="EO67" i="24" l="1"/>
  <c r="EN68" i="24" s="1"/>
  <c r="AA67" i="24"/>
  <c r="K67" i="27" s="1"/>
  <c r="DO67" i="24"/>
  <c r="DM68" i="24" s="1"/>
  <c r="DQ67" i="24"/>
  <c r="Y67" i="24"/>
  <c r="I67" i="27" s="1"/>
  <c r="DG67" i="24"/>
  <c r="DX67" i="24" s="1"/>
  <c r="DW68" i="24" s="1"/>
  <c r="EA68" i="24" s="1"/>
  <c r="DF67" i="24"/>
  <c r="BS68" i="24" s="1"/>
  <c r="EH68" i="7"/>
  <c r="EE69" i="7" s="1"/>
  <c r="EJ69" i="7" s="1"/>
  <c r="GD68" i="7"/>
  <c r="Z68" i="7"/>
  <c r="GC68" i="7"/>
  <c r="DZ68" i="7"/>
  <c r="BY68" i="7"/>
  <c r="CB68" i="7" s="1"/>
  <c r="CR68" i="7" s="1"/>
  <c r="CE67" i="24"/>
  <c r="EI69" i="7" l="1"/>
  <c r="CY68" i="7"/>
  <c r="CV68" i="7"/>
  <c r="GK68" i="24"/>
  <c r="AC68" i="24"/>
  <c r="M68" i="27" s="1"/>
  <c r="DY68" i="24"/>
  <c r="EB68" i="24" s="1"/>
  <c r="GL69" i="7"/>
  <c r="AD69" i="7"/>
  <c r="BZ68" i="7"/>
  <c r="CA68" i="7" s="1"/>
  <c r="CD68" i="7" s="1"/>
  <c r="AB67" i="24"/>
  <c r="L67" i="27" s="1"/>
  <c r="EV67" i="24"/>
  <c r="EU68" i="24" s="1"/>
  <c r="CP68" i="24" s="1"/>
  <c r="AG68" i="24" s="1"/>
  <c r="Q68" i="27" s="1"/>
  <c r="BT68" i="24"/>
  <c r="GE68" i="7"/>
  <c r="EX68" i="7"/>
  <c r="FH68" i="7" s="1"/>
  <c r="DT67" i="24"/>
  <c r="CF67" i="24"/>
  <c r="CH67" i="24" s="1"/>
  <c r="BE68" i="24"/>
  <c r="EP68" i="24"/>
  <c r="ES68" i="24" s="1"/>
  <c r="GM68" i="24"/>
  <c r="AE68" i="24"/>
  <c r="O68" i="27" s="1"/>
  <c r="CI67" i="24" l="1"/>
  <c r="W67" i="24" s="1"/>
  <c r="G67" i="27" s="1"/>
  <c r="CL67" i="24"/>
  <c r="CJ68" i="7"/>
  <c r="CL68" i="7"/>
  <c r="GA68" i="24"/>
  <c r="BI68" i="24"/>
  <c r="AF68" i="24"/>
  <c r="P68" i="27" s="1"/>
  <c r="GN68" i="24"/>
  <c r="FB68" i="24"/>
  <c r="EW68" i="24"/>
  <c r="EZ68" i="24" s="1"/>
  <c r="FK68" i="24" s="1"/>
  <c r="BT68" i="32"/>
  <c r="AG68" i="27"/>
  <c r="BV68" i="32"/>
  <c r="AI68" i="27"/>
  <c r="FI68" i="7"/>
  <c r="FA69" i="7"/>
  <c r="EQ68" i="7"/>
  <c r="GF68" i="7"/>
  <c r="DA68" i="7"/>
  <c r="DE68" i="7" s="1"/>
  <c r="CJ67" i="24" l="1"/>
  <c r="GQ68" i="24"/>
  <c r="GP68" i="24"/>
  <c r="GR68" i="24"/>
  <c r="GS68" i="24"/>
  <c r="BP68" i="24"/>
  <c r="BU68" i="24" s="1"/>
  <c r="W68" i="27"/>
  <c r="BJ68" i="32"/>
  <c r="CK68" i="7"/>
  <c r="GH68" i="7"/>
  <c r="V68" i="7"/>
  <c r="GG68" i="7"/>
  <c r="FC68" i="24"/>
  <c r="FD68" i="24"/>
  <c r="FE68" i="24"/>
  <c r="Y68" i="7"/>
  <c r="DF68" i="7"/>
  <c r="BS69" i="7" s="1"/>
  <c r="DG68" i="7"/>
  <c r="DX68" i="7" s="1"/>
  <c r="DW69" i="7" s="1"/>
  <c r="BW68" i="32"/>
  <c r="AJ68" i="27"/>
  <c r="GH67" i="24"/>
  <c r="CK67" i="24"/>
  <c r="CN67" i="24"/>
  <c r="GG67" i="24"/>
  <c r="V67" i="24"/>
  <c r="F67" i="27" s="1"/>
  <c r="DJ68" i="7"/>
  <c r="DN68" i="7" s="1"/>
  <c r="DQ68" i="7" s="1"/>
  <c r="EA69" i="7"/>
  <c r="GT68" i="24" l="1" a="1"/>
  <c r="GT68" i="24" s="1"/>
  <c r="GW68" i="24" s="1"/>
  <c r="BQ67" i="32"/>
  <c r="AD67" i="27"/>
  <c r="DO68" i="7"/>
  <c r="EO68" i="7"/>
  <c r="EN69" i="7" s="1"/>
  <c r="AA68" i="7"/>
  <c r="EB69" i="7"/>
  <c r="AC69" i="7"/>
  <c r="GK69" i="7"/>
  <c r="FG68" i="24"/>
  <c r="FF68" i="24"/>
  <c r="BP67" i="32"/>
  <c r="AC67" i="27"/>
  <c r="X67" i="24"/>
  <c r="H67" i="27" s="1"/>
  <c r="CO67" i="24"/>
  <c r="EV68" i="7"/>
  <c r="EU69" i="7" s="1"/>
  <c r="AB68" i="7"/>
  <c r="GV68" i="24" l="1"/>
  <c r="BX68" i="24" s="1"/>
  <c r="GD68" i="24" s="1"/>
  <c r="GX68" i="24"/>
  <c r="GU68" i="24"/>
  <c r="BW68" i="24" s="1"/>
  <c r="DZ68" i="24" s="1"/>
  <c r="CP69" i="7"/>
  <c r="AG69" i="7" s="1"/>
  <c r="ES69" i="7"/>
  <c r="GM69" i="7"/>
  <c r="AE69" i="7"/>
  <c r="FB69" i="7"/>
  <c r="GN69" i="7"/>
  <c r="AF69" i="7"/>
  <c r="EZ69" i="7"/>
  <c r="Z68" i="24" l="1"/>
  <c r="J68" i="27" s="1"/>
  <c r="EH68" i="24"/>
  <c r="EE69" i="24" s="1"/>
  <c r="GL69" i="24" s="1"/>
  <c r="BY68" i="24"/>
  <c r="BZ68" i="24" s="1"/>
  <c r="EQ68" i="24" s="1"/>
  <c r="GC68" i="24"/>
  <c r="BL68" i="32" s="1"/>
  <c r="FK69" i="7"/>
  <c r="GQ69" i="7" s="1"/>
  <c r="BM68" i="32"/>
  <c r="Z68" i="27"/>
  <c r="EG69" i="24"/>
  <c r="EI69" i="24"/>
  <c r="EJ69" i="24"/>
  <c r="AD69" i="24" l="1"/>
  <c r="N69" i="27" s="1"/>
  <c r="GR69" i="7"/>
  <c r="Y68" i="27"/>
  <c r="GS69" i="7"/>
  <c r="GP69" i="7"/>
  <c r="GT69" i="7" s="1" a="1"/>
  <c r="GT69" i="7" s="1"/>
  <c r="GX69" i="7" s="1"/>
  <c r="CB68" i="24"/>
  <c r="CR68" i="24" s="1"/>
  <c r="CY68" i="24" s="1"/>
  <c r="GE68" i="24"/>
  <c r="BN68" i="32" s="1"/>
  <c r="GF68" i="24"/>
  <c r="BO68" i="32" s="1"/>
  <c r="CA68" i="24"/>
  <c r="CD68" i="24" s="1"/>
  <c r="EX68" i="24"/>
  <c r="FH68" i="24" s="1"/>
  <c r="FI68" i="24" s="1"/>
  <c r="BU69" i="32"/>
  <c r="AH69" i="27"/>
  <c r="AB68" i="27" l="1"/>
  <c r="AA68" i="27"/>
  <c r="CV68" i="24"/>
  <c r="FA69" i="24"/>
  <c r="GU69" i="7"/>
  <c r="BW69" i="7" s="1"/>
  <c r="DZ69" i="7" s="1"/>
  <c r="GV69" i="7"/>
  <c r="BX69" i="7" s="1"/>
  <c r="GD69" i="7" s="1"/>
  <c r="GW69" i="7"/>
  <c r="DA68" i="24"/>
  <c r="DE68" i="24" s="1"/>
  <c r="DJ68" i="24" s="1"/>
  <c r="DN68" i="24" s="1"/>
  <c r="GC69" i="7" l="1"/>
  <c r="BY69" i="7"/>
  <c r="CB69" i="7" s="1"/>
  <c r="CR69" i="7" s="1"/>
  <c r="CV69" i="7" s="1"/>
  <c r="EH69" i="7"/>
  <c r="EE70" i="7" s="1"/>
  <c r="AD70" i="7" s="1"/>
  <c r="Z69" i="7"/>
  <c r="CE68" i="24"/>
  <c r="DT68" i="24" s="1"/>
  <c r="EO68" i="24"/>
  <c r="EN69" i="24" s="1"/>
  <c r="AA68" i="24"/>
  <c r="K68" i="27" s="1"/>
  <c r="DO68" i="24"/>
  <c r="DM69" i="24" s="1"/>
  <c r="DQ68" i="24"/>
  <c r="DF68" i="24"/>
  <c r="BS69" i="24" s="1"/>
  <c r="Y68" i="24"/>
  <c r="I68" i="27" s="1"/>
  <c r="DG68" i="24"/>
  <c r="DX68" i="24" s="1"/>
  <c r="DW69" i="24" s="1"/>
  <c r="EI70" i="7"/>
  <c r="EJ70" i="7"/>
  <c r="EA69" i="24"/>
  <c r="CF68" i="24" l="1"/>
  <c r="GL70" i="7"/>
  <c r="GE69" i="7"/>
  <c r="CY69" i="7"/>
  <c r="DA69" i="7" s="1"/>
  <c r="DE69" i="7" s="1"/>
  <c r="DJ69" i="7" s="1"/>
  <c r="DN69" i="7" s="1"/>
  <c r="EX69" i="7"/>
  <c r="FH69" i="7" s="1"/>
  <c r="FI69" i="7" s="1"/>
  <c r="BZ69" i="7"/>
  <c r="GF69" i="7" s="1"/>
  <c r="BE69" i="24"/>
  <c r="GA69" i="24" s="1"/>
  <c r="BT69" i="24"/>
  <c r="AB68" i="24"/>
  <c r="L68" i="27" s="1"/>
  <c r="EV68" i="24"/>
  <c r="EU69" i="24" s="1"/>
  <c r="AE69" i="24"/>
  <c r="O69" i="27" s="1"/>
  <c r="GM69" i="24"/>
  <c r="EP69" i="24"/>
  <c r="ES69" i="24" s="1"/>
  <c r="GK69" i="24"/>
  <c r="AC69" i="24"/>
  <c r="M69" i="27" s="1"/>
  <c r="DY69" i="24"/>
  <c r="EB69" i="24" s="1"/>
  <c r="CH68" i="24"/>
  <c r="CI68" i="24"/>
  <c r="FA70" i="7" l="1"/>
  <c r="BI69" i="24"/>
  <c r="BP69" i="24" s="1"/>
  <c r="BU69" i="24" s="1"/>
  <c r="CL68" i="24"/>
  <c r="CJ68" i="24"/>
  <c r="GH68" i="24" s="1"/>
  <c r="W68" i="24"/>
  <c r="G68" i="27" s="1"/>
  <c r="CA69" i="7"/>
  <c r="CD69" i="7" s="1"/>
  <c r="EQ69" i="7"/>
  <c r="EO69" i="7"/>
  <c r="DO69" i="7"/>
  <c r="AA69" i="7"/>
  <c r="DQ69" i="7"/>
  <c r="AF69" i="24"/>
  <c r="P69" i="27" s="1"/>
  <c r="FB69" i="24"/>
  <c r="EW69" i="24"/>
  <c r="EZ69" i="24" s="1"/>
  <c r="FK69" i="24" s="1"/>
  <c r="GN69" i="24"/>
  <c r="BJ69" i="32"/>
  <c r="W69" i="27"/>
  <c r="CP69" i="24"/>
  <c r="AG69" i="24" s="1"/>
  <c r="Q69" i="27" s="1"/>
  <c r="BT69" i="32"/>
  <c r="AG69" i="27"/>
  <c r="Y69" i="7"/>
  <c r="DG69" i="7"/>
  <c r="DX69" i="7" s="1"/>
  <c r="DW70" i="7" s="1"/>
  <c r="EA70" i="7" s="1"/>
  <c r="DF69" i="7"/>
  <c r="BS70" i="7" s="1"/>
  <c r="BV69" i="32"/>
  <c r="AI69" i="27"/>
  <c r="GG68" i="24" l="1"/>
  <c r="V68" i="24"/>
  <c r="F68" i="27" s="1"/>
  <c r="CN68" i="24"/>
  <c r="CO68" i="24" s="1"/>
  <c r="CK68" i="24"/>
  <c r="EN70" i="7"/>
  <c r="AE70" i="7" s="1"/>
  <c r="CJ69" i="7"/>
  <c r="CL69" i="7"/>
  <c r="GP69" i="24"/>
  <c r="GR69" i="24"/>
  <c r="GS69" i="24"/>
  <c r="GQ69" i="24"/>
  <c r="BP68" i="32"/>
  <c r="AC68" i="27"/>
  <c r="EV69" i="7"/>
  <c r="EU70" i="7" s="1"/>
  <c r="AB69" i="7"/>
  <c r="X68" i="24"/>
  <c r="H68" i="27" s="1"/>
  <c r="EB70" i="7"/>
  <c r="AC70" i="7"/>
  <c r="GK70" i="7"/>
  <c r="BQ68" i="32"/>
  <c r="AD68" i="27"/>
  <c r="BW69" i="32"/>
  <c r="AJ69" i="27"/>
  <c r="FD69" i="24"/>
  <c r="FE69" i="24"/>
  <c r="FC69" i="24"/>
  <c r="ES70" i="7" l="1"/>
  <c r="GM70" i="7"/>
  <c r="CP70" i="7"/>
  <c r="AG70" i="7" s="1"/>
  <c r="V69" i="7"/>
  <c r="GG69" i="7"/>
  <c r="CK69" i="7"/>
  <c r="GH69" i="7"/>
  <c r="GN70" i="7"/>
  <c r="AF70" i="7"/>
  <c r="FB70" i="7"/>
  <c r="EZ70" i="7"/>
  <c r="FK70" i="7" s="1"/>
  <c r="FF69" i="24"/>
  <c r="FG69" i="24"/>
  <c r="GT69" i="24" a="1"/>
  <c r="GT69" i="24" s="1"/>
  <c r="GW69" i="24" l="1"/>
  <c r="GU69" i="24"/>
  <c r="BW69" i="24" s="1"/>
  <c r="GX69" i="24"/>
  <c r="GV69" i="24"/>
  <c r="BX69" i="24" s="1"/>
  <c r="GS70" i="7"/>
  <c r="GR70" i="7"/>
  <c r="GQ70" i="7"/>
  <c r="GP70" i="7"/>
  <c r="GT70" i="7" l="1" a="1"/>
  <c r="GT70" i="7" s="1"/>
  <c r="Z69" i="24"/>
  <c r="J69" i="27" s="1"/>
  <c r="GD69" i="24"/>
  <c r="EH69" i="24"/>
  <c r="EE70" i="24" s="1"/>
  <c r="EI70" i="24" s="1"/>
  <c r="DZ69" i="24"/>
  <c r="GC69" i="24"/>
  <c r="BY69" i="24"/>
  <c r="BZ69" i="24" s="1"/>
  <c r="EJ70" i="24"/>
  <c r="EQ69" i="24" l="1"/>
  <c r="GF69" i="24"/>
  <c r="CA69" i="24"/>
  <c r="CD69" i="24" s="1"/>
  <c r="CB69" i="24"/>
  <c r="CR69" i="24" s="1"/>
  <c r="BL69" i="32"/>
  <c r="Y69" i="27"/>
  <c r="BX70" i="24"/>
  <c r="AD70" i="24"/>
  <c r="N70" i="27" s="1"/>
  <c r="GL70" i="24"/>
  <c r="BM69" i="32"/>
  <c r="Z69" i="27"/>
  <c r="EX69" i="24"/>
  <c r="FH69" i="24" s="1"/>
  <c r="GE69" i="24"/>
  <c r="GW70" i="7"/>
  <c r="GV70" i="7"/>
  <c r="BX70" i="7" s="1"/>
  <c r="GX70" i="7"/>
  <c r="GU70" i="7"/>
  <c r="BW70" i="7" s="1"/>
  <c r="Z70" i="7" l="1"/>
  <c r="EH70" i="7"/>
  <c r="EE71" i="7" s="1"/>
  <c r="GD70" i="7"/>
  <c r="Z70" i="24"/>
  <c r="EH70" i="24"/>
  <c r="EE71" i="24" s="1"/>
  <c r="GD70" i="24"/>
  <c r="BM70" i="32" s="1"/>
  <c r="FI69" i="24"/>
  <c r="FA70" i="24"/>
  <c r="CV69" i="24"/>
  <c r="CY69" i="24"/>
  <c r="BN69" i="32"/>
  <c r="AA69" i="27"/>
  <c r="BO69" i="32"/>
  <c r="AB69" i="27"/>
  <c r="GC70" i="7"/>
  <c r="BY70" i="7"/>
  <c r="CB70" i="7" s="1"/>
  <c r="CR70" i="7" s="1"/>
  <c r="DZ70" i="7"/>
  <c r="BU70" i="32"/>
  <c r="AH70" i="27"/>
  <c r="EJ71" i="7"/>
  <c r="EI71" i="7"/>
  <c r="EJ71" i="24"/>
  <c r="EI71" i="24"/>
  <c r="Z70" i="27" l="1"/>
  <c r="CY70" i="7"/>
  <c r="CV70" i="7"/>
  <c r="GL71" i="24"/>
  <c r="BU71" i="32" s="1"/>
  <c r="AD71" i="24"/>
  <c r="BZ70" i="7"/>
  <c r="EX70" i="7"/>
  <c r="FH70" i="7" s="1"/>
  <c r="GE70" i="7"/>
  <c r="DA69" i="24"/>
  <c r="DE69" i="24" s="1"/>
  <c r="CE69" i="24" s="1"/>
  <c r="AD71" i="7"/>
  <c r="GL71" i="7"/>
  <c r="J70" i="27"/>
  <c r="AH71" i="27" l="1"/>
  <c r="DJ69" i="24"/>
  <c r="DN69" i="24" s="1"/>
  <c r="DO69" i="24" s="1"/>
  <c r="N71" i="27"/>
  <c r="DT69" i="24"/>
  <c r="CF69" i="24"/>
  <c r="CI69" i="24" s="1"/>
  <c r="EQ70" i="7"/>
  <c r="GF70" i="7"/>
  <c r="CA70" i="7"/>
  <c r="CD70" i="7" s="1"/>
  <c r="DG69" i="24"/>
  <c r="DX69" i="24" s="1"/>
  <c r="DW70" i="24" s="1"/>
  <c r="DF69" i="24"/>
  <c r="BS70" i="24" s="1"/>
  <c r="Y69" i="24"/>
  <c r="I69" i="27" s="1"/>
  <c r="FI70" i="7"/>
  <c r="FA71" i="7"/>
  <c r="DA70" i="7"/>
  <c r="DE70" i="7" s="1"/>
  <c r="EA70" i="24"/>
  <c r="CH69" i="24" l="1"/>
  <c r="AA69" i="24"/>
  <c r="K69" i="27" s="1"/>
  <c r="DQ69" i="24"/>
  <c r="EO69" i="24"/>
  <c r="EN70" i="24" s="1"/>
  <c r="GM70" i="24" s="1"/>
  <c r="DJ70" i="7"/>
  <c r="DN70" i="7" s="1"/>
  <c r="DQ70" i="7" s="1"/>
  <c r="W69" i="24"/>
  <c r="G69" i="27" s="1"/>
  <c r="CL69" i="24"/>
  <c r="CJ69" i="24"/>
  <c r="CL70" i="7"/>
  <c r="CJ70" i="7"/>
  <c r="EB70" i="24"/>
  <c r="GK70" i="24"/>
  <c r="AC70" i="24"/>
  <c r="M70" i="27" s="1"/>
  <c r="BW70" i="24"/>
  <c r="EV69" i="24"/>
  <c r="EU70" i="24" s="1"/>
  <c r="AB69" i="24"/>
  <c r="L69" i="27" s="1"/>
  <c r="DG70" i="7"/>
  <c r="DX70" i="7" s="1"/>
  <c r="DW71" i="7" s="1"/>
  <c r="EA71" i="7" s="1"/>
  <c r="Y70" i="7"/>
  <c r="DF70" i="7"/>
  <c r="BS71" i="7" s="1"/>
  <c r="BZ70" i="24" l="1"/>
  <c r="ES70" i="24"/>
  <c r="AE70" i="24"/>
  <c r="O70" i="27" s="1"/>
  <c r="EO70" i="7"/>
  <c r="EN71" i="7" s="1"/>
  <c r="GM71" i="7" s="1"/>
  <c r="AA70" i="7"/>
  <c r="DO70" i="7"/>
  <c r="EV70" i="7"/>
  <c r="EU71" i="7" s="1"/>
  <c r="CP71" i="7" s="1"/>
  <c r="AG71" i="7" s="1"/>
  <c r="AB70" i="7"/>
  <c r="GK71" i="7"/>
  <c r="EB71" i="7"/>
  <c r="AC71" i="7"/>
  <c r="BT70" i="32"/>
  <c r="AG70" i="27"/>
  <c r="GH70" i="7"/>
  <c r="CK70" i="7"/>
  <c r="GG70" i="7"/>
  <c r="V70" i="7"/>
  <c r="CK69" i="24"/>
  <c r="CN69" i="24"/>
  <c r="GH69" i="24"/>
  <c r="GG69" i="24"/>
  <c r="V69" i="24"/>
  <c r="F69" i="27" s="1"/>
  <c r="EZ70" i="24"/>
  <c r="FK70" i="24" s="1"/>
  <c r="FB70" i="24"/>
  <c r="AF70" i="24"/>
  <c r="P70" i="27" s="1"/>
  <c r="GN70" i="24"/>
  <c r="BY70" i="24"/>
  <c r="CA70" i="24" s="1"/>
  <c r="CD70" i="24" s="1"/>
  <c r="DZ70" i="24"/>
  <c r="GC70" i="24"/>
  <c r="GF70" i="24"/>
  <c r="EQ70" i="24"/>
  <c r="CP70" i="24"/>
  <c r="BV70" i="32"/>
  <c r="AI70" i="27"/>
  <c r="ES71" i="7" l="1"/>
  <c r="AE71" i="7"/>
  <c r="FB71" i="7"/>
  <c r="AF71" i="7"/>
  <c r="EZ71" i="7"/>
  <c r="GN71" i="7"/>
  <c r="CB70" i="24"/>
  <c r="CR70" i="24" s="1"/>
  <c r="CV70" i="24" s="1"/>
  <c r="GS70" i="24"/>
  <c r="GP70" i="24"/>
  <c r="GR70" i="24"/>
  <c r="GQ70" i="24"/>
  <c r="BL70" i="32"/>
  <c r="Y70" i="27"/>
  <c r="BP69" i="32"/>
  <c r="AC69" i="27"/>
  <c r="BQ69" i="32"/>
  <c r="AD69" i="27"/>
  <c r="EX70" i="24"/>
  <c r="FH70" i="24" s="1"/>
  <c r="GE70" i="24"/>
  <c r="AG70" i="24"/>
  <c r="Q70" i="27" s="1"/>
  <c r="B98" i="24"/>
  <c r="BW70" i="32"/>
  <c r="AJ70" i="27"/>
  <c r="CO69" i="24"/>
  <c r="B100" i="24" s="1"/>
  <c r="B101" i="24" s="1"/>
  <c r="T6" i="32" s="1"/>
  <c r="AY18" i="32" s="1"/>
  <c r="BA18" i="32" s="1"/>
  <c r="X69" i="24"/>
  <c r="H69" i="27" s="1"/>
  <c r="BO70" i="32"/>
  <c r="AB70" i="27"/>
  <c r="FK71" i="7" l="1"/>
  <c r="CY70" i="24"/>
  <c r="DA70" i="24" s="1"/>
  <c r="DE70" i="24" s="1"/>
  <c r="DJ70" i="24" s="1"/>
  <c r="DN70" i="24" s="1"/>
  <c r="BN70" i="32"/>
  <c r="AA70" i="27"/>
  <c r="AO18" i="32"/>
  <c r="BB18" i="32"/>
  <c r="AP18" i="32" s="1"/>
  <c r="FI70" i="24"/>
  <c r="FA71" i="24"/>
  <c r="GT70" i="24" a="1"/>
  <c r="GT70" i="24" s="1"/>
  <c r="GS71" i="7"/>
  <c r="GP71" i="7"/>
  <c r="GR71" i="7"/>
  <c r="GQ71" i="7"/>
  <c r="T4" i="32"/>
  <c r="U4" i="32" s="1"/>
  <c r="B3" i="27"/>
  <c r="C98" i="24"/>
  <c r="CE70" i="24" l="1"/>
  <c r="CF70" i="24" s="1"/>
  <c r="DQ70" i="24"/>
  <c r="EO70" i="24"/>
  <c r="EN71" i="24" s="1"/>
  <c r="DO70" i="24"/>
  <c r="AA70" i="24"/>
  <c r="K70" i="27" s="1"/>
  <c r="C3" i="27"/>
  <c r="W4" i="32"/>
  <c r="X4" i="32" s="1"/>
  <c r="GT71" i="7" a="1"/>
  <c r="GT71" i="7" s="1"/>
  <c r="GW70" i="24"/>
  <c r="GU70" i="24"/>
  <c r="GX70" i="24"/>
  <c r="GV70" i="24"/>
  <c r="Y70" i="24"/>
  <c r="I70" i="27" s="1"/>
  <c r="DG70" i="24"/>
  <c r="DX70" i="24" s="1"/>
  <c r="DW71" i="24" s="1"/>
  <c r="EA71" i="24" s="1"/>
  <c r="DF70" i="24"/>
  <c r="BS71" i="24" s="1"/>
  <c r="CH70" i="24" l="1"/>
  <c r="CI70" i="24"/>
  <c r="C104" i="24"/>
  <c r="AX33" i="32" s="1"/>
  <c r="B104" i="24"/>
  <c r="AU33" i="32" s="1"/>
  <c r="CL70" i="24"/>
  <c r="GU71" i="7"/>
  <c r="BW71" i="7" s="1"/>
  <c r="GW71" i="7"/>
  <c r="GX71" i="7"/>
  <c r="GV71" i="7"/>
  <c r="BX71" i="7" s="1"/>
  <c r="AE71" i="24"/>
  <c r="O71" i="27" s="1"/>
  <c r="ES71" i="24"/>
  <c r="GM71" i="24"/>
  <c r="AC71" i="24"/>
  <c r="M71" i="27" s="1"/>
  <c r="EB71" i="24"/>
  <c r="GK71" i="24"/>
  <c r="AB70" i="24"/>
  <c r="L70" i="27" s="1"/>
  <c r="EV70" i="24"/>
  <c r="EU71" i="24" s="1"/>
  <c r="CP71" i="24" s="1"/>
  <c r="AG71" i="24" s="1"/>
  <c r="Q71" i="27" s="1"/>
  <c r="CJ70" i="24" l="1"/>
  <c r="W70" i="24"/>
  <c r="G70" i="27" s="1"/>
  <c r="BT71" i="32"/>
  <c r="AG71" i="27"/>
  <c r="DZ71" i="7"/>
  <c r="BY71" i="7"/>
  <c r="GC71" i="7"/>
  <c r="EH71" i="7"/>
  <c r="EE72" i="7" s="1"/>
  <c r="EI72" i="7" s="1"/>
  <c r="GD71" i="7"/>
  <c r="Z71" i="7"/>
  <c r="BV71" i="32"/>
  <c r="AI71" i="27"/>
  <c r="GG70" i="24"/>
  <c r="V70" i="24"/>
  <c r="F70" i="27" s="1"/>
  <c r="GH70" i="24"/>
  <c r="B99" i="24"/>
  <c r="CK70" i="24"/>
  <c r="GN71" i="24"/>
  <c r="AF71" i="24"/>
  <c r="P71" i="27" s="1"/>
  <c r="FB71" i="24"/>
  <c r="EZ71" i="24"/>
  <c r="FK71" i="24" s="1"/>
  <c r="EJ72" i="7" l="1"/>
  <c r="BQ70" i="32"/>
  <c r="AD70" i="27"/>
  <c r="T5" i="32"/>
  <c r="U5" i="32" s="1"/>
  <c r="B4" i="27"/>
  <c r="C99" i="24"/>
  <c r="GL72" i="7"/>
  <c r="AD72" i="7"/>
  <c r="GR71" i="24"/>
  <c r="GS71" i="24"/>
  <c r="GQ71" i="24"/>
  <c r="GP71" i="24"/>
  <c r="BP70" i="32"/>
  <c r="AC70" i="27"/>
  <c r="CB71" i="7"/>
  <c r="CR71" i="7" s="1"/>
  <c r="EX71" i="7"/>
  <c r="FH71" i="7" s="1"/>
  <c r="GE71" i="7"/>
  <c r="BZ71" i="7"/>
  <c r="BW71" i="32"/>
  <c r="AJ71" i="27"/>
  <c r="CY71" i="7" l="1"/>
  <c r="CV71" i="7"/>
  <c r="C4" i="27"/>
  <c r="W5" i="32"/>
  <c r="X5" i="32" s="1"/>
  <c r="GT71" i="24" a="1"/>
  <c r="GT71" i="24" s="1"/>
  <c r="GF71" i="7"/>
  <c r="EQ71" i="7"/>
  <c r="FI71" i="7"/>
  <c r="FA72" i="7"/>
  <c r="CA71" i="7"/>
  <c r="CD71" i="7" s="1"/>
  <c r="GW71" i="24" l="1"/>
  <c r="GX71" i="24"/>
  <c r="GU71" i="24"/>
  <c r="BW71" i="24" s="1"/>
  <c r="GV71" i="24"/>
  <c r="BX71" i="24" s="1"/>
  <c r="CL71" i="7"/>
  <c r="CJ71" i="7"/>
  <c r="DA71" i="7"/>
  <c r="DE71" i="7" s="1"/>
  <c r="DJ71" i="7" s="1"/>
  <c r="DN71" i="7" s="1"/>
  <c r="GG71" i="7" l="1"/>
  <c r="CK71" i="7"/>
  <c r="GH71" i="7"/>
  <c r="V71" i="7"/>
  <c r="EH71" i="24"/>
  <c r="EE72" i="24" s="1"/>
  <c r="EI72" i="24" s="1"/>
  <c r="GD71" i="24"/>
  <c r="Z71" i="24"/>
  <c r="J71" i="27" s="1"/>
  <c r="BY71" i="24"/>
  <c r="DZ71" i="24"/>
  <c r="GC71" i="24"/>
  <c r="DQ71" i="7"/>
  <c r="AA71" i="7"/>
  <c r="EO71" i="7"/>
  <c r="EN72" i="7" s="1"/>
  <c r="DO71" i="7"/>
  <c r="Y71" i="7"/>
  <c r="DG71" i="7"/>
  <c r="DX71" i="7" s="1"/>
  <c r="DW72" i="7" s="1"/>
  <c r="EA72" i="7" s="1"/>
  <c r="DF71" i="7"/>
  <c r="BS72" i="7" s="1"/>
  <c r="EJ72" i="24" l="1"/>
  <c r="CB71" i="24"/>
  <c r="CR71" i="24" s="1"/>
  <c r="EX71" i="24"/>
  <c r="FH71" i="24" s="1"/>
  <c r="GE71" i="24"/>
  <c r="ES72" i="7"/>
  <c r="GM72" i="7"/>
  <c r="AE72" i="7"/>
  <c r="EV71" i="7"/>
  <c r="EU72" i="7" s="1"/>
  <c r="CP72" i="7" s="1"/>
  <c r="AG72" i="7" s="1"/>
  <c r="AB71" i="7"/>
  <c r="AD72" i="24"/>
  <c r="N72" i="27" s="1"/>
  <c r="GL72" i="24"/>
  <c r="BL71" i="32"/>
  <c r="Y71" i="27"/>
  <c r="BZ71" i="24"/>
  <c r="BM71" i="32"/>
  <c r="Z71" i="27"/>
  <c r="AC72" i="7"/>
  <c r="GK72" i="7"/>
  <c r="EB72" i="7"/>
  <c r="GF71" i="24" l="1"/>
  <c r="EQ71" i="24"/>
  <c r="CA71" i="24"/>
  <c r="CD71" i="24" s="1"/>
  <c r="FB72" i="7"/>
  <c r="EZ72" i="7"/>
  <c r="FK72" i="7" s="1"/>
  <c r="AF72" i="7"/>
  <c r="GN72" i="7"/>
  <c r="BN71" i="32"/>
  <c r="AA71" i="27"/>
  <c r="BU72" i="32"/>
  <c r="AH72" i="27"/>
  <c r="FI71" i="24"/>
  <c r="FA72" i="24"/>
  <c r="CY71" i="24"/>
  <c r="CV71" i="24"/>
  <c r="GS72" i="7" l="1"/>
  <c r="GP72" i="7"/>
  <c r="GQ72" i="7"/>
  <c r="GR72" i="7"/>
  <c r="BO71" i="32"/>
  <c r="AB71" i="27"/>
  <c r="DA71" i="24"/>
  <c r="DE71" i="24" s="1"/>
  <c r="CL71" i="24"/>
  <c r="CJ71" i="24"/>
  <c r="GT72" i="7" l="1" a="1"/>
  <c r="GT72" i="7" s="1"/>
  <c r="GW72" i="7" s="1"/>
  <c r="GH71" i="24"/>
  <c r="GG71" i="24"/>
  <c r="CK71" i="24"/>
  <c r="V71" i="24"/>
  <c r="F71" i="27" s="1"/>
  <c r="DJ71" i="24"/>
  <c r="DN71" i="24" s="1"/>
  <c r="DG71" i="24"/>
  <c r="DX71" i="24" s="1"/>
  <c r="DW72" i="24" s="1"/>
  <c r="EA72" i="24" s="1"/>
  <c r="DF71" i="24"/>
  <c r="BS72" i="24" s="1"/>
  <c r="Y71" i="24"/>
  <c r="I71" i="27" s="1"/>
  <c r="GU72" i="7" l="1"/>
  <c r="BW72" i="7" s="1"/>
  <c r="DZ72" i="7" s="1"/>
  <c r="GX72" i="7"/>
  <c r="GV72" i="7"/>
  <c r="BX72" i="7" s="1"/>
  <c r="GD72" i="7" s="1"/>
  <c r="BP71" i="32"/>
  <c r="AC71" i="27"/>
  <c r="BQ71" i="32"/>
  <c r="AD71" i="27"/>
  <c r="BY72" i="7"/>
  <c r="GC72" i="7"/>
  <c r="EB72" i="24"/>
  <c r="AC72" i="24"/>
  <c r="M72" i="27" s="1"/>
  <c r="GK72" i="24"/>
  <c r="EO71" i="24"/>
  <c r="EN72" i="24" s="1"/>
  <c r="AA71" i="24"/>
  <c r="K71" i="27" s="1"/>
  <c r="DO71" i="24"/>
  <c r="DQ71" i="24"/>
  <c r="BZ72" i="7" l="1"/>
  <c r="CA72" i="7" s="1"/>
  <c r="CD72" i="7" s="1"/>
  <c r="Z72" i="7"/>
  <c r="EH72" i="7"/>
  <c r="EE73" i="7" s="1"/>
  <c r="AD73" i="7" s="1"/>
  <c r="EQ72" i="7"/>
  <c r="BT72" i="32"/>
  <c r="AG72" i="27"/>
  <c r="CB72" i="7"/>
  <c r="CR72" i="7" s="1"/>
  <c r="EX72" i="7"/>
  <c r="FH72" i="7" s="1"/>
  <c r="GE72" i="7"/>
  <c r="AB71" i="24"/>
  <c r="L71" i="27" s="1"/>
  <c r="EV71" i="24"/>
  <c r="EU72" i="24" s="1"/>
  <c r="ES72" i="24"/>
  <c r="AE72" i="24"/>
  <c r="O72" i="27" s="1"/>
  <c r="GM72" i="24"/>
  <c r="EI73" i="7"/>
  <c r="EJ73" i="7"/>
  <c r="GL73" i="7" l="1"/>
  <c r="GF72" i="7"/>
  <c r="FI72" i="7"/>
  <c r="FA73" i="7"/>
  <c r="CV72" i="7"/>
  <c r="CY72" i="7"/>
  <c r="CJ72" i="7"/>
  <c r="CL72" i="7"/>
  <c r="BV72" i="32"/>
  <c r="AI72" i="27"/>
  <c r="FB72" i="24"/>
  <c r="EZ72" i="24"/>
  <c r="FK72" i="24" s="1"/>
  <c r="AF72" i="24"/>
  <c r="P72" i="27" s="1"/>
  <c r="GN72" i="24"/>
  <c r="CP72" i="24"/>
  <c r="AG72" i="24" s="1"/>
  <c r="Q72" i="27" s="1"/>
  <c r="GG72" i="7" l="1"/>
  <c r="V72" i="7"/>
  <c r="CK72" i="7"/>
  <c r="GH72" i="7"/>
  <c r="BW72" i="32"/>
  <c r="AJ72" i="27"/>
  <c r="DA72" i="7"/>
  <c r="DE72" i="7" s="1"/>
  <c r="DJ72" i="7" s="1"/>
  <c r="DN72" i="7" s="1"/>
  <c r="GP72" i="24"/>
  <c r="GT72" i="24" s="1" a="1"/>
  <c r="GT72" i="24" s="1"/>
  <c r="GS72" i="24"/>
  <c r="GQ72" i="24"/>
  <c r="GR72" i="24"/>
  <c r="DQ72" i="7" l="1"/>
  <c r="EO72" i="7"/>
  <c r="EN73" i="7" s="1"/>
  <c r="AA72" i="7"/>
  <c r="DO72" i="7"/>
  <c r="DG72" i="7"/>
  <c r="DX72" i="7" s="1"/>
  <c r="DW73" i="7" s="1"/>
  <c r="EA73" i="7" s="1"/>
  <c r="Y72" i="7"/>
  <c r="DF72" i="7"/>
  <c r="BS73" i="7" s="1"/>
  <c r="GU72" i="24"/>
  <c r="BW72" i="24" s="1"/>
  <c r="GX72" i="24"/>
  <c r="GW72" i="24"/>
  <c r="GV72" i="24"/>
  <c r="BX72" i="24" s="1"/>
  <c r="EB73" i="7" l="1"/>
  <c r="GK73" i="7"/>
  <c r="AC73" i="7"/>
  <c r="Z72" i="24"/>
  <c r="J72" i="27" s="1"/>
  <c r="GD72" i="24"/>
  <c r="EH72" i="24"/>
  <c r="EE73" i="24" s="1"/>
  <c r="EJ73" i="24" s="1"/>
  <c r="DZ72" i="24"/>
  <c r="GC72" i="24"/>
  <c r="BY72" i="24"/>
  <c r="BZ72" i="24" s="1"/>
  <c r="GM73" i="7"/>
  <c r="AE73" i="7"/>
  <c r="ES73" i="7"/>
  <c r="AB72" i="7"/>
  <c r="EV72" i="7"/>
  <c r="EU73" i="7" s="1"/>
  <c r="EI73" i="24" l="1"/>
  <c r="CB72" i="24"/>
  <c r="CR72" i="24" s="1"/>
  <c r="CV72" i="24" s="1"/>
  <c r="GF72" i="24"/>
  <c r="EQ72" i="24"/>
  <c r="GL73" i="24"/>
  <c r="AD73" i="24"/>
  <c r="N73" i="27" s="1"/>
  <c r="BM72" i="32"/>
  <c r="Z72" i="27"/>
  <c r="GE72" i="24"/>
  <c r="EX72" i="24"/>
  <c r="FH72" i="24" s="1"/>
  <c r="GN73" i="7"/>
  <c r="EZ73" i="7"/>
  <c r="FK73" i="7" s="1"/>
  <c r="FB73" i="7"/>
  <c r="AF73" i="7"/>
  <c r="BL72" i="32"/>
  <c r="Y72" i="27"/>
  <c r="CA72" i="24"/>
  <c r="CD72" i="24" s="1"/>
  <c r="CP73" i="7"/>
  <c r="AG73" i="7" s="1"/>
  <c r="CY72" i="24" l="1"/>
  <c r="DA72" i="24" s="1"/>
  <c r="DE72" i="24" s="1"/>
  <c r="GP73" i="7"/>
  <c r="GQ73" i="7"/>
  <c r="GR73" i="7"/>
  <c r="GS73" i="7"/>
  <c r="CL72" i="24"/>
  <c r="CJ72" i="24"/>
  <c r="BU73" i="32"/>
  <c r="AH73" i="27"/>
  <c r="FI72" i="24"/>
  <c r="FA73" i="24"/>
  <c r="BN72" i="32"/>
  <c r="AA72" i="27"/>
  <c r="BO72" i="32"/>
  <c r="AB72" i="27"/>
  <c r="CK72" i="24" l="1"/>
  <c r="V72" i="24"/>
  <c r="F72" i="27" s="1"/>
  <c r="GG72" i="24"/>
  <c r="GH72" i="24"/>
  <c r="DG72" i="24"/>
  <c r="DX72" i="24" s="1"/>
  <c r="DW73" i="24" s="1"/>
  <c r="EA73" i="24" s="1"/>
  <c r="DF72" i="24"/>
  <c r="BS73" i="24" s="1"/>
  <c r="Y72" i="24"/>
  <c r="I72" i="27" s="1"/>
  <c r="GT73" i="7" a="1"/>
  <c r="GT73" i="7" s="1"/>
  <c r="DJ72" i="24"/>
  <c r="DN72" i="24" s="1"/>
  <c r="GV73" i="7" l="1"/>
  <c r="BX73" i="7" s="1"/>
  <c r="GU73" i="7"/>
  <c r="BW73" i="7" s="1"/>
  <c r="GX73" i="7"/>
  <c r="GW73" i="7"/>
  <c r="EB73" i="24"/>
  <c r="AC73" i="24"/>
  <c r="M73" i="27" s="1"/>
  <c r="GK73" i="24"/>
  <c r="BQ72" i="32"/>
  <c r="AD72" i="27"/>
  <c r="DO72" i="24"/>
  <c r="EO72" i="24"/>
  <c r="EN73" i="24" s="1"/>
  <c r="AA72" i="24"/>
  <c r="K72" i="27" s="1"/>
  <c r="BP72" i="32"/>
  <c r="AC72" i="27"/>
  <c r="DQ72" i="24"/>
  <c r="BT73" i="32" l="1"/>
  <c r="AG73" i="27"/>
  <c r="EV72" i="24"/>
  <c r="EU73" i="24" s="1"/>
  <c r="AB72" i="24"/>
  <c r="L72" i="27" s="1"/>
  <c r="GM73" i="24"/>
  <c r="AE73" i="24"/>
  <c r="O73" i="27" s="1"/>
  <c r="ES73" i="24"/>
  <c r="GC73" i="7"/>
  <c r="DZ73" i="7"/>
  <c r="BY73" i="7"/>
  <c r="CB73" i="7" s="1"/>
  <c r="CR73" i="7" s="1"/>
  <c r="EH73" i="7"/>
  <c r="EE74" i="7" s="1"/>
  <c r="GD73" i="7"/>
  <c r="Z73" i="7"/>
  <c r="EI74" i="7"/>
  <c r="EJ74" i="7"/>
  <c r="CY73" i="7" l="1"/>
  <c r="CV73" i="7"/>
  <c r="GL74" i="7"/>
  <c r="AD74" i="7"/>
  <c r="BV73" i="32"/>
  <c r="AI73" i="27"/>
  <c r="GE73" i="7"/>
  <c r="EX73" i="7"/>
  <c r="FH73" i="7" s="1"/>
  <c r="FB73" i="24"/>
  <c r="GN73" i="24"/>
  <c r="EZ73" i="24"/>
  <c r="FK73" i="24" s="1"/>
  <c r="AF73" i="24"/>
  <c r="P73" i="27" s="1"/>
  <c r="CP73" i="24"/>
  <c r="AG73" i="24" s="1"/>
  <c r="Q73" i="27" s="1"/>
  <c r="BZ73" i="7"/>
  <c r="BW73" i="32" l="1"/>
  <c r="AJ73" i="27"/>
  <c r="GR73" i="24"/>
  <c r="GS73" i="24"/>
  <c r="GP73" i="24"/>
  <c r="GQ73" i="24"/>
  <c r="FI73" i="7"/>
  <c r="FA74" i="7"/>
  <c r="EQ73" i="7"/>
  <c r="GF73" i="7"/>
  <c r="CA73" i="7"/>
  <c r="CD73" i="7" s="1"/>
  <c r="DA73" i="7"/>
  <c r="DE73" i="7" s="1"/>
  <c r="DJ73" i="7" l="1"/>
  <c r="DN73" i="7" s="1"/>
  <c r="DQ73" i="7" s="1"/>
  <c r="DG73" i="7"/>
  <c r="DX73" i="7" s="1"/>
  <c r="DW74" i="7" s="1"/>
  <c r="Y73" i="7"/>
  <c r="DF73" i="7"/>
  <c r="BS74" i="7" s="1"/>
  <c r="GT73" i="24" a="1"/>
  <c r="GT73" i="24" s="1"/>
  <c r="CJ73" i="7"/>
  <c r="CL73" i="7"/>
  <c r="EA74" i="7"/>
  <c r="V73" i="7" l="1"/>
  <c r="CK73" i="7"/>
  <c r="GG73" i="7"/>
  <c r="GH73" i="7"/>
  <c r="GX73" i="24"/>
  <c r="GW73" i="24"/>
  <c r="GV73" i="24"/>
  <c r="BX73" i="24" s="1"/>
  <c r="GU73" i="24"/>
  <c r="BW73" i="24" s="1"/>
  <c r="AC74" i="7"/>
  <c r="GK74" i="7"/>
  <c r="EB74" i="7"/>
  <c r="AB73" i="7"/>
  <c r="EV73" i="7"/>
  <c r="EU74" i="7" s="1"/>
  <c r="DO73" i="7"/>
  <c r="EO73" i="7"/>
  <c r="EN74" i="7" s="1"/>
  <c r="CP74" i="7" s="1"/>
  <c r="AG74" i="7" s="1"/>
  <c r="AA73" i="7"/>
  <c r="GD73" i="24" l="1"/>
  <c r="EH73" i="24"/>
  <c r="EE74" i="24" s="1"/>
  <c r="Z73" i="24"/>
  <c r="J73" i="27" s="1"/>
  <c r="GN74" i="7"/>
  <c r="EZ74" i="7"/>
  <c r="AF74" i="7"/>
  <c r="FB74" i="7"/>
  <c r="DZ73" i="24"/>
  <c r="BY73" i="24"/>
  <c r="CB73" i="24" s="1"/>
  <c r="CR73" i="24" s="1"/>
  <c r="GC73" i="24"/>
  <c r="ES74" i="7"/>
  <c r="GM74" i="7"/>
  <c r="AE74" i="7"/>
  <c r="EJ74" i="24"/>
  <c r="EI74" i="24"/>
  <c r="FK74" i="7" l="1"/>
  <c r="GP74" i="7" s="1"/>
  <c r="GE73" i="24"/>
  <c r="EX73" i="24"/>
  <c r="FH73" i="24" s="1"/>
  <c r="CY73" i="24"/>
  <c r="CV73" i="24"/>
  <c r="AD74" i="24"/>
  <c r="N74" i="27" s="1"/>
  <c r="GL74" i="24"/>
  <c r="BL73" i="32"/>
  <c r="Y73" i="27"/>
  <c r="BM73" i="32"/>
  <c r="Z73" i="27"/>
  <c r="BZ73" i="24"/>
  <c r="CA73" i="24" s="1"/>
  <c r="CD73" i="24" s="1"/>
  <c r="GQ74" i="7" l="1"/>
  <c r="GS74" i="7"/>
  <c r="GR74" i="7"/>
  <c r="CJ73" i="24"/>
  <c r="CL73" i="24"/>
  <c r="FI73" i="24"/>
  <c r="FA74" i="24"/>
  <c r="BN73" i="32"/>
  <c r="AA73" i="27"/>
  <c r="BU74" i="32"/>
  <c r="AH74" i="27"/>
  <c r="GF73" i="24"/>
  <c r="EQ73" i="24"/>
  <c r="DA73" i="24"/>
  <c r="DE73" i="24" s="1"/>
  <c r="DJ73" i="24" s="1"/>
  <c r="DN73" i="24" s="1"/>
  <c r="GT74" i="7" a="1"/>
  <c r="GT74" i="7" s="1"/>
  <c r="EO73" i="24" l="1"/>
  <c r="EN74" i="24" s="1"/>
  <c r="DO73" i="24"/>
  <c r="AA73" i="24"/>
  <c r="K73" i="27" s="1"/>
  <c r="DQ73" i="24"/>
  <c r="DG73" i="24"/>
  <c r="DX73" i="24" s="1"/>
  <c r="DW74" i="24" s="1"/>
  <c r="EA74" i="24" s="1"/>
  <c r="Y73" i="24"/>
  <c r="I73" i="27" s="1"/>
  <c r="DF73" i="24"/>
  <c r="BS74" i="24" s="1"/>
  <c r="GU74" i="7"/>
  <c r="BW74" i="7" s="1"/>
  <c r="GV74" i="7"/>
  <c r="BX74" i="7" s="1"/>
  <c r="GX74" i="7"/>
  <c r="GW74" i="7"/>
  <c r="BO73" i="32"/>
  <c r="AB73" i="27"/>
  <c r="GH73" i="24"/>
  <c r="CK73" i="24"/>
  <c r="GG73" i="24"/>
  <c r="V73" i="24"/>
  <c r="F73" i="27" s="1"/>
  <c r="AC74" i="24" l="1"/>
  <c r="M74" i="27" s="1"/>
  <c r="GK74" i="24"/>
  <c r="EB74" i="24"/>
  <c r="BQ73" i="32"/>
  <c r="AD73" i="27"/>
  <c r="AB73" i="24"/>
  <c r="L73" i="27" s="1"/>
  <c r="EV73" i="24"/>
  <c r="EU74" i="24" s="1"/>
  <c r="Z74" i="7"/>
  <c r="GD74" i="7"/>
  <c r="EH74" i="7"/>
  <c r="EE75" i="7" s="1"/>
  <c r="BP73" i="32"/>
  <c r="AC73" i="27"/>
  <c r="DZ74" i="7"/>
  <c r="BY74" i="7"/>
  <c r="GC74" i="7"/>
  <c r="GM74" i="24"/>
  <c r="ES74" i="24"/>
  <c r="AE74" i="24"/>
  <c r="O74" i="27" s="1"/>
  <c r="EJ75" i="7"/>
  <c r="EI75" i="7"/>
  <c r="FB74" i="24" l="1"/>
  <c r="EZ74" i="24"/>
  <c r="FK74" i="24" s="1"/>
  <c r="GN74" i="24"/>
  <c r="AF74" i="24"/>
  <c r="P74" i="27" s="1"/>
  <c r="CB74" i="7"/>
  <c r="CR74" i="7" s="1"/>
  <c r="GE74" i="7"/>
  <c r="EX74" i="7"/>
  <c r="FH74" i="7" s="1"/>
  <c r="CP74" i="24"/>
  <c r="AG74" i="24" s="1"/>
  <c r="Q74" i="27" s="1"/>
  <c r="GL75" i="7"/>
  <c r="AD75" i="7"/>
  <c r="BZ74" i="7"/>
  <c r="BT74" i="32"/>
  <c r="AG74" i="27"/>
  <c r="BV74" i="32"/>
  <c r="AI74" i="27"/>
  <c r="CY74" i="7" l="1"/>
  <c r="CV74" i="7"/>
  <c r="FI74" i="7"/>
  <c r="FA75" i="7"/>
  <c r="GF74" i="7"/>
  <c r="EQ74" i="7"/>
  <c r="BW74" i="32"/>
  <c r="AJ74" i="27"/>
  <c r="GS74" i="24"/>
  <c r="GR74" i="24"/>
  <c r="GP74" i="24"/>
  <c r="GQ74" i="24"/>
  <c r="CA74" i="7"/>
  <c r="CD74" i="7" s="1"/>
  <c r="GT74" i="24" l="1" a="1"/>
  <c r="GT74" i="24" s="1"/>
  <c r="DA74" i="7"/>
  <c r="DE74" i="7" s="1"/>
  <c r="DJ74" i="7" s="1"/>
  <c r="DN74" i="7" s="1"/>
  <c r="CJ74" i="7"/>
  <c r="CL74" i="7"/>
  <c r="CK74" i="7" l="1"/>
  <c r="GH74" i="7"/>
  <c r="V74" i="7"/>
  <c r="GG74" i="7"/>
  <c r="EO74" i="7"/>
  <c r="EN75" i="7" s="1"/>
  <c r="AA74" i="7"/>
  <c r="DO74" i="7"/>
  <c r="DQ74" i="7"/>
  <c r="Y74" i="7"/>
  <c r="DF74" i="7"/>
  <c r="BS75" i="7" s="1"/>
  <c r="DG74" i="7"/>
  <c r="DX74" i="7" s="1"/>
  <c r="DW75" i="7" s="1"/>
  <c r="GU74" i="24"/>
  <c r="BW74" i="24" s="1"/>
  <c r="GW74" i="24"/>
  <c r="GV74" i="24"/>
  <c r="BX74" i="24" s="1"/>
  <c r="GX74" i="24"/>
  <c r="EA75" i="7"/>
  <c r="AE75" i="7" l="1"/>
  <c r="GM75" i="7"/>
  <c r="ES75" i="7"/>
  <c r="Z74" i="24"/>
  <c r="J74" i="27" s="1"/>
  <c r="GD74" i="24"/>
  <c r="EH74" i="24"/>
  <c r="EE75" i="24" s="1"/>
  <c r="EJ75" i="24" s="1"/>
  <c r="BY74" i="24"/>
  <c r="CB74" i="24" s="1"/>
  <c r="CR74" i="24" s="1"/>
  <c r="DZ74" i="24"/>
  <c r="GC74" i="24"/>
  <c r="AB74" i="7"/>
  <c r="EV74" i="7"/>
  <c r="EU75" i="7" s="1"/>
  <c r="GK75" i="7"/>
  <c r="AC75" i="7"/>
  <c r="EB75" i="7"/>
  <c r="EI75" i="24"/>
  <c r="FB75" i="7" l="1"/>
  <c r="GN75" i="7"/>
  <c r="EZ75" i="7"/>
  <c r="AF75" i="7"/>
  <c r="EX74" i="24"/>
  <c r="FH74" i="24" s="1"/>
  <c r="GE74" i="24"/>
  <c r="GL75" i="24"/>
  <c r="AD75" i="24"/>
  <c r="N75" i="27" s="1"/>
  <c r="BM74" i="32"/>
  <c r="Z74" i="27"/>
  <c r="CV74" i="24"/>
  <c r="CY74" i="24"/>
  <c r="FK75" i="7"/>
  <c r="BL74" i="32"/>
  <c r="Y74" i="27"/>
  <c r="CP75" i="7"/>
  <c r="AG75" i="7" s="1"/>
  <c r="BZ74" i="24"/>
  <c r="CA74" i="24" s="1"/>
  <c r="CD74" i="24" s="1"/>
  <c r="CJ74" i="24" l="1"/>
  <c r="CL74" i="24"/>
  <c r="DA74" i="24"/>
  <c r="DE74" i="24" s="1"/>
  <c r="DJ74" i="24" s="1"/>
  <c r="DN74" i="24" s="1"/>
  <c r="GQ75" i="7"/>
  <c r="GR75" i="7"/>
  <c r="GS75" i="7"/>
  <c r="GP75" i="7"/>
  <c r="FI74" i="24"/>
  <c r="FA75" i="24"/>
  <c r="GF74" i="24"/>
  <c r="EQ74" i="24"/>
  <c r="BN74" i="32"/>
  <c r="AA74" i="27"/>
  <c r="BU75" i="32"/>
  <c r="AH75" i="27"/>
  <c r="GT75" i="7" l="1" a="1"/>
  <c r="GT75" i="7" s="1"/>
  <c r="GW75" i="7" s="1"/>
  <c r="DQ74" i="24"/>
  <c r="EO74" i="24"/>
  <c r="EN75" i="24" s="1"/>
  <c r="DO74" i="24"/>
  <c r="AA74" i="24"/>
  <c r="K74" i="27" s="1"/>
  <c r="BO74" i="32"/>
  <c r="AB74" i="27"/>
  <c r="DG74" i="24"/>
  <c r="DX74" i="24" s="1"/>
  <c r="DW75" i="24" s="1"/>
  <c r="EA75" i="24" s="1"/>
  <c r="Y74" i="24"/>
  <c r="I74" i="27" s="1"/>
  <c r="DF74" i="24"/>
  <c r="BS75" i="24" s="1"/>
  <c r="CK74" i="24"/>
  <c r="V74" i="24"/>
  <c r="F74" i="27" s="1"/>
  <c r="GG74" i="24"/>
  <c r="GH74" i="24"/>
  <c r="GV75" i="7" l="1"/>
  <c r="BX75" i="7" s="1"/>
  <c r="EH75" i="7" s="1"/>
  <c r="EE76" i="7" s="1"/>
  <c r="GX75" i="7"/>
  <c r="GU75" i="7"/>
  <c r="BW75" i="7" s="1"/>
  <c r="GC75" i="7" s="1"/>
  <c r="EB75" i="24"/>
  <c r="AC75" i="24"/>
  <c r="M75" i="27" s="1"/>
  <c r="GK75" i="24"/>
  <c r="BQ74" i="32"/>
  <c r="AD74" i="27"/>
  <c r="GM75" i="24"/>
  <c r="AE75" i="24"/>
  <c r="O75" i="27" s="1"/>
  <c r="ES75" i="24"/>
  <c r="BP74" i="32"/>
  <c r="AC74" i="27"/>
  <c r="AB74" i="24"/>
  <c r="L74" i="27" s="1"/>
  <c r="EV74" i="24"/>
  <c r="EU75" i="24" s="1"/>
  <c r="EI76" i="7"/>
  <c r="EJ76" i="7"/>
  <c r="GD75" i="7" l="1"/>
  <c r="Z75" i="7"/>
  <c r="DZ75" i="7"/>
  <c r="BY75" i="7"/>
  <c r="BZ75" i="7" s="1"/>
  <c r="EQ75" i="7" s="1"/>
  <c r="BV75" i="32"/>
  <c r="AI75" i="27"/>
  <c r="EZ75" i="24"/>
  <c r="FK75" i="24" s="1"/>
  <c r="AF75" i="24"/>
  <c r="P75" i="27" s="1"/>
  <c r="GN75" i="24"/>
  <c r="FB75" i="24"/>
  <c r="BT75" i="32"/>
  <c r="AG75" i="27"/>
  <c r="CP75" i="24"/>
  <c r="AG75" i="24" s="1"/>
  <c r="Q75" i="27" s="1"/>
  <c r="AD76" i="7"/>
  <c r="GL76" i="7"/>
  <c r="EX75" i="7" l="1"/>
  <c r="FH75" i="7" s="1"/>
  <c r="FI75" i="7" s="1"/>
  <c r="GE75" i="7"/>
  <c r="CB75" i="7"/>
  <c r="CR75" i="7" s="1"/>
  <c r="CV75" i="7" s="1"/>
  <c r="CA75" i="7"/>
  <c r="CD75" i="7" s="1"/>
  <c r="GF75" i="7"/>
  <c r="GQ75" i="24"/>
  <c r="GS75" i="24"/>
  <c r="GR75" i="24"/>
  <c r="GP75" i="24"/>
  <c r="BW75" i="32"/>
  <c r="AJ75" i="27"/>
  <c r="CY75" i="7" l="1"/>
  <c r="DA75" i="7" s="1"/>
  <c r="DE75" i="7" s="1"/>
  <c r="DJ75" i="7" s="1"/>
  <c r="DN75" i="7" s="1"/>
  <c r="CL75" i="7"/>
  <c r="FA76" i="7"/>
  <c r="CJ75" i="7"/>
  <c r="V75" i="7" s="1"/>
  <c r="GT75" i="24" a="1"/>
  <c r="GT75" i="24" s="1"/>
  <c r="CK75" i="7" l="1"/>
  <c r="GG75" i="7"/>
  <c r="GH75" i="7"/>
  <c r="EO75" i="7"/>
  <c r="EN76" i="7" s="1"/>
  <c r="DO75" i="7"/>
  <c r="AA75" i="7"/>
  <c r="GU75" i="24"/>
  <c r="BW75" i="24" s="1"/>
  <c r="GW75" i="24"/>
  <c r="GX75" i="24"/>
  <c r="GV75" i="24"/>
  <c r="BX75" i="24" s="1"/>
  <c r="DQ75" i="7"/>
  <c r="DF75" i="7"/>
  <c r="BS76" i="7" s="1"/>
  <c r="DG75" i="7"/>
  <c r="DX75" i="7" s="1"/>
  <c r="DW76" i="7" s="1"/>
  <c r="Y75" i="7"/>
  <c r="EA76" i="7"/>
  <c r="AC76" i="7" l="1"/>
  <c r="EB76" i="7"/>
  <c r="GK76" i="7"/>
  <c r="BY75" i="24"/>
  <c r="BZ75" i="24" s="1"/>
  <c r="CA75" i="24" s="1"/>
  <c r="CD75" i="24" s="1"/>
  <c r="DZ75" i="24"/>
  <c r="GC75" i="24"/>
  <c r="EH75" i="24"/>
  <c r="EE76" i="24" s="1"/>
  <c r="EI76" i="24" s="1"/>
  <c r="Z75" i="24"/>
  <c r="J75" i="27" s="1"/>
  <c r="GD75" i="24"/>
  <c r="AB75" i="7"/>
  <c r="EV75" i="7"/>
  <c r="EU76" i="7" s="1"/>
  <c r="AE76" i="7"/>
  <c r="ES76" i="7"/>
  <c r="GM76" i="7"/>
  <c r="EJ76" i="24" l="1"/>
  <c r="BL75" i="32"/>
  <c r="Y75" i="27"/>
  <c r="GN76" i="7"/>
  <c r="AF76" i="7"/>
  <c r="EZ76" i="7"/>
  <c r="FK76" i="7" s="1"/>
  <c r="FB76" i="7"/>
  <c r="EQ75" i="24"/>
  <c r="GF75" i="24"/>
  <c r="BM75" i="32"/>
  <c r="Z75" i="27"/>
  <c r="GE75" i="24"/>
  <c r="EX75" i="24"/>
  <c r="FH75" i="24" s="1"/>
  <c r="GL76" i="24"/>
  <c r="AD76" i="24"/>
  <c r="N76" i="27" s="1"/>
  <c r="CP76" i="7"/>
  <c r="AG76" i="7" s="1"/>
  <c r="CB75" i="24"/>
  <c r="CR75" i="24" s="1"/>
  <c r="FI75" i="24" l="1"/>
  <c r="FA76" i="24"/>
  <c r="GS76" i="7"/>
  <c r="GR76" i="7"/>
  <c r="GP76" i="7"/>
  <c r="GQ76" i="7"/>
  <c r="BN75" i="32"/>
  <c r="AA75" i="27"/>
  <c r="CV75" i="24"/>
  <c r="CY75" i="24"/>
  <c r="BO75" i="32"/>
  <c r="AB75" i="27"/>
  <c r="CL75" i="24"/>
  <c r="BU76" i="32"/>
  <c r="AH76" i="27"/>
  <c r="CJ75" i="24"/>
  <c r="GT76" i="7" l="1" a="1"/>
  <c r="GT76" i="7" s="1"/>
  <c r="GV76" i="7" s="1"/>
  <c r="BX76" i="7" s="1"/>
  <c r="DA75" i="24"/>
  <c r="DE75" i="24" s="1"/>
  <c r="CK75" i="24"/>
  <c r="V75" i="24"/>
  <c r="F75" i="27" s="1"/>
  <c r="GG75" i="24"/>
  <c r="GH75" i="24"/>
  <c r="GX76" i="7" l="1"/>
  <c r="GW76" i="7"/>
  <c r="GU76" i="7"/>
  <c r="BW76" i="7" s="1"/>
  <c r="DZ76" i="7" s="1"/>
  <c r="DG75" i="24"/>
  <c r="DX75" i="24" s="1"/>
  <c r="DW76" i="24" s="1"/>
  <c r="EA76" i="24" s="1"/>
  <c r="Y75" i="24"/>
  <c r="I75" i="27" s="1"/>
  <c r="DF75" i="24"/>
  <c r="BS76" i="24" s="1"/>
  <c r="DJ75" i="24"/>
  <c r="DN75" i="24" s="1"/>
  <c r="BQ75" i="32"/>
  <c r="AD75" i="27"/>
  <c r="BP75" i="32"/>
  <c r="AC75" i="27"/>
  <c r="GD76" i="7"/>
  <c r="Z76" i="7"/>
  <c r="EH76" i="7"/>
  <c r="EE77" i="7" s="1"/>
  <c r="EI77" i="7" s="1"/>
  <c r="GC76" i="7" l="1"/>
  <c r="BY76" i="7"/>
  <c r="BZ76" i="7" s="1"/>
  <c r="EQ76" i="7" s="1"/>
  <c r="EJ77" i="7"/>
  <c r="CA76" i="7"/>
  <c r="CD76" i="7" s="1"/>
  <c r="EO75" i="24"/>
  <c r="EN76" i="24" s="1"/>
  <c r="DO75" i="24"/>
  <c r="AA75" i="24"/>
  <c r="K75" i="27" s="1"/>
  <c r="AC76" i="24"/>
  <c r="M76" i="27" s="1"/>
  <c r="EB76" i="24"/>
  <c r="GK76" i="24"/>
  <c r="GL77" i="7"/>
  <c r="AD77" i="7"/>
  <c r="DQ75" i="24"/>
  <c r="GF76" i="7" l="1"/>
  <c r="GE76" i="7"/>
  <c r="EX76" i="7"/>
  <c r="FH76" i="7" s="1"/>
  <c r="CB76" i="7"/>
  <c r="CR76" i="7" s="1"/>
  <c r="CY76" i="7" s="1"/>
  <c r="BT76" i="32"/>
  <c r="AG76" i="27"/>
  <c r="GM76" i="24"/>
  <c r="AE76" i="24"/>
  <c r="O76" i="27" s="1"/>
  <c r="ES76" i="24"/>
  <c r="AB75" i="24"/>
  <c r="L75" i="27" s="1"/>
  <c r="EV75" i="24"/>
  <c r="EU76" i="24" s="1"/>
  <c r="FI76" i="7"/>
  <c r="FA77" i="7"/>
  <c r="CJ76" i="7"/>
  <c r="CV76" i="7"/>
  <c r="CL76" i="7" l="1"/>
  <c r="BV76" i="32"/>
  <c r="AI76" i="27"/>
  <c r="FB76" i="24"/>
  <c r="EZ76" i="24"/>
  <c r="FK76" i="24" s="1"/>
  <c r="GN76" i="24"/>
  <c r="AF76" i="24"/>
  <c r="P76" i="27" s="1"/>
  <c r="CK76" i="7"/>
  <c r="GG76" i="7"/>
  <c r="GH76" i="7"/>
  <c r="V76" i="7"/>
  <c r="DA76" i="7"/>
  <c r="DE76" i="7" s="1"/>
  <c r="DJ76" i="7" s="1"/>
  <c r="DN76" i="7" s="1"/>
  <c r="CP76" i="24"/>
  <c r="AG76" i="24" s="1"/>
  <c r="Q76" i="27" s="1"/>
  <c r="DQ76" i="7" l="1"/>
  <c r="EV76" i="7" s="1"/>
  <c r="EU77" i="7" s="1"/>
  <c r="GQ76" i="24"/>
  <c r="GS76" i="24"/>
  <c r="GR76" i="24"/>
  <c r="GP76" i="24"/>
  <c r="BW76" i="32"/>
  <c r="AJ76" i="27"/>
  <c r="DG76" i="7"/>
  <c r="DX76" i="7" s="1"/>
  <c r="DW77" i="7" s="1"/>
  <c r="EA77" i="7" s="1"/>
  <c r="DF76" i="7"/>
  <c r="BS77" i="7" s="1"/>
  <c r="Y76" i="7"/>
  <c r="EO76" i="7"/>
  <c r="EN77" i="7" s="1"/>
  <c r="DO76" i="7"/>
  <c r="AA76" i="7"/>
  <c r="AB76" i="7" l="1"/>
  <c r="GT76" i="24" a="1"/>
  <c r="GT76" i="24" s="1"/>
  <c r="GW76" i="24" s="1"/>
  <c r="GN77" i="7"/>
  <c r="FB77" i="7"/>
  <c r="AF77" i="7"/>
  <c r="EZ77" i="7"/>
  <c r="ES77" i="7"/>
  <c r="AE77" i="7"/>
  <c r="GM77" i="7"/>
  <c r="AC77" i="7"/>
  <c r="EB77" i="7"/>
  <c r="CP77" i="7"/>
  <c r="AG77" i="7" s="1"/>
  <c r="GK77" i="7"/>
  <c r="GV76" i="24" l="1"/>
  <c r="BX76" i="24" s="1"/>
  <c r="GD76" i="24" s="1"/>
  <c r="GU76" i="24"/>
  <c r="BW76" i="24" s="1"/>
  <c r="GX76" i="24"/>
  <c r="FK77" i="7"/>
  <c r="GR77" i="7" s="1"/>
  <c r="EH76" i="24" l="1"/>
  <c r="EE77" i="24" s="1"/>
  <c r="AD77" i="24" s="1"/>
  <c r="N77" i="27" s="1"/>
  <c r="Z76" i="24"/>
  <c r="J76" i="27" s="1"/>
  <c r="BY76" i="24"/>
  <c r="GE76" i="24" s="1"/>
  <c r="GQ77" i="7"/>
  <c r="GP77" i="7"/>
  <c r="GS77" i="7"/>
  <c r="DZ76" i="24"/>
  <c r="BZ76" i="24"/>
  <c r="EQ76" i="24" s="1"/>
  <c r="GC76" i="24"/>
  <c r="BL76" i="32" s="1"/>
  <c r="BM76" i="32"/>
  <c r="Z76" i="27"/>
  <c r="CB76" i="24" l="1"/>
  <c r="CR76" i="24" s="1"/>
  <c r="CY76" i="24" s="1"/>
  <c r="EX76" i="24"/>
  <c r="FH76" i="24" s="1"/>
  <c r="GL77" i="24"/>
  <c r="AH77" i="27" s="1"/>
  <c r="EI77" i="24"/>
  <c r="EJ77" i="24"/>
  <c r="CV76" i="24"/>
  <c r="Y76" i="27"/>
  <c r="GT77" i="7" a="1"/>
  <c r="GT77" i="7" s="1"/>
  <c r="GX77" i="7" s="1"/>
  <c r="CA76" i="24"/>
  <c r="CD76" i="24" s="1"/>
  <c r="CL76" i="24" s="1"/>
  <c r="GF76" i="24"/>
  <c r="BO76" i="32" s="1"/>
  <c r="FI76" i="24"/>
  <c r="FA77" i="24"/>
  <c r="BN76" i="32"/>
  <c r="AA76" i="27"/>
  <c r="DA76" i="24"/>
  <c r="DE76" i="24" s="1"/>
  <c r="DJ76" i="24" s="1"/>
  <c r="DN76" i="24" s="1"/>
  <c r="DQ76" i="24" s="1"/>
  <c r="GU77" i="7" l="1"/>
  <c r="BW77" i="7" s="1"/>
  <c r="DZ77" i="7" s="1"/>
  <c r="BU77" i="32"/>
  <c r="CJ76" i="24"/>
  <c r="V76" i="24" s="1"/>
  <c r="F76" i="27" s="1"/>
  <c r="GW77" i="7"/>
  <c r="GV77" i="7"/>
  <c r="BX77" i="7" s="1"/>
  <c r="Z77" i="7" s="1"/>
  <c r="AB76" i="27"/>
  <c r="GC77" i="7"/>
  <c r="EV76" i="24"/>
  <c r="EU77" i="24" s="1"/>
  <c r="AB76" i="24"/>
  <c r="L76" i="27" s="1"/>
  <c r="AA76" i="24"/>
  <c r="K76" i="27" s="1"/>
  <c r="EO76" i="24"/>
  <c r="EN77" i="24" s="1"/>
  <c r="DO76" i="24"/>
  <c r="DG76" i="24"/>
  <c r="DX76" i="24" s="1"/>
  <c r="DW77" i="24" s="1"/>
  <c r="EA77" i="24" s="1"/>
  <c r="DF76" i="24"/>
  <c r="BS77" i="24" s="1"/>
  <c r="Y76" i="24"/>
  <c r="I76" i="27" s="1"/>
  <c r="GH76" i="24"/>
  <c r="CK76" i="24"/>
  <c r="GG76" i="24" l="1"/>
  <c r="EH77" i="7"/>
  <c r="EE78" i="7" s="1"/>
  <c r="GD77" i="7"/>
  <c r="BY77" i="7"/>
  <c r="AD78" i="7"/>
  <c r="AE77" i="24"/>
  <c r="O77" i="27" s="1"/>
  <c r="ES77" i="24"/>
  <c r="GM77" i="24"/>
  <c r="BP76" i="32"/>
  <c r="AC76" i="27"/>
  <c r="BQ76" i="32"/>
  <c r="AD76" i="27"/>
  <c r="GK77" i="24"/>
  <c r="AC77" i="24"/>
  <c r="M77" i="27" s="1"/>
  <c r="EB77" i="24"/>
  <c r="CP77" i="24"/>
  <c r="AG77" i="24" s="1"/>
  <c r="Q77" i="27" s="1"/>
  <c r="EZ77" i="24"/>
  <c r="AF77" i="24"/>
  <c r="P77" i="27" s="1"/>
  <c r="FB77" i="24"/>
  <c r="GN77" i="24"/>
  <c r="GL78" i="7" l="1"/>
  <c r="EI78" i="7"/>
  <c r="EJ78" i="7"/>
  <c r="GE77" i="7"/>
  <c r="BZ77" i="7"/>
  <c r="CB77" i="7"/>
  <c r="CR77" i="7" s="1"/>
  <c r="EX77" i="7"/>
  <c r="FH77" i="7" s="1"/>
  <c r="BT77" i="32"/>
  <c r="AG77" i="27"/>
  <c r="BW77" i="32"/>
  <c r="AJ77" i="27"/>
  <c r="BV77" i="32"/>
  <c r="AI77" i="27"/>
  <c r="FK77" i="24"/>
  <c r="FA78" i="7" l="1"/>
  <c r="FI77" i="7"/>
  <c r="CV77" i="7"/>
  <c r="CY77" i="7"/>
  <c r="DA77" i="7" s="1"/>
  <c r="DE77" i="7" s="1"/>
  <c r="DG77" i="7" s="1"/>
  <c r="DX77" i="7" s="1"/>
  <c r="DW78" i="7" s="1"/>
  <c r="EA78" i="7" s="1"/>
  <c r="GF77" i="7"/>
  <c r="CA77" i="7"/>
  <c r="CD77" i="7" s="1"/>
  <c r="EQ77" i="7"/>
  <c r="GP77" i="24"/>
  <c r="GR77" i="24"/>
  <c r="GQ77" i="24"/>
  <c r="GS77" i="24"/>
  <c r="DF77" i="7" l="1"/>
  <c r="BS78" i="7" s="1"/>
  <c r="DJ77" i="7"/>
  <c r="DN77" i="7" s="1"/>
  <c r="AA77" i="7" s="1"/>
  <c r="CL77" i="7"/>
  <c r="CJ77" i="7"/>
  <c r="Y77" i="7"/>
  <c r="AC78" i="7"/>
  <c r="GK78" i="7"/>
  <c r="EB78" i="7"/>
  <c r="GT77" i="24" a="1"/>
  <c r="GT77" i="24" s="1"/>
  <c r="DO77" i="7"/>
  <c r="DQ77" i="7" l="1"/>
  <c r="EO77" i="7"/>
  <c r="EN78" i="7" s="1"/>
  <c r="CK77" i="7"/>
  <c r="GG77" i="7"/>
  <c r="V77" i="7"/>
  <c r="GH77" i="7"/>
  <c r="GX77" i="24"/>
  <c r="GW77" i="24"/>
  <c r="GU77" i="24"/>
  <c r="BW77" i="24" s="1"/>
  <c r="GV77" i="24"/>
  <c r="BX77" i="24" s="1"/>
  <c r="AB77" i="7"/>
  <c r="EV77" i="7"/>
  <c r="EU78" i="7" s="1"/>
  <c r="AE78" i="7"/>
  <c r="ES78" i="7"/>
  <c r="GM78" i="7"/>
  <c r="FB78" i="7" l="1"/>
  <c r="EZ78" i="7"/>
  <c r="FK78" i="7" s="1"/>
  <c r="AF78" i="7"/>
  <c r="GN78" i="7"/>
  <c r="CP78" i="7"/>
  <c r="AG78" i="7" s="1"/>
  <c r="GD77" i="24"/>
  <c r="EH77" i="24"/>
  <c r="EE78" i="24" s="1"/>
  <c r="EI78" i="24" s="1"/>
  <c r="Z77" i="24"/>
  <c r="J77" i="27" s="1"/>
  <c r="GC77" i="24"/>
  <c r="BY77" i="24"/>
  <c r="CB77" i="24" s="1"/>
  <c r="CR77" i="24" s="1"/>
  <c r="DZ77" i="24"/>
  <c r="EJ78" i="24" l="1"/>
  <c r="BZ77" i="24"/>
  <c r="CA77" i="24" s="1"/>
  <c r="CD77" i="24" s="1"/>
  <c r="CY77" i="24"/>
  <c r="CV77" i="24"/>
  <c r="AD78" i="24"/>
  <c r="N78" i="27" s="1"/>
  <c r="GL78" i="24"/>
  <c r="BM77" i="32"/>
  <c r="Z77" i="27"/>
  <c r="GE77" i="24"/>
  <c r="EX77" i="24"/>
  <c r="FH77" i="24" s="1"/>
  <c r="BL77" i="32"/>
  <c r="Y77" i="27"/>
  <c r="GP78" i="7"/>
  <c r="GR78" i="7"/>
  <c r="GQ78" i="7"/>
  <c r="GS78" i="7"/>
  <c r="GF77" i="24" l="1"/>
  <c r="BO77" i="32" s="1"/>
  <c r="GT78" i="7" a="1"/>
  <c r="GT78" i="7" s="1"/>
  <c r="GV78" i="7" s="1"/>
  <c r="BX78" i="7" s="1"/>
  <c r="EQ77" i="24"/>
  <c r="CJ77" i="24"/>
  <c r="CK77" i="24" s="1"/>
  <c r="CL77" i="24"/>
  <c r="BU78" i="32"/>
  <c r="AH78" i="27"/>
  <c r="FI77" i="24"/>
  <c r="FA78" i="24"/>
  <c r="BN77" i="32"/>
  <c r="AA77" i="27"/>
  <c r="DA77" i="24"/>
  <c r="DE77" i="24" s="1"/>
  <c r="DJ77" i="24" s="1"/>
  <c r="DN77" i="24" s="1"/>
  <c r="DQ77" i="24" s="1"/>
  <c r="GH77" i="24" l="1"/>
  <c r="AB77" i="27"/>
  <c r="GW78" i="7"/>
  <c r="V77" i="24"/>
  <c r="F77" i="27" s="1"/>
  <c r="GG77" i="24"/>
  <c r="GX78" i="7"/>
  <c r="GU78" i="7"/>
  <c r="BW78" i="7" s="1"/>
  <c r="GC78" i="7" s="1"/>
  <c r="EV77" i="24"/>
  <c r="EU78" i="24" s="1"/>
  <c r="AB77" i="24"/>
  <c r="L77" i="27" s="1"/>
  <c r="BQ77" i="32"/>
  <c r="AD77" i="27"/>
  <c r="EO77" i="24"/>
  <c r="EN78" i="24" s="1"/>
  <c r="AA77" i="24"/>
  <c r="K77" i="27" s="1"/>
  <c r="DO77" i="24"/>
  <c r="EH78" i="7"/>
  <c r="EE79" i="7" s="1"/>
  <c r="EJ79" i="7" s="1"/>
  <c r="GD78" i="7"/>
  <c r="Z78" i="7"/>
  <c r="DG77" i="24"/>
  <c r="DX77" i="24" s="1"/>
  <c r="DW78" i="24" s="1"/>
  <c r="EA78" i="24" s="1"/>
  <c r="Y77" i="24"/>
  <c r="I77" i="27" s="1"/>
  <c r="DF77" i="24"/>
  <c r="BS78" i="24" s="1"/>
  <c r="BP77" i="32"/>
  <c r="AC77" i="27"/>
  <c r="EI79" i="7" l="1"/>
  <c r="BY78" i="7"/>
  <c r="BZ78" i="7" s="1"/>
  <c r="CA78" i="7" s="1"/>
  <c r="CD78" i="7" s="1"/>
  <c r="DZ78" i="7"/>
  <c r="AC78" i="24"/>
  <c r="M78" i="27" s="1"/>
  <c r="GK78" i="24"/>
  <c r="EB78" i="24"/>
  <c r="CP78" i="24"/>
  <c r="AG78" i="24" s="1"/>
  <c r="Q78" i="27" s="1"/>
  <c r="CB78" i="7"/>
  <c r="CR78" i="7" s="1"/>
  <c r="AD79" i="7"/>
  <c r="GL79" i="7"/>
  <c r="AE78" i="24"/>
  <c r="O78" i="27" s="1"/>
  <c r="ES78" i="24"/>
  <c r="GM78" i="24"/>
  <c r="GN78" i="24"/>
  <c r="FB78" i="24"/>
  <c r="AF78" i="24"/>
  <c r="P78" i="27" s="1"/>
  <c r="EZ78" i="24"/>
  <c r="GE78" i="7" l="1"/>
  <c r="EX78" i="7"/>
  <c r="FH78" i="7" s="1"/>
  <c r="FI78" i="7" s="1"/>
  <c r="FA79" i="7"/>
  <c r="BV78" i="32"/>
  <c r="AI78" i="27"/>
  <c r="CV78" i="7"/>
  <c r="CY78" i="7"/>
  <c r="FK78" i="24"/>
  <c r="CJ78" i="7"/>
  <c r="CL78" i="7"/>
  <c r="BT78" i="32"/>
  <c r="AG78" i="27"/>
  <c r="BW78" i="32"/>
  <c r="AJ78" i="27"/>
  <c r="EQ78" i="7"/>
  <c r="GF78" i="7"/>
  <c r="DA78" i="7" l="1"/>
  <c r="DE78" i="7" s="1"/>
  <c r="GS78" i="24"/>
  <c r="GQ78" i="24"/>
  <c r="GR78" i="24"/>
  <c r="GP78" i="24"/>
  <c r="GT78" i="24" s="1" a="1"/>
  <c r="GT78" i="24" s="1"/>
  <c r="GG78" i="7"/>
  <c r="V78" i="7"/>
  <c r="CK78" i="7"/>
  <c r="GH78" i="7"/>
  <c r="GU78" i="24" l="1"/>
  <c r="BW78" i="24" s="1"/>
  <c r="GV78" i="24"/>
  <c r="BX78" i="24" s="1"/>
  <c r="GX78" i="24"/>
  <c r="GW78" i="24"/>
  <c r="Y78" i="7"/>
  <c r="DG78" i="7"/>
  <c r="DX78" i="7" s="1"/>
  <c r="DW79" i="7" s="1"/>
  <c r="EA79" i="7" s="1"/>
  <c r="DF78" i="7"/>
  <c r="BS79" i="7" s="1"/>
  <c r="DJ78" i="7"/>
  <c r="DN78" i="7" s="1"/>
  <c r="DO78" i="7" l="1"/>
  <c r="EO78" i="7"/>
  <c r="EN79" i="7" s="1"/>
  <c r="AA78" i="7"/>
  <c r="GD78" i="24"/>
  <c r="Z78" i="24"/>
  <c r="J78" i="27" s="1"/>
  <c r="EH78" i="24"/>
  <c r="EE79" i="24" s="1"/>
  <c r="EJ79" i="24" s="1"/>
  <c r="DZ78" i="24"/>
  <c r="GC78" i="24"/>
  <c r="BY78" i="24"/>
  <c r="CB78" i="24" s="1"/>
  <c r="CR78" i="24" s="1"/>
  <c r="EB79" i="7"/>
  <c r="AC79" i="7"/>
  <c r="GK79" i="7"/>
  <c r="DQ78" i="7"/>
  <c r="EI79" i="24" l="1"/>
  <c r="CV78" i="24"/>
  <c r="CY78" i="24"/>
  <c r="GL79" i="24"/>
  <c r="AD79" i="24"/>
  <c r="N79" i="27" s="1"/>
  <c r="BM78" i="32"/>
  <c r="Z78" i="27"/>
  <c r="EX78" i="24"/>
  <c r="FH78" i="24" s="1"/>
  <c r="GE78" i="24"/>
  <c r="BL78" i="32"/>
  <c r="Y78" i="27"/>
  <c r="GM79" i="7"/>
  <c r="ES79" i="7"/>
  <c r="AE79" i="7"/>
  <c r="AB78" i="7"/>
  <c r="EV78" i="7"/>
  <c r="EU79" i="7" s="1"/>
  <c r="BZ78" i="24"/>
  <c r="BU79" i="32" l="1"/>
  <c r="AH79" i="27"/>
  <c r="DA78" i="24"/>
  <c r="DE78" i="24" s="1"/>
  <c r="EQ78" i="24"/>
  <c r="GF78" i="24"/>
  <c r="CA78" i="24"/>
  <c r="CD78" i="24" s="1"/>
  <c r="BN78" i="32"/>
  <c r="AA78" i="27"/>
  <c r="FB79" i="7"/>
  <c r="GN79" i="7"/>
  <c r="EZ79" i="7"/>
  <c r="FK79" i="7" s="1"/>
  <c r="AF79" i="7"/>
  <c r="CP79" i="7"/>
  <c r="AG79" i="7" s="1"/>
  <c r="FI78" i="24"/>
  <c r="FA79" i="24"/>
  <c r="BO78" i="32" l="1"/>
  <c r="AB78" i="27"/>
  <c r="Y78" i="24"/>
  <c r="I78" i="27" s="1"/>
  <c r="DG78" i="24"/>
  <c r="DX78" i="24" s="1"/>
  <c r="DW79" i="24" s="1"/>
  <c r="EA79" i="24" s="1"/>
  <c r="DF78" i="24"/>
  <c r="BS79" i="24" s="1"/>
  <c r="DJ78" i="24"/>
  <c r="DN78" i="24" s="1"/>
  <c r="GR79" i="7"/>
  <c r="GP79" i="7"/>
  <c r="GS79" i="7"/>
  <c r="GQ79" i="7"/>
  <c r="CL78" i="24"/>
  <c r="CJ78" i="24"/>
  <c r="AA78" i="24" l="1"/>
  <c r="K78" i="27" s="1"/>
  <c r="EO78" i="24"/>
  <c r="EN79" i="24" s="1"/>
  <c r="DO78" i="24"/>
  <c r="DQ78" i="24"/>
  <c r="AC79" i="24"/>
  <c r="M79" i="27" s="1"/>
  <c r="GK79" i="24"/>
  <c r="EB79" i="24"/>
  <c r="GT79" i="7" a="1"/>
  <c r="GT79" i="7" s="1"/>
  <c r="CK78" i="24"/>
  <c r="GG78" i="24"/>
  <c r="GH78" i="24"/>
  <c r="V78" i="24"/>
  <c r="F78" i="27" s="1"/>
  <c r="BQ78" i="32" l="1"/>
  <c r="AD78" i="27"/>
  <c r="AB78" i="24"/>
  <c r="L78" i="27" s="1"/>
  <c r="EV78" i="24"/>
  <c r="EU79" i="24" s="1"/>
  <c r="BP78" i="32"/>
  <c r="AC78" i="27"/>
  <c r="BT79" i="32"/>
  <c r="AG79" i="27"/>
  <c r="ES79" i="24"/>
  <c r="AE79" i="24"/>
  <c r="O79" i="27" s="1"/>
  <c r="GM79" i="24"/>
  <c r="GW79" i="7"/>
  <c r="GV79" i="7"/>
  <c r="BX79" i="7" s="1"/>
  <c r="GU79" i="7"/>
  <c r="BW79" i="7" s="1"/>
  <c r="GX79" i="7"/>
  <c r="FB79" i="24" l="1"/>
  <c r="GN79" i="24"/>
  <c r="AF79" i="24"/>
  <c r="P79" i="27" s="1"/>
  <c r="EZ79" i="24"/>
  <c r="FK79" i="24" s="1"/>
  <c r="CP79" i="24"/>
  <c r="AG79" i="24" s="1"/>
  <c r="Q79" i="27" s="1"/>
  <c r="GC79" i="7"/>
  <c r="DZ79" i="7"/>
  <c r="BY79" i="7"/>
  <c r="CB79" i="7" s="1"/>
  <c r="CR79" i="7" s="1"/>
  <c r="EH79" i="7"/>
  <c r="EE80" i="7" s="1"/>
  <c r="Z79" i="7"/>
  <c r="GD79" i="7"/>
  <c r="BV79" i="32"/>
  <c r="AI79" i="27"/>
  <c r="EI80" i="7"/>
  <c r="EJ80" i="7"/>
  <c r="CY79" i="7" l="1"/>
  <c r="CV79" i="7"/>
  <c r="GR79" i="24"/>
  <c r="GQ79" i="24"/>
  <c r="GP79" i="24"/>
  <c r="GS79" i="24"/>
  <c r="GL80" i="7"/>
  <c r="AD80" i="7"/>
  <c r="BW79" i="32"/>
  <c r="AJ79" i="27"/>
  <c r="GE79" i="7"/>
  <c r="EX79" i="7"/>
  <c r="FH79" i="7" s="1"/>
  <c r="BZ79" i="7"/>
  <c r="GT79" i="24" l="1" a="1"/>
  <c r="GT79" i="24" s="1"/>
  <c r="FI79" i="7"/>
  <c r="FA80" i="7"/>
  <c r="DA79" i="7"/>
  <c r="DE79" i="7" s="1"/>
  <c r="EQ79" i="7"/>
  <c r="GF79" i="7"/>
  <c r="CA79" i="7"/>
  <c r="CD79" i="7" s="1"/>
  <c r="DJ79" i="7" l="1"/>
  <c r="DN79" i="7" s="1"/>
  <c r="DQ79" i="7" s="1"/>
  <c r="DF79" i="7"/>
  <c r="BS80" i="7" s="1"/>
  <c r="DG79" i="7"/>
  <c r="DX79" i="7" s="1"/>
  <c r="DW80" i="7" s="1"/>
  <c r="Y79" i="7"/>
  <c r="CJ79" i="7"/>
  <c r="CL79" i="7"/>
  <c r="GX79" i="24"/>
  <c r="GW79" i="24"/>
  <c r="GU79" i="24"/>
  <c r="BW79" i="24" s="1"/>
  <c r="GV79" i="24"/>
  <c r="BX79" i="24" s="1"/>
  <c r="EA80" i="7"/>
  <c r="EO79" i="7" l="1"/>
  <c r="EN80" i="7" s="1"/>
  <c r="AA79" i="7"/>
  <c r="DO79" i="7"/>
  <c r="AB79" i="7"/>
  <c r="EV79" i="7"/>
  <c r="EU80" i="7" s="1"/>
  <c r="CP80" i="7" s="1"/>
  <c r="AG80" i="7" s="1"/>
  <c r="DZ79" i="24"/>
  <c r="GC79" i="24"/>
  <c r="BY79" i="24"/>
  <c r="BZ79" i="24" s="1"/>
  <c r="GK80" i="7"/>
  <c r="EB80" i="7"/>
  <c r="AC80" i="7"/>
  <c r="GM80" i="7"/>
  <c r="ES80" i="7"/>
  <c r="AE80" i="7"/>
  <c r="Z79" i="24"/>
  <c r="J79" i="27" s="1"/>
  <c r="EH79" i="24"/>
  <c r="EE80" i="24" s="1"/>
  <c r="EI80" i="24" s="1"/>
  <c r="GD79" i="24"/>
  <c r="GH79" i="7"/>
  <c r="CK79" i="7"/>
  <c r="V79" i="7"/>
  <c r="GG79" i="7"/>
  <c r="EJ80" i="24" l="1"/>
  <c r="GN80" i="7"/>
  <c r="AF80" i="7"/>
  <c r="EZ80" i="7"/>
  <c r="FB80" i="7"/>
  <c r="CB79" i="24"/>
  <c r="CR79" i="24" s="1"/>
  <c r="CY79" i="24" s="1"/>
  <c r="CA79" i="24"/>
  <c r="CD79" i="24" s="1"/>
  <c r="EQ79" i="24"/>
  <c r="GF79" i="24"/>
  <c r="BM79" i="32"/>
  <c r="Z79" i="27"/>
  <c r="FK80" i="7"/>
  <c r="GL80" i="24"/>
  <c r="AD80" i="24"/>
  <c r="N80" i="27" s="1"/>
  <c r="GE79" i="24"/>
  <c r="EX79" i="24"/>
  <c r="FH79" i="24" s="1"/>
  <c r="BL79" i="32"/>
  <c r="Y79" i="27"/>
  <c r="CL79" i="24" l="1"/>
  <c r="CV79" i="24"/>
  <c r="CJ79" i="24"/>
  <c r="CK79" i="24" s="1"/>
  <c r="BN79" i="32"/>
  <c r="AA79" i="27"/>
  <c r="BU80" i="32"/>
  <c r="AH80" i="27"/>
  <c r="BO79" i="32"/>
  <c r="AB79" i="27"/>
  <c r="FI79" i="24"/>
  <c r="FA80" i="24"/>
  <c r="DA79" i="24"/>
  <c r="DE79" i="24" s="1"/>
  <c r="GR80" i="7"/>
  <c r="GS80" i="7"/>
  <c r="GQ80" i="7"/>
  <c r="GP80" i="7"/>
  <c r="V79" i="24" l="1"/>
  <c r="F79" i="27" s="1"/>
  <c r="GG79" i="24"/>
  <c r="GH79" i="24"/>
  <c r="AD79" i="27" s="1"/>
  <c r="GT80" i="7" a="1"/>
  <c r="GT80" i="7" s="1"/>
  <c r="GV80" i="7" s="1"/>
  <c r="BX80" i="7" s="1"/>
  <c r="BP79" i="32"/>
  <c r="AC79" i="27"/>
  <c r="BQ79" i="32"/>
  <c r="DJ79" i="24"/>
  <c r="DN79" i="24" s="1"/>
  <c r="DF79" i="24"/>
  <c r="BS80" i="24" s="1"/>
  <c r="Y79" i="24"/>
  <c r="I79" i="27" s="1"/>
  <c r="DG79" i="24"/>
  <c r="DX79" i="24" s="1"/>
  <c r="DW80" i="24" s="1"/>
  <c r="EA80" i="24" s="1"/>
  <c r="GW80" i="7" l="1"/>
  <c r="GU80" i="7"/>
  <c r="BW80" i="7" s="1"/>
  <c r="GC80" i="7" s="1"/>
  <c r="GX80" i="7"/>
  <c r="AC80" i="24"/>
  <c r="M80" i="27" s="1"/>
  <c r="GK80" i="24"/>
  <c r="EB80" i="24"/>
  <c r="BY80" i="7"/>
  <c r="AA79" i="24"/>
  <c r="K79" i="27" s="1"/>
  <c r="DO79" i="24"/>
  <c r="EO79" i="24"/>
  <c r="EN80" i="24" s="1"/>
  <c r="EH80" i="7"/>
  <c r="EE81" i="7" s="1"/>
  <c r="GD80" i="7"/>
  <c r="Z80" i="7"/>
  <c r="DQ79" i="24"/>
  <c r="EI81" i="7"/>
  <c r="EJ81" i="7"/>
  <c r="DZ80" i="7" l="1"/>
  <c r="GE80" i="7"/>
  <c r="EX80" i="7"/>
  <c r="FH80" i="7" s="1"/>
  <c r="AD81" i="7"/>
  <c r="GL81" i="7"/>
  <c r="ES80" i="24"/>
  <c r="AE80" i="24"/>
  <c r="O80" i="27" s="1"/>
  <c r="GM80" i="24"/>
  <c r="BZ80" i="7"/>
  <c r="CB80" i="7"/>
  <c r="CR80" i="7" s="1"/>
  <c r="BT80" i="32"/>
  <c r="AG80" i="27"/>
  <c r="AB79" i="24"/>
  <c r="L79" i="27" s="1"/>
  <c r="EV79" i="24"/>
  <c r="EU80" i="24" s="1"/>
  <c r="EZ80" i="24" l="1"/>
  <c r="FK80" i="24" s="1"/>
  <c r="GN80" i="24"/>
  <c r="FB80" i="24"/>
  <c r="AF80" i="24"/>
  <c r="P80" i="27" s="1"/>
  <c r="BV80" i="32"/>
  <c r="AI80" i="27"/>
  <c r="CY80" i="7"/>
  <c r="CV80" i="7"/>
  <c r="CP80" i="24"/>
  <c r="AG80" i="24" s="1"/>
  <c r="Q80" i="27" s="1"/>
  <c r="FI80" i="7"/>
  <c r="FA81" i="7"/>
  <c r="EQ80" i="7"/>
  <c r="GF80" i="7"/>
  <c r="CA80" i="7"/>
  <c r="CD80" i="7" s="1"/>
  <c r="CJ80" i="7" l="1"/>
  <c r="CL80" i="7"/>
  <c r="BW80" i="32"/>
  <c r="AJ80" i="27"/>
  <c r="DA80" i="7"/>
  <c r="DE80" i="7" s="1"/>
  <c r="DJ80" i="7" s="1"/>
  <c r="DN80" i="7" s="1"/>
  <c r="GP80" i="24"/>
  <c r="GQ80" i="24"/>
  <c r="GR80" i="24"/>
  <c r="GS80" i="24"/>
  <c r="DQ80" i="7" l="1"/>
  <c r="DO80" i="7"/>
  <c r="EO80" i="7"/>
  <c r="EN81" i="7" s="1"/>
  <c r="AA80" i="7"/>
  <c r="Y80" i="7"/>
  <c r="DF80" i="7"/>
  <c r="BS81" i="7" s="1"/>
  <c r="DG80" i="7"/>
  <c r="DX80" i="7" s="1"/>
  <c r="DW81" i="7" s="1"/>
  <c r="EA81" i="7" s="1"/>
  <c r="GT80" i="24" a="1"/>
  <c r="GT80" i="24" s="1"/>
  <c r="V80" i="7"/>
  <c r="GH80" i="7"/>
  <c r="CK80" i="7"/>
  <c r="GG80" i="7"/>
  <c r="GM81" i="7" l="1"/>
  <c r="AE81" i="7"/>
  <c r="ES81" i="7"/>
  <c r="GU80" i="24"/>
  <c r="BW80" i="24" s="1"/>
  <c r="GV80" i="24"/>
  <c r="BX80" i="24" s="1"/>
  <c r="GW80" i="24"/>
  <c r="GX80" i="24"/>
  <c r="GK81" i="7"/>
  <c r="EB81" i="7"/>
  <c r="AC81" i="7"/>
  <c r="EV80" i="7"/>
  <c r="EU81" i="7" s="1"/>
  <c r="AB80" i="7"/>
  <c r="GN81" i="7" l="1"/>
  <c r="EZ81" i="7"/>
  <c r="FK81" i="7" s="1"/>
  <c r="FB81" i="7"/>
  <c r="AF81" i="7"/>
  <c r="GD80" i="24"/>
  <c r="EH80" i="24"/>
  <c r="EE81" i="24" s="1"/>
  <c r="EI81" i="24" s="1"/>
  <c r="Z80" i="24"/>
  <c r="J80" i="27" s="1"/>
  <c r="BY80" i="24"/>
  <c r="GC80" i="24"/>
  <c r="DZ80" i="24"/>
  <c r="CP81" i="7"/>
  <c r="AG81" i="7" s="1"/>
  <c r="EJ81" i="24" l="1"/>
  <c r="EX80" i="24"/>
  <c r="FH80" i="24" s="1"/>
  <c r="GE80" i="24"/>
  <c r="AD81" i="24"/>
  <c r="N81" i="27" s="1"/>
  <c r="GL81" i="24"/>
  <c r="CB80" i="24"/>
  <c r="CR80" i="24" s="1"/>
  <c r="BM80" i="32"/>
  <c r="Z80" i="27"/>
  <c r="GP81" i="7"/>
  <c r="GS81" i="7"/>
  <c r="GR81" i="7"/>
  <c r="GQ81" i="7"/>
  <c r="BL80" i="32"/>
  <c r="Y80" i="27"/>
  <c r="BZ80" i="24"/>
  <c r="CA80" i="24" s="1"/>
  <c r="CD80" i="24" s="1"/>
  <c r="CJ80" i="24" s="1"/>
  <c r="EQ80" i="24" l="1"/>
  <c r="GF80" i="24"/>
  <c r="CL80" i="24"/>
  <c r="CY80" i="24"/>
  <c r="CV80" i="24"/>
  <c r="BU81" i="32"/>
  <c r="AH81" i="27"/>
  <c r="GH80" i="24"/>
  <c r="V80" i="24"/>
  <c r="F80" i="27" s="1"/>
  <c r="CK80" i="24"/>
  <c r="GG80" i="24"/>
  <c r="BN80" i="32"/>
  <c r="AA80" i="27"/>
  <c r="GT81" i="7" a="1"/>
  <c r="GT81" i="7" s="1"/>
  <c r="FI80" i="24"/>
  <c r="FA81" i="24"/>
  <c r="BQ80" i="32" l="1"/>
  <c r="AD80" i="27"/>
  <c r="GU81" i="7"/>
  <c r="BW81" i="7" s="1"/>
  <c r="GX81" i="7"/>
  <c r="GV81" i="7"/>
  <c r="BX81" i="7" s="1"/>
  <c r="GW81" i="7"/>
  <c r="DA80" i="24"/>
  <c r="DE80" i="24" s="1"/>
  <c r="BP80" i="32"/>
  <c r="AC80" i="27"/>
  <c r="BO80" i="32"/>
  <c r="AB80" i="27"/>
  <c r="Y80" i="24" l="1"/>
  <c r="I80" i="27" s="1"/>
  <c r="DF80" i="24"/>
  <c r="BS81" i="24" s="1"/>
  <c r="DG80" i="24"/>
  <c r="DX80" i="24" s="1"/>
  <c r="DW81" i="24" s="1"/>
  <c r="EA81" i="24" s="1"/>
  <c r="BY81" i="7"/>
  <c r="CB81" i="7" s="1"/>
  <c r="CR81" i="7" s="1"/>
  <c r="GC81" i="7"/>
  <c r="DZ81" i="7"/>
  <c r="EH81" i="7"/>
  <c r="EE82" i="7" s="1"/>
  <c r="EJ82" i="7" s="1"/>
  <c r="GD81" i="7"/>
  <c r="Z81" i="7"/>
  <c r="DJ80" i="24"/>
  <c r="DN80" i="24" s="1"/>
  <c r="EI82" i="7" l="1"/>
  <c r="BZ81" i="7"/>
  <c r="GF81" i="7" s="1"/>
  <c r="CV81" i="7"/>
  <c r="CY81" i="7"/>
  <c r="EO80" i="24"/>
  <c r="EN81" i="24" s="1"/>
  <c r="AA80" i="24"/>
  <c r="K80" i="27" s="1"/>
  <c r="DO80" i="24"/>
  <c r="EX81" i="7"/>
  <c r="FH81" i="7" s="1"/>
  <c r="GE81" i="7"/>
  <c r="CA81" i="7"/>
  <c r="CD81" i="7" s="1"/>
  <c r="AC81" i="24"/>
  <c r="M81" i="27" s="1"/>
  <c r="EB81" i="24"/>
  <c r="GK81" i="24"/>
  <c r="AD82" i="7"/>
  <c r="GL82" i="7"/>
  <c r="DQ80" i="24"/>
  <c r="EQ81" i="7" l="1"/>
  <c r="CJ81" i="7"/>
  <c r="CL81" i="7"/>
  <c r="BT81" i="32"/>
  <c r="AG81" i="27"/>
  <c r="FI81" i="7"/>
  <c r="FA82" i="7"/>
  <c r="AB80" i="24"/>
  <c r="L80" i="27" s="1"/>
  <c r="EV80" i="24"/>
  <c r="EU81" i="24" s="1"/>
  <c r="AE81" i="24"/>
  <c r="O81" i="27" s="1"/>
  <c r="GM81" i="24"/>
  <c r="ES81" i="24"/>
  <c r="DA81" i="7"/>
  <c r="DE81" i="7" s="1"/>
  <c r="Y81" i="7" l="1"/>
  <c r="DF81" i="7"/>
  <c r="BS82" i="7" s="1"/>
  <c r="DG81" i="7"/>
  <c r="DX81" i="7" s="1"/>
  <c r="DW82" i="7" s="1"/>
  <c r="EA82" i="7" s="1"/>
  <c r="DJ81" i="7"/>
  <c r="DN81" i="7" s="1"/>
  <c r="BV81" i="32"/>
  <c r="AI81" i="27"/>
  <c r="FB81" i="24"/>
  <c r="AF81" i="24"/>
  <c r="P81" i="27" s="1"/>
  <c r="EZ81" i="24"/>
  <c r="FK81" i="24" s="1"/>
  <c r="GN81" i="24"/>
  <c r="CP81" i="24"/>
  <c r="AG81" i="24" s="1"/>
  <c r="Q81" i="27" s="1"/>
  <c r="GH81" i="7"/>
  <c r="CK81" i="7"/>
  <c r="GG81" i="7"/>
  <c r="V81" i="7"/>
  <c r="EO81" i="7" l="1"/>
  <c r="EN82" i="7" s="1"/>
  <c r="AA81" i="7"/>
  <c r="DO81" i="7"/>
  <c r="DQ81" i="7"/>
  <c r="BW81" i="32"/>
  <c r="AJ81" i="27"/>
  <c r="EB82" i="7"/>
  <c r="GK82" i="7"/>
  <c r="AC82" i="7"/>
  <c r="GQ81" i="24"/>
  <c r="GR81" i="24"/>
  <c r="GS81" i="24"/>
  <c r="GP81" i="24"/>
  <c r="EV81" i="7" l="1"/>
  <c r="EU82" i="7" s="1"/>
  <c r="AB81" i="7"/>
  <c r="ES82" i="7"/>
  <c r="GM82" i="7"/>
  <c r="AE82" i="7"/>
  <c r="GT81" i="24" a="1"/>
  <c r="GT81" i="24" s="1"/>
  <c r="GU81" i="24" l="1"/>
  <c r="BW81" i="24" s="1"/>
  <c r="GW81" i="24"/>
  <c r="GV81" i="24"/>
  <c r="BX81" i="24" s="1"/>
  <c r="GX81" i="24"/>
  <c r="GN82" i="7"/>
  <c r="EZ82" i="7"/>
  <c r="FK82" i="7" s="1"/>
  <c r="AF82" i="7"/>
  <c r="FB82" i="7"/>
  <c r="CP82" i="7"/>
  <c r="AG82" i="7" s="1"/>
  <c r="GS82" i="7" l="1"/>
  <c r="GR82" i="7"/>
  <c r="GP82" i="7"/>
  <c r="GQ82" i="7"/>
  <c r="Z81" i="24"/>
  <c r="J81" i="27" s="1"/>
  <c r="EH81" i="24"/>
  <c r="EE82" i="24" s="1"/>
  <c r="EI82" i="24" s="1"/>
  <c r="GD81" i="24"/>
  <c r="DZ81" i="24"/>
  <c r="GC81" i="24"/>
  <c r="BY81" i="24"/>
  <c r="CB81" i="24" s="1"/>
  <c r="CR81" i="24" s="1"/>
  <c r="EJ82" i="24" l="1"/>
  <c r="GT82" i="7" a="1"/>
  <c r="GT82" i="7" s="1"/>
  <c r="GX82" i="7" s="1"/>
  <c r="BZ81" i="24"/>
  <c r="GF81" i="24" s="1"/>
  <c r="CV81" i="24"/>
  <c r="CY81" i="24"/>
  <c r="BM81" i="32"/>
  <c r="Z81" i="27"/>
  <c r="GW82" i="7"/>
  <c r="EX81" i="24"/>
  <c r="FH81" i="24" s="1"/>
  <c r="GE81" i="24"/>
  <c r="BL81" i="32"/>
  <c r="Y81" i="27"/>
  <c r="GL82" i="24"/>
  <c r="AD82" i="24"/>
  <c r="N82" i="27" s="1"/>
  <c r="GV82" i="7" l="1"/>
  <c r="BX82" i="7" s="1"/>
  <c r="GU82" i="7"/>
  <c r="BW82" i="7" s="1"/>
  <c r="DZ82" i="7" s="1"/>
  <c r="EQ81" i="24"/>
  <c r="CA81" i="24"/>
  <c r="CD81" i="24" s="1"/>
  <c r="CJ81" i="24" s="1"/>
  <c r="Z82" i="7"/>
  <c r="EH82" i="7"/>
  <c r="EE83" i="7" s="1"/>
  <c r="EI83" i="7" s="1"/>
  <c r="GD82" i="7"/>
  <c r="GC82" i="7"/>
  <c r="BN81" i="32"/>
  <c r="AA81" i="27"/>
  <c r="FI81" i="24"/>
  <c r="FA82" i="24"/>
  <c r="BU82" i="32"/>
  <c r="AH82" i="27"/>
  <c r="DA81" i="24"/>
  <c r="DE81" i="24" s="1"/>
  <c r="BO81" i="32"/>
  <c r="AB81" i="27"/>
  <c r="EJ83" i="7" l="1"/>
  <c r="CL81" i="24"/>
  <c r="BY82" i="7"/>
  <c r="EX82" i="7" s="1"/>
  <c r="FH82" i="7" s="1"/>
  <c r="BZ82" i="7"/>
  <c r="DJ81" i="24"/>
  <c r="DN81" i="24" s="1"/>
  <c r="Y81" i="24"/>
  <c r="I81" i="27" s="1"/>
  <c r="DF81" i="24"/>
  <c r="BS82" i="24" s="1"/>
  <c r="DG81" i="24"/>
  <c r="DX81" i="24" s="1"/>
  <c r="DW82" i="24" s="1"/>
  <c r="EA82" i="24" s="1"/>
  <c r="GH81" i="24"/>
  <c r="CK81" i="24"/>
  <c r="V81" i="24"/>
  <c r="F81" i="27" s="1"/>
  <c r="GG81" i="24"/>
  <c r="AD83" i="7"/>
  <c r="GL83" i="7"/>
  <c r="CB82" i="7" l="1"/>
  <c r="CR82" i="7" s="1"/>
  <c r="GE82" i="7"/>
  <c r="EB82" i="24"/>
  <c r="GK82" i="24"/>
  <c r="AC82" i="24"/>
  <c r="M82" i="27" s="1"/>
  <c r="BP81" i="32"/>
  <c r="AC81" i="27"/>
  <c r="DO81" i="24"/>
  <c r="AA81" i="24"/>
  <c r="K81" i="27" s="1"/>
  <c r="EO81" i="24"/>
  <c r="EN82" i="24" s="1"/>
  <c r="DQ81" i="24"/>
  <c r="FI82" i="7"/>
  <c r="FA83" i="7"/>
  <c r="BQ81" i="32"/>
  <c r="AD81" i="27"/>
  <c r="EQ82" i="7"/>
  <c r="GF82" i="7"/>
  <c r="CV82" i="7"/>
  <c r="CY82" i="7"/>
  <c r="CA82" i="7"/>
  <c r="CD82" i="7" s="1"/>
  <c r="CJ82" i="7" l="1"/>
  <c r="CL82" i="7"/>
  <c r="DA82" i="7"/>
  <c r="DE82" i="7" s="1"/>
  <c r="AB81" i="24"/>
  <c r="L81" i="27" s="1"/>
  <c r="EV81" i="24"/>
  <c r="EU82" i="24" s="1"/>
  <c r="BT82" i="32"/>
  <c r="AG82" i="27"/>
  <c r="ES82" i="24"/>
  <c r="GM82" i="24"/>
  <c r="AE82" i="24"/>
  <c r="O82" i="27" s="1"/>
  <c r="DF82" i="7" l="1"/>
  <c r="BS83" i="7" s="1"/>
  <c r="Y82" i="7"/>
  <c r="DG82" i="7"/>
  <c r="DX82" i="7" s="1"/>
  <c r="DW83" i="7" s="1"/>
  <c r="BV82" i="32"/>
  <c r="AI82" i="27"/>
  <c r="DJ82" i="7"/>
  <c r="DN82" i="7" s="1"/>
  <c r="DQ82" i="7" s="1"/>
  <c r="V82" i="7"/>
  <c r="GH82" i="7"/>
  <c r="CK82" i="7"/>
  <c r="GG82" i="7"/>
  <c r="GN82" i="24"/>
  <c r="EZ82" i="24"/>
  <c r="FK82" i="24" s="1"/>
  <c r="AF82" i="24"/>
  <c r="P82" i="27" s="1"/>
  <c r="FB82" i="24"/>
  <c r="CP82" i="24"/>
  <c r="AG82" i="24" s="1"/>
  <c r="Q82" i="27" s="1"/>
  <c r="EA83" i="7"/>
  <c r="EO82" i="7" l="1"/>
  <c r="EN83" i="7" s="1"/>
  <c r="AA82" i="7"/>
  <c r="DO82" i="7"/>
  <c r="GS82" i="24"/>
  <c r="GP82" i="24"/>
  <c r="GR82" i="24"/>
  <c r="GQ82" i="24"/>
  <c r="AB82" i="7"/>
  <c r="EV82" i="7"/>
  <c r="EU83" i="7" s="1"/>
  <c r="BW82" i="32"/>
  <c r="AJ82" i="27"/>
  <c r="AC83" i="7"/>
  <c r="EB83" i="7"/>
  <c r="GK83" i="7"/>
  <c r="CP83" i="7"/>
  <c r="AG83" i="7" s="1"/>
  <c r="GT82" i="24" l="1" a="1"/>
  <c r="GT82" i="24" s="1"/>
  <c r="AF83" i="7"/>
  <c r="GN83" i="7"/>
  <c r="FB83" i="7"/>
  <c r="EZ83" i="7"/>
  <c r="GM83" i="7"/>
  <c r="ES83" i="7"/>
  <c r="FK83" i="7" s="1"/>
  <c r="AE83" i="7"/>
  <c r="GR83" i="7" l="1"/>
  <c r="GQ83" i="7"/>
  <c r="GS83" i="7"/>
  <c r="GP83" i="7"/>
  <c r="GU82" i="24"/>
  <c r="BW82" i="24" s="1"/>
  <c r="GX82" i="24"/>
  <c r="GW82" i="24"/>
  <c r="GV82" i="24"/>
  <c r="BX82" i="24" s="1"/>
  <c r="GT83" i="7" l="1" a="1"/>
  <c r="GT83" i="7" s="1"/>
  <c r="GU83" i="7" s="1"/>
  <c r="BW83" i="7" s="1"/>
  <c r="BY82" i="24"/>
  <c r="CB82" i="24" s="1"/>
  <c r="CR82" i="24" s="1"/>
  <c r="DZ82" i="24"/>
  <c r="GC82" i="24"/>
  <c r="GX83" i="7"/>
  <c r="GW83" i="7"/>
  <c r="GV83" i="7"/>
  <c r="BX83" i="7" s="1"/>
  <c r="EH82" i="24"/>
  <c r="EE83" i="24" s="1"/>
  <c r="EI83" i="24" s="1"/>
  <c r="Z82" i="24"/>
  <c r="J82" i="27" s="1"/>
  <c r="GD82" i="24"/>
  <c r="EJ83" i="24" l="1"/>
  <c r="BZ82" i="24"/>
  <c r="EQ82" i="24" s="1"/>
  <c r="BY83" i="7"/>
  <c r="BZ83" i="7" s="1"/>
  <c r="GC83" i="7"/>
  <c r="DZ83" i="7"/>
  <c r="CY82" i="24"/>
  <c r="CV82" i="24"/>
  <c r="BM82" i="32"/>
  <c r="Z82" i="27"/>
  <c r="BL82" i="32"/>
  <c r="Y82" i="27"/>
  <c r="GF82" i="24"/>
  <c r="AD83" i="24"/>
  <c r="N83" i="27" s="1"/>
  <c r="GL83" i="24"/>
  <c r="EH83" i="7"/>
  <c r="EE84" i="7" s="1"/>
  <c r="EJ84" i="7" s="1"/>
  <c r="Z83" i="7"/>
  <c r="GD83" i="7"/>
  <c r="CA82" i="24"/>
  <c r="CD82" i="24" s="1"/>
  <c r="GE82" i="24"/>
  <c r="EX82" i="24"/>
  <c r="FH82" i="24" s="1"/>
  <c r="EI84" i="7" l="1"/>
  <c r="CB83" i="7"/>
  <c r="CR83" i="7" s="1"/>
  <c r="CV83" i="7" s="1"/>
  <c r="CA83" i="7"/>
  <c r="CD83" i="7" s="1"/>
  <c r="FI82" i="24"/>
  <c r="FA83" i="24"/>
  <c r="BO82" i="32"/>
  <c r="AB82" i="27"/>
  <c r="CY83" i="7"/>
  <c r="BN82" i="32"/>
  <c r="AA82" i="27"/>
  <c r="EQ83" i="7"/>
  <c r="GF83" i="7"/>
  <c r="DA82" i="24"/>
  <c r="DE82" i="24" s="1"/>
  <c r="DJ82" i="24" s="1"/>
  <c r="DN82" i="24" s="1"/>
  <c r="CJ82" i="24"/>
  <c r="CL82" i="24"/>
  <c r="BU83" i="32"/>
  <c r="AH83" i="27"/>
  <c r="GL84" i="7"/>
  <c r="AD84" i="7"/>
  <c r="GE83" i="7"/>
  <c r="EX83" i="7"/>
  <c r="FH83" i="7" s="1"/>
  <c r="CL83" i="7" l="1"/>
  <c r="CJ83" i="7"/>
  <c r="GH83" i="7" s="1"/>
  <c r="CK82" i="24"/>
  <c r="GG82" i="24"/>
  <c r="V82" i="24"/>
  <c r="F82" i="27" s="1"/>
  <c r="GH82" i="24"/>
  <c r="DA83" i="7"/>
  <c r="DE83" i="7" s="1"/>
  <c r="DJ83" i="7" s="1"/>
  <c r="DN83" i="7" s="1"/>
  <c r="DQ83" i="7" s="1"/>
  <c r="Y82" i="24"/>
  <c r="I82" i="27" s="1"/>
  <c r="DG82" i="24"/>
  <c r="DX82" i="24" s="1"/>
  <c r="DW83" i="24" s="1"/>
  <c r="DF82" i="24"/>
  <c r="BS83" i="24" s="1"/>
  <c r="DQ82" i="24"/>
  <c r="EO82" i="24"/>
  <c r="EN83" i="24" s="1"/>
  <c r="AA82" i="24"/>
  <c r="K82" i="27" s="1"/>
  <c r="DO82" i="24"/>
  <c r="FI83" i="7"/>
  <c r="FA84" i="7"/>
  <c r="GG83" i="7"/>
  <c r="V83" i="7"/>
  <c r="CK83" i="7"/>
  <c r="EA83" i="24"/>
  <c r="EV83" i="7" l="1"/>
  <c r="EU84" i="7" s="1"/>
  <c r="AB83" i="7"/>
  <c r="EV82" i="24"/>
  <c r="EU83" i="24" s="1"/>
  <c r="CP83" i="24" s="1"/>
  <c r="AG83" i="24" s="1"/>
  <c r="Q83" i="27" s="1"/>
  <c r="AB82" i="24"/>
  <c r="L82" i="27" s="1"/>
  <c r="AA83" i="7"/>
  <c r="EO83" i="7"/>
  <c r="EN84" i="7" s="1"/>
  <c r="DO83" i="7"/>
  <c r="DG83" i="7"/>
  <c r="DX83" i="7" s="1"/>
  <c r="DW84" i="7" s="1"/>
  <c r="EA84" i="7" s="1"/>
  <c r="DF83" i="7"/>
  <c r="BS84" i="7" s="1"/>
  <c r="Y83" i="7"/>
  <c r="BQ82" i="32"/>
  <c r="AD82" i="27"/>
  <c r="AE83" i="24"/>
  <c r="O83" i="27" s="1"/>
  <c r="ES83" i="24"/>
  <c r="GM83" i="24"/>
  <c r="EB83" i="24"/>
  <c r="GK83" i="24"/>
  <c r="AC83" i="24"/>
  <c r="M83" i="27" s="1"/>
  <c r="BP82" i="32"/>
  <c r="AC82" i="27"/>
  <c r="AE84" i="7" l="1"/>
  <c r="GM84" i="7"/>
  <c r="ES84" i="7"/>
  <c r="BT83" i="32"/>
  <c r="AG83" i="27"/>
  <c r="AF83" i="24"/>
  <c r="P83" i="27" s="1"/>
  <c r="GN83" i="24"/>
  <c r="FB83" i="24"/>
  <c r="EZ83" i="24"/>
  <c r="FK83" i="24" s="1"/>
  <c r="BV83" i="32"/>
  <c r="AI83" i="27"/>
  <c r="AC84" i="7"/>
  <c r="GK84" i="7"/>
  <c r="EB84" i="7"/>
  <c r="CP84" i="7"/>
  <c r="AG84" i="7" s="1"/>
  <c r="EZ84" i="7"/>
  <c r="FB84" i="7"/>
  <c r="GN84" i="7"/>
  <c r="AF84" i="7"/>
  <c r="GR83" i="24" l="1"/>
  <c r="GS83" i="24"/>
  <c r="GQ83" i="24"/>
  <c r="GP83" i="24"/>
  <c r="GT83" i="24" s="1" a="1"/>
  <c r="GT83" i="24" s="1"/>
  <c r="FK84" i="7"/>
  <c r="BW83" i="32"/>
  <c r="AJ83" i="27"/>
  <c r="GU83" i="24" l="1"/>
  <c r="BW83" i="24" s="1"/>
  <c r="GV83" i="24"/>
  <c r="BX83" i="24" s="1"/>
  <c r="GX83" i="24"/>
  <c r="GW83" i="24"/>
  <c r="GR84" i="7"/>
  <c r="GP84" i="7"/>
  <c r="GS84" i="7"/>
  <c r="GQ84" i="7"/>
  <c r="GT84" i="7" l="1" a="1"/>
  <c r="GT84" i="7" s="1"/>
  <c r="GU84" i="7" s="1"/>
  <c r="BW84" i="7" s="1"/>
  <c r="EH83" i="24"/>
  <c r="EE84" i="24" s="1"/>
  <c r="Z83" i="24"/>
  <c r="J83" i="27" s="1"/>
  <c r="GD83" i="24"/>
  <c r="DZ83" i="24"/>
  <c r="BY83" i="24"/>
  <c r="GC83" i="24"/>
  <c r="EI84" i="24"/>
  <c r="EJ84" i="24"/>
  <c r="GW84" i="7" l="1"/>
  <c r="BZ83" i="24"/>
  <c r="CA83" i="24" s="1"/>
  <c r="CD83" i="24" s="1"/>
  <c r="GV84" i="7"/>
  <c r="BX84" i="7" s="1"/>
  <c r="BY84" i="7" s="1"/>
  <c r="BZ84" i="7" s="1"/>
  <c r="GX84" i="7"/>
  <c r="BM83" i="32"/>
  <c r="Z83" i="27"/>
  <c r="GL84" i="24"/>
  <c r="AD84" i="24"/>
  <c r="N84" i="27" s="1"/>
  <c r="BL83" i="32"/>
  <c r="Y83" i="27"/>
  <c r="CB83" i="24"/>
  <c r="CR83" i="24" s="1"/>
  <c r="GE83" i="24"/>
  <c r="EX83" i="24"/>
  <c r="FH83" i="24" s="1"/>
  <c r="GC84" i="7"/>
  <c r="DZ84" i="7"/>
  <c r="EH84" i="7" l="1"/>
  <c r="EE85" i="7" s="1"/>
  <c r="Z84" i="7"/>
  <c r="GD84" i="7"/>
  <c r="EQ83" i="24"/>
  <c r="GF83" i="24"/>
  <c r="BO83" i="32" s="1"/>
  <c r="EQ84" i="7"/>
  <c r="GF84" i="7"/>
  <c r="CV83" i="24"/>
  <c r="CY83" i="24"/>
  <c r="BN83" i="32"/>
  <c r="AA83" i="27"/>
  <c r="BU84" i="32"/>
  <c r="AH84" i="27"/>
  <c r="FI83" i="24"/>
  <c r="FA84" i="24"/>
  <c r="AD85" i="7"/>
  <c r="GL85" i="7"/>
  <c r="CB84" i="7"/>
  <c r="CR84" i="7" s="1"/>
  <c r="EX84" i="7"/>
  <c r="FH84" i="7" s="1"/>
  <c r="GE84" i="7"/>
  <c r="CL83" i="24"/>
  <c r="CA84" i="7"/>
  <c r="CD84" i="7" s="1"/>
  <c r="CJ83" i="24"/>
  <c r="EI85" i="7"/>
  <c r="EJ85" i="7"/>
  <c r="AB83" i="27" l="1"/>
  <c r="GH83" i="24"/>
  <c r="V83" i="24"/>
  <c r="F83" i="27" s="1"/>
  <c r="GG83" i="24"/>
  <c r="CK83" i="24"/>
  <c r="CJ84" i="7"/>
  <c r="CL84" i="7"/>
  <c r="DA83" i="24"/>
  <c r="DE83" i="24" s="1"/>
  <c r="FI84" i="7"/>
  <c r="FA85" i="7"/>
  <c r="CV84" i="7"/>
  <c r="CY84" i="7"/>
  <c r="DA84" i="7" l="1"/>
  <c r="DE84" i="7" s="1"/>
  <c r="DJ84" i="7" s="1"/>
  <c r="DN84" i="7" s="1"/>
  <c r="GH84" i="7"/>
  <c r="V84" i="7"/>
  <c r="CK84" i="7"/>
  <c r="GG84" i="7"/>
  <c r="DJ83" i="24"/>
  <c r="DN83" i="24" s="1"/>
  <c r="Y83" i="24"/>
  <c r="I83" i="27" s="1"/>
  <c r="DG83" i="24"/>
  <c r="DX83" i="24" s="1"/>
  <c r="DW84" i="24" s="1"/>
  <c r="EA84" i="24" s="1"/>
  <c r="DF83" i="24"/>
  <c r="BS84" i="24" s="1"/>
  <c r="BP83" i="32"/>
  <c r="AC83" i="27"/>
  <c r="BQ83" i="32"/>
  <c r="AD83" i="27"/>
  <c r="DQ84" i="7" l="1"/>
  <c r="AA84" i="7"/>
  <c r="EO84" i="7"/>
  <c r="EN85" i="7" s="1"/>
  <c r="DO84" i="7"/>
  <c r="EO83" i="24"/>
  <c r="EN84" i="24" s="1"/>
  <c r="DO83" i="24"/>
  <c r="AA83" i="24"/>
  <c r="K83" i="27" s="1"/>
  <c r="DQ83" i="24"/>
  <c r="GK84" i="24"/>
  <c r="AC84" i="24"/>
  <c r="M84" i="27" s="1"/>
  <c r="EB84" i="24"/>
  <c r="DG84" i="7"/>
  <c r="DX84" i="7" s="1"/>
  <c r="DW85" i="7" s="1"/>
  <c r="DF84" i="7"/>
  <c r="BS85" i="7" s="1"/>
  <c r="Y84" i="7"/>
  <c r="EA85" i="7"/>
  <c r="EV83" i="24" l="1"/>
  <c r="EU84" i="24" s="1"/>
  <c r="AB83" i="24"/>
  <c r="L83" i="27" s="1"/>
  <c r="BT84" i="32"/>
  <c r="AG84" i="27"/>
  <c r="GM84" i="24"/>
  <c r="AE84" i="24"/>
  <c r="O84" i="27" s="1"/>
  <c r="ES84" i="24"/>
  <c r="AE85" i="7"/>
  <c r="GM85" i="7"/>
  <c r="ES85" i="7"/>
  <c r="EB85" i="7"/>
  <c r="AC85" i="7"/>
  <c r="GK85" i="7"/>
  <c r="AB84" i="7"/>
  <c r="EV84" i="7"/>
  <c r="EU85" i="7" s="1"/>
  <c r="CP85" i="7" s="1"/>
  <c r="AG85" i="7" s="1"/>
  <c r="BV84" i="32" l="1"/>
  <c r="AI84" i="27"/>
  <c r="EZ85" i="7"/>
  <c r="FB85" i="7"/>
  <c r="AF85" i="7"/>
  <c r="GN85" i="7"/>
  <c r="FK85" i="7"/>
  <c r="GN84" i="24"/>
  <c r="FB84" i="24"/>
  <c r="EZ84" i="24"/>
  <c r="FK84" i="24" s="1"/>
  <c r="AF84" i="24"/>
  <c r="P84" i="27" s="1"/>
  <c r="CP84" i="24"/>
  <c r="AG84" i="24" s="1"/>
  <c r="Q84" i="27" s="1"/>
  <c r="BW84" i="32" l="1"/>
  <c r="AJ84" i="27"/>
  <c r="GQ85" i="7"/>
  <c r="GS85" i="7"/>
  <c r="GP85" i="7"/>
  <c r="GR85" i="7"/>
  <c r="GS84" i="24"/>
  <c r="GP84" i="24"/>
  <c r="GR84" i="24"/>
  <c r="GQ84" i="24"/>
  <c r="GT85" i="7" l="1" a="1"/>
  <c r="GT85" i="7" s="1"/>
  <c r="GW85" i="7" s="1"/>
  <c r="GT84" i="24" a="1"/>
  <c r="GT84" i="24" s="1"/>
  <c r="GV85" i="7" l="1"/>
  <c r="BX85" i="7" s="1"/>
  <c r="Z85" i="7" s="1"/>
  <c r="GX85" i="7"/>
  <c r="GU85" i="7"/>
  <c r="BW85" i="7" s="1"/>
  <c r="GW84" i="24"/>
  <c r="GX84" i="24"/>
  <c r="GV84" i="24"/>
  <c r="BX84" i="24" s="1"/>
  <c r="GU84" i="24"/>
  <c r="BW84" i="24" s="1"/>
  <c r="BY85" i="7" l="1"/>
  <c r="EX85" i="7" s="1"/>
  <c r="FH85" i="7" s="1"/>
  <c r="GD85" i="7"/>
  <c r="DZ85" i="7"/>
  <c r="EH85" i="7"/>
  <c r="EE86" i="7" s="1"/>
  <c r="AD86" i="7" s="1"/>
  <c r="GC85" i="7"/>
  <c r="BZ85" i="7"/>
  <c r="GL86" i="7"/>
  <c r="DZ84" i="24"/>
  <c r="BY84" i="24"/>
  <c r="CB84" i="24" s="1"/>
  <c r="CR84" i="24" s="1"/>
  <c r="GC84" i="24"/>
  <c r="EH84" i="24"/>
  <c r="EE85" i="24" s="1"/>
  <c r="EI85" i="24" s="1"/>
  <c r="GD84" i="24"/>
  <c r="Z84" i="24"/>
  <c r="J84" i="27" s="1"/>
  <c r="EI86" i="7"/>
  <c r="GE85" i="7" l="1"/>
  <c r="CB85" i="7"/>
  <c r="CR85" i="7" s="1"/>
  <c r="EJ85" i="24"/>
  <c r="EJ86" i="7"/>
  <c r="BZ84" i="24"/>
  <c r="GF84" i="24" s="1"/>
  <c r="CY84" i="24"/>
  <c r="CV84" i="24"/>
  <c r="GF85" i="7"/>
  <c r="EQ85" i="7"/>
  <c r="CA85" i="7"/>
  <c r="CD85" i="7" s="1"/>
  <c r="GL85" i="24"/>
  <c r="AD85" i="24"/>
  <c r="N85" i="27" s="1"/>
  <c r="BL84" i="32"/>
  <c r="Y84" i="27"/>
  <c r="GE84" i="24"/>
  <c r="EX84" i="24"/>
  <c r="FH84" i="24" s="1"/>
  <c r="FI85" i="7"/>
  <c r="FA86" i="7"/>
  <c r="CA84" i="24"/>
  <c r="CD84" i="24" s="1"/>
  <c r="CV85" i="7"/>
  <c r="CY85" i="7"/>
  <c r="BM84" i="32"/>
  <c r="Z84" i="27"/>
  <c r="EQ84" i="24" l="1"/>
  <c r="CJ85" i="7"/>
  <c r="CL85" i="7"/>
  <c r="FI84" i="24"/>
  <c r="FA85" i="24"/>
  <c r="BN84" i="32"/>
  <c r="AA84" i="27"/>
  <c r="DA85" i="7"/>
  <c r="DE85" i="7" s="1"/>
  <c r="BO84" i="32"/>
  <c r="AB84" i="27"/>
  <c r="CL84" i="24"/>
  <c r="CJ84" i="24"/>
  <c r="BU85" i="32"/>
  <c r="AH85" i="27"/>
  <c r="DA84" i="24"/>
  <c r="DE84" i="24" s="1"/>
  <c r="DJ84" i="24" s="1"/>
  <c r="DN84" i="24" s="1"/>
  <c r="DJ85" i="7" l="1"/>
  <c r="DN85" i="7" s="1"/>
  <c r="DQ85" i="7" s="1"/>
  <c r="DG85" i="7"/>
  <c r="DX85" i="7" s="1"/>
  <c r="DW86" i="7" s="1"/>
  <c r="Y85" i="7"/>
  <c r="DF85" i="7"/>
  <c r="BS86" i="7" s="1"/>
  <c r="DG84" i="24"/>
  <c r="DX84" i="24" s="1"/>
  <c r="DW85" i="24" s="1"/>
  <c r="EA85" i="24" s="1"/>
  <c r="Y84" i="24"/>
  <c r="I84" i="27" s="1"/>
  <c r="DF84" i="24"/>
  <c r="BS85" i="24" s="1"/>
  <c r="EO84" i="24"/>
  <c r="EN85" i="24" s="1"/>
  <c r="DO84" i="24"/>
  <c r="AA84" i="24"/>
  <c r="K84" i="27" s="1"/>
  <c r="GG85" i="7"/>
  <c r="CK85" i="7"/>
  <c r="GH85" i="7"/>
  <c r="V85" i="7"/>
  <c r="CK84" i="24"/>
  <c r="GH84" i="24"/>
  <c r="V84" i="24"/>
  <c r="F84" i="27" s="1"/>
  <c r="GG84" i="24"/>
  <c r="DQ84" i="24"/>
  <c r="EA86" i="7"/>
  <c r="AC85" i="24" l="1"/>
  <c r="M85" i="27" s="1"/>
  <c r="EB85" i="24"/>
  <c r="GK85" i="24"/>
  <c r="EV84" i="24"/>
  <c r="EU85" i="24" s="1"/>
  <c r="CP85" i="24" s="1"/>
  <c r="AG85" i="24" s="1"/>
  <c r="Q85" i="27" s="1"/>
  <c r="AB84" i="24"/>
  <c r="L84" i="27" s="1"/>
  <c r="EV85" i="7"/>
  <c r="EU86" i="7" s="1"/>
  <c r="AB85" i="7"/>
  <c r="BP84" i="32"/>
  <c r="AC84" i="27"/>
  <c r="GK86" i="7"/>
  <c r="AC86" i="7"/>
  <c r="EB86" i="7"/>
  <c r="BQ84" i="32"/>
  <c r="AD84" i="27"/>
  <c r="AE85" i="24"/>
  <c r="O85" i="27" s="1"/>
  <c r="GM85" i="24"/>
  <c r="ES85" i="24"/>
  <c r="AA85" i="7"/>
  <c r="DO85" i="7"/>
  <c r="EO85" i="7"/>
  <c r="EN86" i="7" s="1"/>
  <c r="EZ85" i="24" l="1"/>
  <c r="FK85" i="24" s="1"/>
  <c r="GN85" i="24"/>
  <c r="AF85" i="24"/>
  <c r="P85" i="27" s="1"/>
  <c r="FB85" i="24"/>
  <c r="BV85" i="32"/>
  <c r="AI85" i="27"/>
  <c r="BT85" i="32"/>
  <c r="AG85" i="27"/>
  <c r="AE86" i="7"/>
  <c r="ES86" i="7"/>
  <c r="GM86" i="7"/>
  <c r="CP86" i="7"/>
  <c r="AG86" i="7" s="1"/>
  <c r="GN86" i="7"/>
  <c r="FB86" i="7"/>
  <c r="EZ86" i="7"/>
  <c r="AF86" i="7"/>
  <c r="FK86" i="7" l="1"/>
  <c r="GQ86" i="7" s="1"/>
  <c r="BW85" i="32"/>
  <c r="AJ85" i="27"/>
  <c r="GR85" i="24"/>
  <c r="GQ85" i="24"/>
  <c r="GP85" i="24"/>
  <c r="GS85" i="24"/>
  <c r="GR86" i="7" l="1"/>
  <c r="GS86" i="7"/>
  <c r="GP86" i="7"/>
  <c r="GT85" i="24" a="1"/>
  <c r="GT85" i="24" s="1"/>
  <c r="GW85" i="24" s="1"/>
  <c r="GT86" i="7" a="1"/>
  <c r="GT86" i="7" s="1"/>
  <c r="GX86" i="7" s="1"/>
  <c r="GV86" i="7" l="1"/>
  <c r="BX86" i="7" s="1"/>
  <c r="GD86" i="7" s="1"/>
  <c r="GU86" i="7"/>
  <c r="BW86" i="7" s="1"/>
  <c r="GW86" i="7"/>
  <c r="GU85" i="24"/>
  <c r="BW85" i="24" s="1"/>
  <c r="GC85" i="24" s="1"/>
  <c r="GX85" i="24"/>
  <c r="GV85" i="24"/>
  <c r="BX85" i="24" s="1"/>
  <c r="EH85" i="24" s="1"/>
  <c r="EE86" i="24" s="1"/>
  <c r="EI86" i="24" s="1"/>
  <c r="GC86" i="7"/>
  <c r="Z86" i="7" l="1"/>
  <c r="EH86" i="7"/>
  <c r="BY86" i="7"/>
  <c r="BZ86" i="7" s="1"/>
  <c r="EQ86" i="7" s="1"/>
  <c r="EJ86" i="24"/>
  <c r="DZ86" i="7"/>
  <c r="Z85" i="24"/>
  <c r="J85" i="27" s="1"/>
  <c r="GD85" i="24"/>
  <c r="Z85" i="27" s="1"/>
  <c r="DZ85" i="24"/>
  <c r="BY85" i="24"/>
  <c r="CB85" i="24" s="1"/>
  <c r="CR85" i="24" s="1"/>
  <c r="CY85" i="24" s="1"/>
  <c r="AD86" i="24"/>
  <c r="GL86" i="24"/>
  <c r="CA86" i="7"/>
  <c r="CD86" i="7" s="1"/>
  <c r="BL85" i="32"/>
  <c r="Y85" i="27"/>
  <c r="CB86" i="7" l="1"/>
  <c r="CR86" i="7" s="1"/>
  <c r="GE86" i="7"/>
  <c r="EX86" i="7"/>
  <c r="FH86" i="7" s="1"/>
  <c r="FI86" i="7" s="1"/>
  <c r="GF86" i="7"/>
  <c r="BM85" i="32"/>
  <c r="EX85" i="24"/>
  <c r="FH85" i="24" s="1"/>
  <c r="FA86" i="24" s="1"/>
  <c r="BZ85" i="24"/>
  <c r="CA85" i="24" s="1"/>
  <c r="CD85" i="24" s="1"/>
  <c r="CL85" i="24" s="1"/>
  <c r="GE85" i="24"/>
  <c r="AA85" i="27" s="1"/>
  <c r="CV85" i="24"/>
  <c r="CL86" i="7"/>
  <c r="CJ86" i="7"/>
  <c r="BU86" i="32"/>
  <c r="AH86" i="27"/>
  <c r="FI85" i="24"/>
  <c r="CV86" i="7"/>
  <c r="CY86" i="7"/>
  <c r="DA85" i="24"/>
  <c r="DE85" i="24" s="1"/>
  <c r="BN85" i="32" l="1"/>
  <c r="EQ85" i="24"/>
  <c r="GF85" i="24"/>
  <c r="CJ85" i="24"/>
  <c r="CK85" i="24" s="1"/>
  <c r="CL6" i="7"/>
  <c r="AY16" i="32"/>
  <c r="BO85" i="32"/>
  <c r="AB85" i="27"/>
  <c r="DF85" i="24"/>
  <c r="BS86" i="24" s="1"/>
  <c r="Y85" i="24"/>
  <c r="I85" i="27" s="1"/>
  <c r="DG85" i="24"/>
  <c r="DX85" i="24" s="1"/>
  <c r="DW86" i="24" s="1"/>
  <c r="GH85" i="24"/>
  <c r="V85" i="24"/>
  <c r="F85" i="27" s="1"/>
  <c r="GG85" i="24"/>
  <c r="DA86" i="7"/>
  <c r="DE86" i="7" s="1"/>
  <c r="DJ85" i="24"/>
  <c r="DN85" i="24" s="1"/>
  <c r="B103" i="7"/>
  <c r="AT32" i="32" s="1"/>
  <c r="GH86" i="7"/>
  <c r="GG86" i="7"/>
  <c r="CK86" i="7"/>
  <c r="C103" i="7" s="1"/>
  <c r="AW32" i="32" s="1"/>
  <c r="V86" i="7"/>
  <c r="EA86" i="24"/>
  <c r="AA85" i="24" l="1"/>
  <c r="K85" i="27" s="1"/>
  <c r="DO85" i="24"/>
  <c r="EO85" i="24"/>
  <c r="EN86" i="24" s="1"/>
  <c r="Y86" i="7"/>
  <c r="DF86" i="7"/>
  <c r="DG86" i="7"/>
  <c r="DX86" i="7" s="1"/>
  <c r="EB86" i="24"/>
  <c r="AC86" i="24"/>
  <c r="GK86" i="24"/>
  <c r="DJ86" i="7"/>
  <c r="DN86" i="7" s="1"/>
  <c r="BP85" i="32"/>
  <c r="AC85" i="27"/>
  <c r="BQ85" i="32"/>
  <c r="AD85" i="27"/>
  <c r="DQ85" i="24"/>
  <c r="AB85" i="24" l="1"/>
  <c r="L85" i="27" s="1"/>
  <c r="EV85" i="24"/>
  <c r="EU86" i="24" s="1"/>
  <c r="DO86" i="7"/>
  <c r="EO86" i="7"/>
  <c r="AA86" i="7"/>
  <c r="DQ86" i="7"/>
  <c r="BT86" i="32"/>
  <c r="AG86" i="27"/>
  <c r="ES86" i="24"/>
  <c r="AE86" i="24"/>
  <c r="GM86" i="24"/>
  <c r="AB86" i="7" l="1"/>
  <c r="EV86" i="7"/>
  <c r="BV86" i="32"/>
  <c r="AI86" i="27"/>
  <c r="EZ86" i="24"/>
  <c r="FK86" i="24" s="1"/>
  <c r="GN86" i="24"/>
  <c r="FB86" i="24"/>
  <c r="AF86" i="24"/>
  <c r="CP86" i="24"/>
  <c r="AG86" i="24" s="1"/>
  <c r="BW86" i="32" l="1"/>
  <c r="AJ86" i="27"/>
  <c r="GQ86" i="24"/>
  <c r="GP86" i="24"/>
  <c r="GT86" i="24" s="1" a="1"/>
  <c r="GT86" i="24" s="1"/>
  <c r="GS86" i="24"/>
  <c r="GR86" i="24"/>
  <c r="GW86" i="24" l="1"/>
  <c r="GX86" i="24"/>
  <c r="GV86" i="24"/>
  <c r="BX86" i="24" s="1"/>
  <c r="GU86" i="24"/>
  <c r="BW86" i="24" s="1"/>
  <c r="DZ86" i="24" l="1"/>
  <c r="BY86" i="24"/>
  <c r="GC86" i="24"/>
  <c r="Z86" i="24"/>
  <c r="EH86" i="24"/>
  <c r="GD86" i="24"/>
  <c r="BM86" i="32" l="1"/>
  <c r="Z86" i="27"/>
  <c r="CB86" i="24"/>
  <c r="CR86" i="24" s="1"/>
  <c r="EX86" i="24"/>
  <c r="FH86" i="24" s="1"/>
  <c r="FI86" i="24" s="1"/>
  <c r="GE86" i="24"/>
  <c r="BZ86" i="24"/>
  <c r="CA86" i="24" s="1"/>
  <c r="CD86" i="24" s="1"/>
  <c r="BL86" i="32"/>
  <c r="Y86" i="27"/>
  <c r="CJ86" i="24" l="1"/>
  <c r="CL86" i="24"/>
  <c r="BN86" i="32"/>
  <c r="AA86" i="27"/>
  <c r="CY86" i="24"/>
  <c r="CV86" i="24"/>
  <c r="EQ86" i="24"/>
  <c r="GF86" i="24"/>
  <c r="DA86" i="24" l="1"/>
  <c r="DE86" i="24" s="1"/>
  <c r="DJ86" i="24" s="1"/>
  <c r="DN86" i="24" s="1"/>
  <c r="BO86" i="32"/>
  <c r="AB86" i="27"/>
  <c r="CL6" i="24"/>
  <c r="BA16" i="32"/>
  <c r="AO16" i="32" s="1"/>
  <c r="AO12" i="32" s="1"/>
  <c r="AP12" i="32" s="1"/>
  <c r="P8" i="32" s="1"/>
  <c r="B103" i="24"/>
  <c r="AU32" i="32" s="1"/>
  <c r="GH86" i="24"/>
  <c r="V86" i="24"/>
  <c r="GG86" i="24"/>
  <c r="CK86" i="24"/>
  <c r="C103" i="24" s="1"/>
  <c r="AX32" i="32" s="1"/>
  <c r="DO86" i="24" l="1"/>
  <c r="EO86" i="24"/>
  <c r="AA86" i="24"/>
  <c r="BP86" i="32"/>
  <c r="AC86" i="27"/>
  <c r="DQ86" i="24"/>
  <c r="BQ86" i="32"/>
  <c r="AD86" i="27"/>
  <c r="Y86" i="24"/>
  <c r="DG86" i="24"/>
  <c r="DX86" i="24" s="1"/>
  <c r="DF86" i="24"/>
  <c r="EV86" i="24" l="1"/>
  <c r="AB86" i="24"/>
</calcChain>
</file>

<file path=xl/sharedStrings.xml><?xml version="1.0" encoding="utf-8"?>
<sst xmlns="http://schemas.openxmlformats.org/spreadsheetml/2006/main" count="2200" uniqueCount="714">
  <si>
    <t>Tax</t>
  </si>
  <si>
    <t>Year</t>
  </si>
  <si>
    <t>Amount</t>
  </si>
  <si>
    <t>Total</t>
  </si>
  <si>
    <t>Income</t>
  </si>
  <si>
    <t>Net</t>
  </si>
  <si>
    <t>Savings</t>
  </si>
  <si>
    <t>Limit</t>
  </si>
  <si>
    <t>RRSP</t>
  </si>
  <si>
    <t>Age</t>
  </si>
  <si>
    <t>Inflation</t>
  </si>
  <si>
    <t>Invest</t>
  </si>
  <si>
    <t>Contr</t>
  </si>
  <si>
    <t xml:space="preserve">Taxable </t>
  </si>
  <si>
    <t>Retirement Age</t>
  </si>
  <si>
    <t>Life Expentancy</t>
  </si>
  <si>
    <t>Required</t>
  </si>
  <si>
    <t>Gross</t>
  </si>
  <si>
    <t>CPI</t>
  </si>
  <si>
    <t>Stage</t>
  </si>
  <si>
    <t>Avail.</t>
  </si>
  <si>
    <t>Max</t>
  </si>
  <si>
    <t>LIRA</t>
  </si>
  <si>
    <t>Salary Growth</t>
  </si>
  <si>
    <t>Pension</t>
  </si>
  <si>
    <t>DB</t>
  </si>
  <si>
    <t>Balance</t>
  </si>
  <si>
    <t>S.O.Y.</t>
  </si>
  <si>
    <t>RPP</t>
  </si>
  <si>
    <t>TFSA</t>
  </si>
  <si>
    <t>Interest</t>
  </si>
  <si>
    <t>W/D</t>
  </si>
  <si>
    <t>CPP</t>
  </si>
  <si>
    <t>OAS</t>
  </si>
  <si>
    <t>LIRA and RPP</t>
  </si>
  <si>
    <t>AGE</t>
  </si>
  <si>
    <t>LIF Withdrawal Table</t>
  </si>
  <si>
    <t>Min</t>
  </si>
  <si>
    <t>RRIF Table</t>
  </si>
  <si>
    <t>Savings / Investment</t>
  </si>
  <si>
    <t>Taxable</t>
  </si>
  <si>
    <t>Cap Gain</t>
  </si>
  <si>
    <t>% Cap Gn</t>
  </si>
  <si>
    <t>Federal</t>
  </si>
  <si>
    <t>Alberta</t>
  </si>
  <si>
    <t>Sub</t>
  </si>
  <si>
    <t>Convert</t>
  </si>
  <si>
    <t>Target Ratios</t>
  </si>
  <si>
    <t>Available Ratios</t>
  </si>
  <si>
    <t>Available</t>
  </si>
  <si>
    <t>Fund TFSA from Svgs</t>
  </si>
  <si>
    <t>Flag</t>
  </si>
  <si>
    <t>Shortfall</t>
  </si>
  <si>
    <t>DB Pension Amount</t>
  </si>
  <si>
    <t>LIF Conversion Age</t>
  </si>
  <si>
    <t>RRIF Conversion Age</t>
  </si>
  <si>
    <t>Start Year</t>
  </si>
  <si>
    <t>Investment Return</t>
  </si>
  <si>
    <t>% Cap Gain in Invest Return</t>
  </si>
  <si>
    <t>Employment Income</t>
  </si>
  <si>
    <t>Account Balances</t>
  </si>
  <si>
    <t>LIRA/RPP</t>
  </si>
  <si>
    <t xml:space="preserve"> - Capital Gain in Svgs/Inv.</t>
  </si>
  <si>
    <t>DB Pension Income</t>
  </si>
  <si>
    <t>DB Start Age</t>
  </si>
  <si>
    <t>CPP Age</t>
  </si>
  <si>
    <t>OAS Age</t>
  </si>
  <si>
    <t>Taxes</t>
  </si>
  <si>
    <t>Tax Table</t>
  </si>
  <si>
    <t>Ratios to Weight Account Withdrawals</t>
  </si>
  <si>
    <t>Income Chart</t>
  </si>
  <si>
    <t>Account Balance Chart</t>
  </si>
  <si>
    <t>Employ-</t>
  </si>
  <si>
    <t>ment</t>
  </si>
  <si>
    <t>Before</t>
  </si>
  <si>
    <t>Withdrawal</t>
  </si>
  <si>
    <t>On/Off</t>
  </si>
  <si>
    <t>Description</t>
  </si>
  <si>
    <t>Current Age</t>
  </si>
  <si>
    <t>Income and Taxes</t>
  </si>
  <si>
    <t>Pensions</t>
  </si>
  <si>
    <t>Account Withdrawal Weightings</t>
  </si>
  <si>
    <t>Inflation and Returns</t>
  </si>
  <si>
    <t>LIF/ RRIF Conversion</t>
  </si>
  <si>
    <t>This must be between 50 and 71.  There are no withdrawals from LIRA accounts until it is converted to a LIF, then minimum and maximum withdrawals apply.</t>
  </si>
  <si>
    <t>Growth in employment income.</t>
  </si>
  <si>
    <t xml:space="preserve">Investment return for all accounts.  </t>
  </si>
  <si>
    <t>Start age for DB income.</t>
  </si>
  <si>
    <t>General Settings</t>
  </si>
  <si>
    <t>Account balances as of the beginning of the start year specified above.</t>
  </si>
  <si>
    <t>Increase this to make income come from the RRSP preferentially.</t>
  </si>
  <si>
    <t>Retirement Income Required (after taxes)</t>
  </si>
  <si>
    <t>Accounts</t>
  </si>
  <si>
    <t>Account Withdrawals</t>
  </si>
  <si>
    <t>Rate</t>
  </si>
  <si>
    <t>After Tax</t>
  </si>
  <si>
    <t>Clawback</t>
  </si>
  <si>
    <t>Less</t>
  </si>
  <si>
    <t>Before Tax</t>
  </si>
  <si>
    <t>Other</t>
  </si>
  <si>
    <t>Capital</t>
  </si>
  <si>
    <t>Gain</t>
  </si>
  <si>
    <t>in W/D</t>
  </si>
  <si>
    <t>Increase</t>
  </si>
  <si>
    <t>Contr.</t>
  </si>
  <si>
    <t>in Balance</t>
  </si>
  <si>
    <t>Summary ($k)</t>
  </si>
  <si>
    <t>Calculations -&gt;</t>
  </si>
  <si>
    <t>CPP indexed at CPI</t>
  </si>
  <si>
    <t xml:space="preserve"> </t>
  </si>
  <si>
    <t xml:space="preserve">Then LIRA is withdrawn if the LIRA has been converted to a LIF. </t>
  </si>
  <si>
    <t xml:space="preserve">Total of accounts wthdrawal.  </t>
  </si>
  <si>
    <t>Income tax from table less NRTC</t>
  </si>
  <si>
    <t xml:space="preserve">Actual RRSP contribution, based on room and amount of savings available. </t>
  </si>
  <si>
    <t xml:space="preserve">Left over savings that are put in Investment account. </t>
  </si>
  <si>
    <t xml:space="preserve">For the RRSP account, balance at start of year.  </t>
  </si>
  <si>
    <t>Contributions (from left)</t>
  </si>
  <si>
    <t>Withdrawals</t>
  </si>
  <si>
    <t>Flag to convert RRSP to RRIF (2= converted)</t>
  </si>
  <si>
    <t xml:space="preserve">For the LIRA/RPP account, balance at start of year.  </t>
  </si>
  <si>
    <t xml:space="preserve">Maximum possible withdrawal.  </t>
  </si>
  <si>
    <t xml:space="preserve">Minimum possible withdrawal.  After conversion to RRIF minimum is based on RRIF withdrawal table.  </t>
  </si>
  <si>
    <t xml:space="preserve">Minimum possible withdrawal.  After conversion to LIF minimum is based on LIF withdrawal table.  </t>
  </si>
  <si>
    <t xml:space="preserve">Maximum possible withdrawal.  After conversion to LIF maximum is based on LIF withdrawal table.  </t>
  </si>
  <si>
    <t>Flag to convert LIRA to LIF (2= converted)</t>
  </si>
  <si>
    <t xml:space="preserve">For the TFSA account, balance at start of year.  </t>
  </si>
  <si>
    <t>Withdrawals.  If negative this is a contribution after retirement.</t>
  </si>
  <si>
    <t xml:space="preserve">Minimum possible withdrawal.  </t>
  </si>
  <si>
    <t xml:space="preserve">For the Investment account, balance at start of year.  </t>
  </si>
  <si>
    <t xml:space="preserve">Withdrawals.  </t>
  </si>
  <si>
    <t>Balance of unrealized capital gains within account.</t>
  </si>
  <si>
    <t>Percentage of balance that is unrealized capital gains within account.</t>
  </si>
  <si>
    <t>Increase in unrealized capital gains, which is the proportion of interest that is capital gain (the fraction is an input at left)</t>
  </si>
  <si>
    <t xml:space="preserve">Amount of capital gain in the withdrawal, assuming the proportion of capital gains in the withdrawal is the same as the balance in the account.  </t>
  </si>
  <si>
    <t xml:space="preserve">Amount of withdrawal that is taxable.  </t>
  </si>
  <si>
    <t>Total available withdrawal (the sum of the maximums)</t>
  </si>
  <si>
    <t>22 year old</t>
  </si>
  <si>
    <t>Net Income less savings</t>
  </si>
  <si>
    <t>Retirement Estimate (Only enter values in yellow cells)</t>
  </si>
  <si>
    <t>Investment</t>
  </si>
  <si>
    <t>Sum *</t>
  </si>
  <si>
    <t>Weights</t>
  </si>
  <si>
    <t xml:space="preserve">Contributions (from left) less any tax on interest.  Before retirement, tax on this account income is paid out of the account by reducing contributions. </t>
  </si>
  <si>
    <t xml:space="preserve">These weightings are used to modify the amount withdrawn from each account during retirement.  Set all these to 1 for the default algorithm.  The default method is to fund retirement income from each account proportional to the maximum allowable withdrawal.  This method will make all the accounts empty roughly at the same time.  </t>
  </si>
  <si>
    <t>Person</t>
  </si>
  <si>
    <t>This spreadsheet can handle the retirement planning for a couple.</t>
  </si>
  <si>
    <t>Instructions</t>
  </si>
  <si>
    <t>Possible Upgrades</t>
  </si>
  <si>
    <t>N&amp;L</t>
  </si>
  <si>
    <t>PEI</t>
  </si>
  <si>
    <t>New Brunswick</t>
  </si>
  <si>
    <t>Nova Scotia</t>
  </si>
  <si>
    <t>Quebec</t>
  </si>
  <si>
    <t>Ontario</t>
  </si>
  <si>
    <t>Manitoba</t>
  </si>
  <si>
    <t>Saskatchewan</t>
  </si>
  <si>
    <t>British Columbia</t>
  </si>
  <si>
    <t>Yukon</t>
  </si>
  <si>
    <t>NWT</t>
  </si>
  <si>
    <t>Nunavut</t>
  </si>
  <si>
    <t>Province</t>
  </si>
  <si>
    <t>Provincial</t>
  </si>
  <si>
    <t>Province #</t>
  </si>
  <si>
    <t>Enhancements</t>
  </si>
  <si>
    <t>Summary and Plots in Current $</t>
  </si>
  <si>
    <t>Summary</t>
  </si>
  <si>
    <t>1 = Yes, 0 = No</t>
  </si>
  <si>
    <t>DB Index after retirement</t>
  </si>
  <si>
    <t>Taxable Income</t>
  </si>
  <si>
    <t>Tax Rates</t>
  </si>
  <si>
    <t>NRTC Deduction Rate</t>
  </si>
  <si>
    <t>Basic Amount</t>
  </si>
  <si>
    <t>Age Amount</t>
  </si>
  <si>
    <t>Canada</t>
  </si>
  <si>
    <t>Additional Federal NRTC Ded'n</t>
  </si>
  <si>
    <t>Additional Provincial NRTC Ded'n</t>
  </si>
  <si>
    <t>For tax calculation.  The spreadsheet does the basic amount and age amount based on your Province.  If you have additional deduction amounts in the Tax Credit section of your taxes put those here.</t>
  </si>
  <si>
    <t>For tax calculation.  The spreadsheet does the basic amount and age amount automatically.  If you have additional deduction amounts in the Tax Credit section of your taxes put those here.</t>
  </si>
  <si>
    <t>NRTC Rate</t>
  </si>
  <si>
    <t>Amounts</t>
  </si>
  <si>
    <t>DC Pension Contribution</t>
  </si>
  <si>
    <t>What the spreadsheet does</t>
  </si>
  <si>
    <t xml:space="preserve">It accounts for a DB pension you may have, CPP and OAS payments and does tax calculations for all the provinces.  </t>
  </si>
  <si>
    <t>It allows you to plan for you retirement, starting at any time in your life.</t>
  </si>
  <si>
    <t>Unused TFSA room</t>
  </si>
  <si>
    <t>Unused</t>
  </si>
  <si>
    <t>or</t>
  </si>
  <si>
    <t>Savings (+)</t>
  </si>
  <si>
    <t>Withdrawal (-)</t>
  </si>
  <si>
    <t>Savings is a positive value here.  During employment it is employment income x % savings.  During retirement the colum is the difference between "Total Required …" and "Total Income" so it can be positive (net savings) or negative (need to withdraw from accounts)</t>
  </si>
  <si>
    <t xml:space="preserve">Gross withdrawals required which is the withdrawal from the "Savings or Withdrawal" column.  </t>
  </si>
  <si>
    <t xml:space="preserve">Lastly withdrawals from TFSA if required.  </t>
  </si>
  <si>
    <t>Excess</t>
  </si>
  <si>
    <t>To Savings</t>
  </si>
  <si>
    <t>Received</t>
  </si>
  <si>
    <t>Non-</t>
  </si>
  <si>
    <t>Additional</t>
  </si>
  <si>
    <t>Expenses</t>
  </si>
  <si>
    <t>Allow different growth rates % for different accounts</t>
  </si>
  <si>
    <t>Non-Taxable</t>
  </si>
  <si>
    <t>DB Index before retirement</t>
  </si>
  <si>
    <t>Retirement summary for both persons</t>
  </si>
  <si>
    <t>Rate at which to inflate the DB pension income from current until start of pension income.  Make this same as CPI to follow inflation, same as salary growth if pension is tied to final salary or 0% if you will be entering the pension income as of the DB start age.</t>
  </si>
  <si>
    <t>Rate at which to index the DB pension, after the DB income has started.  Most plans will index this to something less than CPI.</t>
  </si>
  <si>
    <t>DB Pension based on inputs of amount and start year.  Indexed based on inputs.</t>
  </si>
  <si>
    <t xml:space="preserve">Gifts or monies received, such as inheritances or lottery winnings.  </t>
  </si>
  <si>
    <t xml:space="preserve">Additional expenses or gifts to others.  </t>
  </si>
  <si>
    <t xml:space="preserve">Withdrawals from each account.  "Account Withdrawal Weightings" inputs adjust priority.  RRSP is withdrawn first.  </t>
  </si>
  <si>
    <t>Total balance in all accounts</t>
  </si>
  <si>
    <t xml:space="preserve">TFSA contribution.  </t>
  </si>
  <si>
    <t>22 year old #2</t>
  </si>
  <si>
    <t>Bug Fixes</t>
  </si>
  <si>
    <t>Gross Income = Total Income + Account Withdrawals</t>
  </si>
  <si>
    <t>Copyright</t>
  </si>
  <si>
    <t>This program is free software; you can redistribute it and/or modify it under the terms of the GNU General Public License as published by</t>
  </si>
  <si>
    <t>the Free Software Foundation; either version 3 of the License, or (at your option) any later version.</t>
  </si>
  <si>
    <t>This program is distributed in the hope that it will be useful, but WITHOUT ANY WARRANTY; without even the implied warranty of</t>
  </si>
  <si>
    <t>MERCHANTABILITY or FITNESS FOR A PARTICULAR PURPOSE.  See the GNU General Public License for more details.</t>
  </si>
  <si>
    <t>Created by Steven Brown, March 2013</t>
  </si>
  <si>
    <t>Contact</t>
  </si>
  <si>
    <t>Dividend Tax Credit (of the grossed up amt)</t>
  </si>
  <si>
    <t>Eligible</t>
  </si>
  <si>
    <t>Non-eligible</t>
  </si>
  <si>
    <t>Gross Up</t>
  </si>
  <si>
    <t>Table Year</t>
  </si>
  <si>
    <t>&lt;- When the table is changed for a new year change this number</t>
  </si>
  <si>
    <t>Dividend Tax Rate</t>
  </si>
  <si>
    <t>% Dividend in Invest Return</t>
  </si>
  <si>
    <t xml:space="preserve">Proportion of growth in investment account that is capital gain.  </t>
  </si>
  <si>
    <t>Proportion of growth in investment account that is eligible canadian Dividends.</t>
  </si>
  <si>
    <t>Dividend</t>
  </si>
  <si>
    <t>TC</t>
  </si>
  <si>
    <t>Federal Dividend Tax Credit</t>
  </si>
  <si>
    <t>Provincial Dividend Tax Credit</t>
  </si>
  <si>
    <t xml:space="preserve">Income </t>
  </si>
  <si>
    <t>Account contribution (+) or Withdrawal (-)</t>
  </si>
  <si>
    <t>Federal plus provincial income tax paid</t>
  </si>
  <si>
    <t>Total of all 4 accounts.</t>
  </si>
  <si>
    <t>Account balances at start of year</t>
  </si>
  <si>
    <t>Unreal'd</t>
  </si>
  <si>
    <t>Tacable interest, which is the portion of account growth that is not capital gains and not dividends.</t>
  </si>
  <si>
    <t>Gross up</t>
  </si>
  <si>
    <t>Amount of grossed up dividends.</t>
  </si>
  <si>
    <t>Growth</t>
  </si>
  <si>
    <t>Account growth at "Investment Return %"</t>
  </si>
  <si>
    <t>Capital Gain Taxable</t>
  </si>
  <si>
    <t>The results of the spreadsheet is a detailed income forecast and from what source, or account, the income is sourced.  The spreadsheet also shows the balance in your savings, investment and retirement accounts vs time.  </t>
  </si>
  <si>
    <t>During the employment phase:</t>
  </si>
  <si>
    <t>DC pension contribution percentage is specified and put into a LIRA account.   </t>
  </si>
  <si>
    <t>During the retirement phase:</t>
  </si>
  <si>
    <t>The amount of DB pension, CPP and OAS is calculated first.  </t>
  </si>
  <si>
    <t>OAS clawback is calculated based on previous years income.  </t>
  </si>
  <si>
    <t>Weightings for withdrawal from the 4 accounts can be changed to prefer one account over the other.  </t>
  </si>
  <si>
    <t>Charts</t>
  </si>
  <si>
    <t>The P1_Inc chart shows the income for Person1 as a stacked line for all possible sources of income.  The Net income, after income taxes and money to savings, is shown as a green line.  </t>
  </si>
  <si>
    <t>The P1_Accts shows the balance of the 4 types of savings accounts as a stacked line chart.  </t>
  </si>
  <si>
    <t>The summary section and the plots can be shown in actual $ or in current $.  </t>
  </si>
  <si>
    <t>For the Investment account:</t>
  </si>
  <si>
    <t>You can specify what percentage of the growth in the account is capital gains and what percentage is dividend income, the remainder is interest income.  </t>
  </si>
  <si>
    <t>You can convert an RRSP to an RRIF any time before 71.  The minimum withdrawals rates are imposed.  </t>
  </si>
  <si>
    <t>Withdrawals from each of the 4 different accounts can be changed by changing the account withdrawal weightings.  Normally these are set to 1, but if you want the RRSP withdrawn first set the RRSP weighting higher (maybe 2 or 10).</t>
  </si>
  <si>
    <t>You can continue to contribute to a TFSA (from a taxable savings account) after retirement.  </t>
  </si>
  <si>
    <t>Accurate income tax model.  </t>
  </si>
  <si>
    <t>Key Features</t>
  </si>
  <si>
    <t>Compromises</t>
  </si>
  <si>
    <t>Same investment growth % for all accounts.</t>
  </si>
  <si>
    <t>Name.</t>
  </si>
  <si>
    <t>CPP Benefit Amount</t>
  </si>
  <si>
    <t>OAS Benefit Amount</t>
  </si>
  <si>
    <t>Defined benefit pension plan income.  If you enter this as current $ then set the "DB Index before retirement" to some appropriate value.  If you enter the income you will actually receive in the first year then set "DB Index before retirement" to 0.</t>
  </si>
  <si>
    <t>In the cells to the right of the yellow input cells there is a description of each input.</t>
  </si>
  <si>
    <t>Don't touch cells that have no colour, these are calculated.</t>
  </si>
  <si>
    <t xml:space="preserve">These cells are ones that the developer needs to change when new tax tables are available for a new year.  </t>
  </si>
  <si>
    <t xml:space="preserve"> - Eligible</t>
  </si>
  <si>
    <t xml:space="preserve"> - Non-eligible</t>
  </si>
  <si>
    <t>OAS Clawback</t>
  </si>
  <si>
    <t xml:space="preserve"> - Start net income</t>
  </si>
  <si>
    <t xml:space="preserve"> - Tax rate</t>
  </si>
  <si>
    <t>Age for Age Amt</t>
  </si>
  <si>
    <t>Person 1</t>
  </si>
  <si>
    <t>Person 2</t>
  </si>
  <si>
    <t>Both</t>
  </si>
  <si>
    <t>First Year of Income Shortfall</t>
  </si>
  <si>
    <t>Inputs</t>
  </si>
  <si>
    <t>Results</t>
  </si>
  <si>
    <t>Total income less expenses in "Annual Inputs"</t>
  </si>
  <si>
    <t>Choose Plot</t>
  </si>
  <si>
    <t>#</t>
  </si>
  <si>
    <t>Text</t>
  </si>
  <si>
    <t>Click the "Iterale tax rate" button to make sure tax rates are updated.</t>
  </si>
  <si>
    <t>Selected Message</t>
  </si>
  <si>
    <t xml:space="preserve">All the inputs and a summary of the results are shown on the "Inputs_Summary" sheet. </t>
  </si>
  <si>
    <t>When you open the spreadsheet make sure to enable macros. There is a function macro and also a macro to calculate the tax rates iteratively.</t>
  </si>
  <si>
    <t>On the "Inputs_Summary" sheet it gives a summary of results at the top, including whether you can meet your retirement income goals and how much money you have left.</t>
  </si>
  <si>
    <t>Also on the "Input_Summary" sheet, charts of income and account balances are shown for Person 1 and either Person 2 or Both people (summed together).</t>
  </si>
  <si>
    <t xml:space="preserve">     &lt;- select "Person 2" or "Both" to change charts below.</t>
  </si>
  <si>
    <t>How the spreadsheet works</t>
  </si>
  <si>
    <t>Sheets</t>
  </si>
  <si>
    <t>These cells in sheets Person 1 and Person 2 are the inputs that come from the "Inputs_Summary" sheet.</t>
  </si>
  <si>
    <t xml:space="preserve">Only enter data into yellow cells. Do not change any other cells.  </t>
  </si>
  <si>
    <t>You can convert a LIRA to a LIF at any time between 50 and 71.  The minimum and maximum LIF withdrawal amounts are imposed by the spreadsheet.  </t>
  </si>
  <si>
    <t>RRSP Max % of Inc.</t>
  </si>
  <si>
    <t>Values</t>
  </si>
  <si>
    <t>0=Turn off saving to RRSP, 1 = Turn on savings to RRSP</t>
  </si>
  <si>
    <t>0=Turn off saving to TFSA, 1 = Turn on savings to TFSA</t>
  </si>
  <si>
    <t>TFSA Savings on/off</t>
  </si>
  <si>
    <t>RRSP Savings on/off</t>
  </si>
  <si>
    <t>Relaxation Parameter</t>
  </si>
  <si>
    <t>Automatic Relaxation Parameter</t>
  </si>
  <si>
    <t>(1=Auto, 0=Manual) Macro to iterate tax rates will determine relaxation parameters automatically.  Begins with 0.75 and lowers it progressively if convergence is not reached.</t>
  </si>
  <si>
    <t>Transfers Out</t>
  </si>
  <si>
    <t>Cash</t>
  </si>
  <si>
    <t>Transfers in</t>
  </si>
  <si>
    <t>Estate Type</t>
  </si>
  <si>
    <t>Estate Year</t>
  </si>
  <si>
    <t>Estate Value ($k)</t>
  </si>
  <si>
    <t>1/CPI</t>
  </si>
  <si>
    <t>for</t>
  </si>
  <si>
    <t>Balances</t>
  </si>
  <si>
    <t>(1-Transfer to named beneficiary, 2=Tranfer inheritance)</t>
  </si>
  <si>
    <t>Person1 Estate Year</t>
  </si>
  <si>
    <t>Additional Widowed Income</t>
  </si>
  <si>
    <t>Widowed</t>
  </si>
  <si>
    <t>Income tax calculation is done next.  The "Iterate Tax Rate" macro button copies this calculated tax rate back to the initial guess of the effective tax rate.  The macro does this iteration at least 5 times.  </t>
  </si>
  <si>
    <t>Person1 and Person2 sheets is where the calculation is performed.  These sheets are almost identical.</t>
  </si>
  <si>
    <t xml:space="preserve">Inputs_Summary: All inputs and basic summary plots are here.  </t>
  </si>
  <si>
    <t xml:space="preserve">On death of Person1, the funds can be tranfered to Person 2 assuming as a beneficiary.  Investments are sold at market, income tax paid and funds tranfered to Person2.  RRSP, LIRA and TFSA accounts are transferred.  </t>
  </si>
  <si>
    <t xml:space="preserve">Calculates estate values.   Investments are sold at market, income tax paid.  RRSP and LIRA are cashed.  TFSA is non-taxable.  Estate value is stated after tax paid.  </t>
  </si>
  <si>
    <t>LIRA unlock @ retirement</t>
  </si>
  <si>
    <t xml:space="preserve">Unlock </t>
  </si>
  <si>
    <t>Amount to unlock from LIRA to RRSP</t>
  </si>
  <si>
    <t>Other Settings</t>
  </si>
  <si>
    <t>Calculated</t>
  </si>
  <si>
    <t>Transfer Estate from Person1</t>
  </si>
  <si>
    <t>n/a</t>
  </si>
  <si>
    <t>To tranfer estate from Person1 to Person2, Person1 must pre-decease Person2</t>
  </si>
  <si>
    <t>As Spent</t>
  </si>
  <si>
    <t>Current</t>
  </si>
  <si>
    <t>Current $</t>
  </si>
  <si>
    <t>As Spent $</t>
  </si>
  <si>
    <t xml:space="preserve">The charts at the bottom of the "Inputs_Summary" sheet can be changed from Person 2 to Both by changing the yellow cell just above these charts.  </t>
  </si>
  <si>
    <t>Enter the particulars for one person under the "Person 1" column and a second person (spouse) under the "Person 2" column.</t>
  </si>
  <si>
    <t xml:space="preserve">Relaxation parameter for the tax rate iteration.  Only change this if you turn the Automatic Relaxation Parameter to off.  If the tax rates won't converge lower this number.  Set to 0.75 by default, if you have some very large lumps sum incomes in a single year try 0.25 in here. </t>
  </si>
  <si>
    <t>Account Balance @ Life Exp ($k)</t>
  </si>
  <si>
    <t>DB Share to Spouse</t>
  </si>
  <si>
    <t>DB Survivor %</t>
  </si>
  <si>
    <t>CPP Survivor Benefit</t>
  </si>
  <si>
    <t>Spouse</t>
  </si>
  <si>
    <t>Survivor</t>
  </si>
  <si>
    <t>split to</t>
  </si>
  <si>
    <t>split from</t>
  </si>
  <si>
    <t>Stage of life: 1 = Working, 2=Retired, 3=Pushing up daisies, 4=Estate year</t>
  </si>
  <si>
    <t>DB Pension split from Spouse and survivor amount from spouse.</t>
  </si>
  <si>
    <t>Benefit</t>
  </si>
  <si>
    <t>Estimated CPP Survivor Benefit</t>
  </si>
  <si>
    <t>Transfer Estate to Person1</t>
  </si>
  <si>
    <t>Accounts Settings</t>
  </si>
  <si>
    <t>Account Settings</t>
  </si>
  <si>
    <t xml:space="preserve">Amount of unrealized capital gains currently in the investment account.  This may be negative for current unrealized losses.  </t>
  </si>
  <si>
    <t xml:space="preserve">Percentage of DB income that is split with the spouse.  In real life this is done purely on the tax form.  In this spreadsheet the cash is actually transferred, which allows the spouse who receives the split to have the cash to pay any taxes.  </t>
  </si>
  <si>
    <t xml:space="preserve">Percentage of Spouses DB plan that the person2 receives after person1 is deceased.  As in the estate tranfer feature Person1 must pre-decease Person2.  </t>
  </si>
  <si>
    <t>Same as CPI. This is used to index retirement income requirement, tax brackets, NRTC amounts, CPP and OAS income, TFSA and RRSP limits.</t>
  </si>
  <si>
    <t>Employment income as of the start year in current $.</t>
  </si>
  <si>
    <t xml:space="preserve">This must be &lt;= 71.  Once you convert the RRSP to a RRIF then minimum withdrawal rules apply.  </t>
  </si>
  <si>
    <t xml:space="preserve">Changing the province will change the tax rates, NRTC amounts and dividend tax credit rates.  </t>
  </si>
  <si>
    <t>Estimate of the CPP survivor benefit.  This only works if you have elected to take CPP at 65.</t>
  </si>
  <si>
    <t>Room</t>
  </si>
  <si>
    <t>Savings Order Switch</t>
  </si>
  <si>
    <t>(1=RRSP first, 0=TFSA first)</t>
  </si>
  <si>
    <t>Avail</t>
  </si>
  <si>
    <t>Percentage of RRSP to Spouse</t>
  </si>
  <si>
    <t>Percentage of RRSP contributions that are Spousal (go to spouse's RRSP)</t>
  </si>
  <si>
    <t>TFSA room including current year limit, carry forward room and withdrawals from previous years.</t>
  </si>
  <si>
    <t>You may pass the estate from Person1 to Person2, including RRSP and TFSA amounts as a survivor.</t>
  </si>
  <si>
    <t>Saving into TFSA and RRSP accounts can be turned off (if you want to determine if these are actually useful)</t>
  </si>
  <si>
    <t xml:space="preserve">DC pension contributions are put into the LIRA account.  </t>
  </si>
  <si>
    <t>You can specify a % of RRSP contributions that go to your Spouse.</t>
  </si>
  <si>
    <t>Can split DB pension with spouse and specify survivor benefit amount.</t>
  </si>
  <si>
    <t>Transfer Estate to Person2</t>
  </si>
  <si>
    <t>Net-Svgs</t>
  </si>
  <si>
    <t>On</t>
  </si>
  <si>
    <t>Off</t>
  </si>
  <si>
    <t>Check</t>
  </si>
  <si>
    <t>Person2 Off Values</t>
  </si>
  <si>
    <t>Chart X axis range auto fit to life expectancy</t>
  </si>
  <si>
    <t>Use These Values</t>
  </si>
  <si>
    <t>Federal Tax Calc</t>
  </si>
  <si>
    <t>Federal NRTC</t>
  </si>
  <si>
    <t>Federal Tax</t>
  </si>
  <si>
    <t>Provincial Tax Calc</t>
  </si>
  <si>
    <t>Provincial NRTC</t>
  </si>
  <si>
    <t>Provincial Tax</t>
  </si>
  <si>
    <t>Total Tax</t>
  </si>
  <si>
    <t>Quick Tax Calc</t>
  </si>
  <si>
    <t xml:space="preserve">Change the On/Off under Person2 to enable or disable calculation for Person2.  Set to Off for a single person.  Start year is usually the current year.  The spreadsheet has all tax rates, NRTCs amounts, TFSA and RRSP limits for 2014.  If you change the start year, then all these will be indexed using CPI.  </t>
  </si>
  <si>
    <t>Start Year / Person2 switch</t>
  </si>
  <si>
    <t>The Both charts are for Person1 and Person2 summed together.  </t>
  </si>
  <si>
    <t>OAS clawback based on previous years income.</t>
  </si>
  <si>
    <t>RRSP current available room</t>
  </si>
  <si>
    <t>TFSA current available room</t>
  </si>
  <si>
    <t xml:space="preserve">Unused RRSP contribution room as of the beginning of the start year.  This is not the room for the current year, but unused room from previous years. </t>
  </si>
  <si>
    <t xml:space="preserve">Unused TFSA contribution room as of the beginning of the start year.  This is not the room for the current year, but unused room from previous years. </t>
  </si>
  <si>
    <t>Pension tax credit of between $1000 to $2000 not included.</t>
  </si>
  <si>
    <t>Tax calculation does not include Federal and YT employment amount for NRTC</t>
  </si>
  <si>
    <t>Tax calculation does not include special provincial tax amounts (ON health premium, NT/NU refundable cost of living)</t>
  </si>
  <si>
    <t>Part time employment after retirement.</t>
  </si>
  <si>
    <t xml:space="preserve">Portion of employment income that goes towards employers RPP (LIRA account).  May be limited by RRSP limit. If the employer matches a %, add the equivalent $ amount to income and add that percentage here.  </t>
  </si>
  <si>
    <t xml:space="preserve">(1=yes, 0=no) Allows 50% of the LIRA to be transferred to the RRSP.  The unlock will be when you retire but no earlier than 55 (50 in Alberta).  Check the rules for your province.  </t>
  </si>
  <si>
    <t>There is an estimate below of this amount, given the CPP Benefits entered above.  The estimate is based on taking CPP starting at 65.</t>
  </si>
  <si>
    <t xml:space="preserve">If additional income is still required, then withdrawals from the Investment account and then the TFSA account will be made. </t>
  </si>
  <si>
    <t>If you have chosen to fund TFSA after retirement, then additional money will be withdrawn from the Investment account to put to the TFSA account.  </t>
  </si>
  <si>
    <t xml:space="preserve">For the calculation columns there is a description on the first row of what the column is and how it is calculated.  </t>
  </si>
  <si>
    <t xml:space="preserve">The Both sheet sums up the results for the two individuals.  </t>
  </si>
  <si>
    <t>You can specify any of the 13 provinces or territories for calculating income tax.  </t>
  </si>
  <si>
    <t>Handles the tax treatment differences for interest income, capital gains and dividends.</t>
  </si>
  <si>
    <t xml:space="preserve">Can specify CPP survivor benefit amount.  </t>
  </si>
  <si>
    <t>OAS indexed at CPI less clawback at 15% of previous years taxable income above OAS clawback start amount (all indexed)</t>
  </si>
  <si>
    <t>Unused RRSP/TFSA Room</t>
  </si>
  <si>
    <t xml:space="preserve">Pension Amount shown on your T4 slip if in a DB pension plan.  This is indexed to the salary growth.  If you are in an DC/RPP plan don't enter the PA here, just enter the % contribution above and the PA will be calculated.  </t>
  </si>
  <si>
    <t>Income from employment, indexed at "Salary Growth" rate</t>
  </si>
  <si>
    <t>Total income (not including withdrawals from accounts)</t>
  </si>
  <si>
    <t>Column to find the first year in which there is an income shortfall.</t>
  </si>
  <si>
    <t>Unused RRSP room at end of year.</t>
  </si>
  <si>
    <t>First</t>
  </si>
  <si>
    <t xml:space="preserve">  Account Balance at Life Expectancy ($k)</t>
  </si>
  <si>
    <t xml:space="preserve">  Estate Value ($k)</t>
  </si>
  <si>
    <t xml:space="preserve">  First Year of Income Shortfall</t>
  </si>
  <si>
    <t xml:space="preserve">  Total income less expenses in "Annual Inputs" ($k)</t>
  </si>
  <si>
    <t xml:space="preserve">  Message:</t>
  </si>
  <si>
    <t>insert</t>
  </si>
  <si>
    <t>/ CPI</t>
  </si>
  <si>
    <t>This column is so the average income can be calculated during employment stage.</t>
  </si>
  <si>
    <t>Result</t>
  </si>
  <si>
    <t>Selected Results</t>
  </si>
  <si>
    <t>Select</t>
  </si>
  <si>
    <t xml:space="preserve">  Average Income during Employment ($)</t>
  </si>
  <si>
    <t>Average Income during Employment</t>
  </si>
  <si>
    <t>Marginal Tax Rate</t>
  </si>
  <si>
    <t>Average Tax Rate</t>
  </si>
  <si>
    <t>RRSP Contribution less amount transferred to Spouse</t>
  </si>
  <si>
    <t>RRSP contribution to Spouse</t>
  </si>
  <si>
    <t>RRSP to</t>
  </si>
  <si>
    <t>contr to</t>
  </si>
  <si>
    <t>not reqd</t>
  </si>
  <si>
    <t>Gift received from Person2.  Not currently used.</t>
  </si>
  <si>
    <t xml:space="preserve">RRSP account amounts received from spouse.  </t>
  </si>
  <si>
    <t>LIRA account amounts received from spouse.</t>
  </si>
  <si>
    <t>TFSA account amounts received from spouse.</t>
  </si>
  <si>
    <t>Investment account amounts received from spouse.</t>
  </si>
  <si>
    <t>RRSP, LIRA, TFSA and Investment accounts are transferred from Person1 to Person2 as beneficiary on death of Person1.</t>
  </si>
  <si>
    <t>Amount of the DB pension transferred to Person1.</t>
  </si>
  <si>
    <t>RRSP contribution amounts put in to spouse's RRSP account.</t>
  </si>
  <si>
    <t>Unrealized capital gain in Investment account received from spouse.</t>
  </si>
  <si>
    <t>Widowed income required.  For Person2, when Person1 deceased.</t>
  </si>
  <si>
    <t>DB pension shared from Person2.</t>
  </si>
  <si>
    <t>DB pension amount from Person2 after Person2 deceased.</t>
  </si>
  <si>
    <t>Additional CPP survivor benefits after Person2 deceased.</t>
  </si>
  <si>
    <t>This section is for transfer of amounts to spouse.  The formula in this section may be different between the two Person sheets.  This column is Cash gifts transferred to spouse.  Currently not used.</t>
  </si>
  <si>
    <t xml:space="preserve">(1=yes, 0=no)  If set to yes, then TFSA, RRSP and LIRA are transferred to Person2 as beneficiary.  The Investment account holdings are transferred as they were property so the unrealized capital gain is also tansferred.  Person1 must pre-decease Person2 for this feature to work.  </t>
  </si>
  <si>
    <t>Net Inc</t>
  </si>
  <si>
    <t>Govt</t>
  </si>
  <si>
    <t>Reductns</t>
  </si>
  <si>
    <t>(or DC)</t>
  </si>
  <si>
    <t>TFSA limit calculation if limited by income or other factors (&gt;=18)</t>
  </si>
  <si>
    <t>Please see the GNU General Public License for more information.</t>
  </si>
  <si>
    <t>Return</t>
  </si>
  <si>
    <t>in Inv.</t>
  </si>
  <si>
    <t>% Dividend</t>
  </si>
  <si>
    <t>Invest.</t>
  </si>
  <si>
    <t xml:space="preserve">Proportion of growth in investment account that is capital gain.  If entered will replace the value entered on the "inputs_Summary" sheet.  If you don’t want to override the value entered on "Inputs_Summary" then erase the value here. </t>
  </si>
  <si>
    <t xml:space="preserve">Proportion of growth in investment account that is eligible canadian Dividends. If entered will replace the value entered on the "inputs_Summary" sheet.  If you don’t want to override the value entered on "Inputs_Summary" then erase the value here. </t>
  </si>
  <si>
    <t xml:space="preserve">Investment return for all accounts.  If entered will replace the value entered on the "inputs_Summary" sheet.  If you don’t want to override the value entered on "Inputs_Summary" then erase the value here. </t>
  </si>
  <si>
    <t xml:space="preserve">Proportion of growth in investment account that is capital gain. </t>
  </si>
  <si>
    <t xml:space="preserve">Proportion of growth in investment account that is eligible canadian Dividends. </t>
  </si>
  <si>
    <t>RRSP/TFSA Table</t>
  </si>
  <si>
    <t>Annual Inputs (These inputs are in current $)</t>
  </si>
  <si>
    <t xml:space="preserve">You can convert a portion of a LIRA to RRSP upon retirement.  Legislation allows 50% in Alberta if at the same time the LIRA is also converted to a LIF. </t>
  </si>
  <si>
    <t>Employment Expenses</t>
  </si>
  <si>
    <t>Total expenses after tax. = Expenses + Additional Expenses.</t>
  </si>
  <si>
    <t>Income (less savings) required before tax.</t>
  </si>
  <si>
    <t>aft RPP</t>
  </si>
  <si>
    <t>Expenses (or Income Required)</t>
  </si>
  <si>
    <t>Retirement Expenses</t>
  </si>
  <si>
    <t>Retirement Expenses Growth</t>
  </si>
  <si>
    <t>Employment Expenses Growth</t>
  </si>
  <si>
    <t>Real growth in retirementexpenses after start of retirement, relative to inflation.  Can be negative so that requirements grow slower than CPI.</t>
  </si>
  <si>
    <t>Amount of expenses during employment after taxes.  This is in current $ and is inflated at CPI plus the "expenses growth %" below.</t>
  </si>
  <si>
    <t>Real growth in expenses from start year, relative to inflation.  Can be negative so that requirements grow slower than CPI.</t>
  </si>
  <si>
    <t>Amount of expenses during retirement after taxes.  This is in current $ and is inflated at CPI plus the "expenses growth %" below.</t>
  </si>
  <si>
    <t>Additional expenses for Person2 after Person1 is deceased.</t>
  </si>
  <si>
    <t>v2p0</t>
  </si>
  <si>
    <t>Instead of specifying a % of income saved during employment phase, you now specify your expenses during this phase and the remaining money after deducting taxes and expenses is saved.</t>
  </si>
  <si>
    <t>This allows a better way to do comparison tests of differing investing strategies.</t>
  </si>
  <si>
    <t>In the old way the percentage saved was on a pre-tax basis, so if you changed how much you saved into RRSP from one case to another the amount of after tax available for expenses would change.</t>
  </si>
  <si>
    <t>Better to fix expenses and change the amount of savings if the tax payable changes.</t>
  </si>
  <si>
    <t>Now this is handled directly in the income tax section and reduces available savings.</t>
  </si>
  <si>
    <t xml:space="preserve">This also allows the simplifying of paying of investment account taxable income. Taxes due on investment income was payable from contributions to the taxable account. </t>
  </si>
  <si>
    <t>The mortgage payment feature has been removed.</t>
  </si>
  <si>
    <t>If you have expenses that change over time or will only exist fr a few years, then enter them on the Person1 or Person2 sheets in the "Additional Expenses" column.</t>
  </si>
  <si>
    <t>Req'ts</t>
  </si>
  <si>
    <t>Pension amount which is any DB pension amount (from T4).</t>
  </si>
  <si>
    <t>RPP Contributions</t>
  </si>
  <si>
    <t>Same for TFSA.</t>
  </si>
  <si>
    <t xml:space="preserve">If you set this to 1, then the TFSA contribution will be funded from Savings if there is room and funds are available.  </t>
  </si>
  <si>
    <t>Fund RRSP from Svgs</t>
  </si>
  <si>
    <t xml:space="preserve">If you set this to 1, then the RRSP contribution will be funded from Savings if there is room and funds are available.  </t>
  </si>
  <si>
    <t>RPP and</t>
  </si>
  <si>
    <t xml:space="preserve">The logic to fund RRSP and TFSA contributions from any other Savings has been revamped to work better with the other changes in this version. </t>
  </si>
  <si>
    <t>Net Income calculation had effectively subtracted RPP contributions twice. This has been fixed.</t>
  </si>
  <si>
    <t xml:space="preserve">Based on your income and expenses, the spreadsheet calclates taxes and the difference is savings which are placed into your accounts.  </t>
  </si>
  <si>
    <t xml:space="preserve">The spreadsheet calculates the growth in your various savings accounts (RRSP, LIRA, TFSA and non-tax free account) </t>
  </si>
  <si>
    <t xml:space="preserve">You set your expenses (income required) during retirement and the spreadsheet withdraws the amounts from the accounts to give you the after tax income you desired.  </t>
  </si>
  <si>
    <t xml:space="preserve">The way the spreadsheet is structured, it allows you to easily try many different scenarios such as different retirement ages, different expenses amounts, and which account to withdraw money from first.  </t>
  </si>
  <si>
    <t>If you want to use the function where the estate of Person1 passes to Person2 then Person1 should pre-decease Person2.</t>
  </si>
  <si>
    <t xml:space="preserve">To set the Person2 to inactive set the on/off switch next to the start year to Off.  </t>
  </si>
  <si>
    <t xml:space="preserve">After you change any inputs, click the "Iterate Tax Rates" button on the Inputs_Summary sheet.  This process iterates to find the required before tax income for a given after tax income.  </t>
  </si>
  <si>
    <t>On the Person1 and Person2 sheets you can enter some values annually in the "Annual Inputs" section. A description of each of these inputs is contained in the first row above each column. Note these are in current $.</t>
  </si>
  <si>
    <t>Employment income is specified and can be grown at a different rate other than CPI.</t>
  </si>
  <si>
    <t>The amount saved is put to your RRSP, TFSA and Investment accounts depending on room and settings you specify..  </t>
  </si>
  <si>
    <t>Income tax is calculated based on your province of residence.</t>
  </si>
  <si>
    <t>Net Income after tax and Net Income after tax and savings are shown on the plots.</t>
  </si>
  <si>
    <t>Expenses (required income) is specified and the gross income is estimated from an initial guess of effective tax rate.  </t>
  </si>
  <si>
    <t>Any amount above DB, CPP and OAS that is required to meet expenses is withdrawn from the savings accounts (RRSP, TFSA, LIRA and Investment).  </t>
  </si>
  <si>
    <t xml:space="preserve">RRSP/RRIF and LIRA/LIF withdrawals are calculated first.  The mandated minimum and maximum withdrawals are imposed. </t>
  </si>
  <si>
    <t>If the minimum wthdrawals result in more income than expenses then the extra will go to TFSA or Investment accounts.  </t>
  </si>
  <si>
    <t>From Income, DB pension plan Pension Amount and and DC pension plan contributions, calculates RRSP room each year.  </t>
  </si>
  <si>
    <t>RRSP limits, Tax brackets and Non refundable tax credit amounts are indexed to CPI.</t>
  </si>
  <si>
    <t>TFSA limits are no longer indexed to CPI.</t>
  </si>
  <si>
    <t>The spreadsheet automatically puts savings into the RRSP, TFSA and investment accounts.  </t>
  </si>
  <si>
    <t>Income tax payable on income from the account is payable from employment income during employment and paid from withdrawals from the account when retired.  </t>
  </si>
  <si>
    <t xml:space="preserve">Other employment income.  If you have employment income after initial retirement, you can enter here. This is taxable and counts as earned income. </t>
  </si>
  <si>
    <t xml:space="preserve">Gifts or monies received, such as inheritances or lottery winnings.  Only used during retirement. Not taxed and not counted as income.  </t>
  </si>
  <si>
    <t>This is additional expenses in specific years.  This can be used to enter expenses for a mortgage that will end at a specific time, or for specific expenses or gifts to others in retirement.</t>
  </si>
  <si>
    <t>Income Shortfall, Net Income less "Expenses after Tax"  If this is not 0, then press the "Iterate Tax Rates" button.  If it is still &gt; 0 then there isn't enough income or account balances to fund the requested income.</t>
  </si>
  <si>
    <t>Account Contributions of withdrawals.  Normally these will be positive during employment and then negative during retirement.  It is possible to have positive values during retirement when excess income is put toward the TFSA or Savings account.</t>
  </si>
  <si>
    <t>Stage of spouse.</t>
  </si>
  <si>
    <t>This section for transfers of values from Person2. The formulas here can be different between the two PersonX sheets.</t>
  </si>
  <si>
    <t>Gift received from Person2. Not currently used.</t>
  </si>
  <si>
    <t>Expenses (required income) after tax based on "Employment Expenses" or "Retirement Expenses" and inflated at CPI.</t>
  </si>
  <si>
    <t xml:space="preserve">Other taxable employment income.  From the entry column at left.  </t>
  </si>
  <si>
    <t>RRSP (+RPP) funding requirements. Use to check if funds can be withdrawn from Investment account to fund these (if needed and available).</t>
  </si>
  <si>
    <t xml:space="preserve">This is 1 during employment and retirement years.  </t>
  </si>
  <si>
    <t>Then the remainder is withdrawn from the investment account.  If the "Fund TFSA from SVGS" is on try to withdraw enough to fund the current TFSA unused room (and same for RRSP).</t>
  </si>
  <si>
    <t>Forced withdrawals from RRSP/LIRA may cause more withdrawals than required. The excess is put toward savings and goes to TFSA or investment account. If the fund RRSP or TFSA from savings is on then that amount will show here.</t>
  </si>
  <si>
    <t>Amount of income available to save. During retirement this may also be &gt; 0.</t>
  </si>
  <si>
    <t>Maximum allowable RRSP contribution. Lower of 18% of Income and RRSP limit.</t>
  </si>
  <si>
    <t>The RRSP limit for each year. Inflated at CPI and rounded to nearest $10.</t>
  </si>
  <si>
    <t>Savings available to be contributed to RPP. Set equal to "Avail Savings".</t>
  </si>
  <si>
    <t>RPP contribution room. Lesser of RRSP room and RPP contribution % times Income.</t>
  </si>
  <si>
    <t xml:space="preserve">Amount of employee and company contribution to RPP. This is saved to the LIRA account.  </t>
  </si>
  <si>
    <t xml:space="preserve">Amount of savings available after RPP contribution. </t>
  </si>
  <si>
    <t>Savings available for RRSP contribution. The savings order switch will change this amount.</t>
  </si>
  <si>
    <t xml:space="preserve">RRSP contributuion room. For simplicity this is based on the current year income and pension amounts, not the previous year. </t>
  </si>
  <si>
    <t>Savings available for TFSA contribution.  The savings order switch will change this amount.</t>
  </si>
  <si>
    <t xml:space="preserve">The TFSA limit for each year. </t>
  </si>
  <si>
    <t xml:space="preserve">Expenses during employment is specified, taxes are calculated and the remainder (Income - Taxes - Expenses) is saved. </t>
  </si>
  <si>
    <t>Income tax due on interest and dividend income in the Investment account is also calculated as part of tax payable.</t>
  </si>
  <si>
    <t>May 2015</t>
  </si>
  <si>
    <t>Other1</t>
  </si>
  <si>
    <t>Other2</t>
  </si>
  <si>
    <t>Other3</t>
  </si>
  <si>
    <t>If you set this to 1, then the RRSP withdrawals will be 0 until the RRIF Age is reached.</t>
  </si>
  <si>
    <t>Defer RRSP W/D until RRIF Age</t>
  </si>
  <si>
    <t>Need to stop Div/0 when RRSP weighting set to 0</t>
  </si>
  <si>
    <t>v2p1</t>
  </si>
  <si>
    <t>Added</t>
  </si>
  <si>
    <t>Specified</t>
  </si>
  <si>
    <t>Bracket</t>
  </si>
  <si>
    <t>Tax Bracket</t>
  </si>
  <si>
    <t>Additional RRSP W/D</t>
  </si>
  <si>
    <t>Enable Added RRSP W/D to Tax Bkt</t>
  </si>
  <si>
    <t>Tax bracket to top up to</t>
  </si>
  <si>
    <t>Allow the automatic extra withdrawals from RRSP in order to bring taxable income up to the top of the specified tax bracket.</t>
  </si>
  <si>
    <t>Experimantal Features</t>
  </si>
  <si>
    <t>Error</t>
  </si>
  <si>
    <t>Aug 2015</t>
  </si>
  <si>
    <t xml:space="preserve">Added feature to turn off RRSP withdrawals until the RRIF conversion date. </t>
  </si>
  <si>
    <t>Added feature to increase RRSP withdrawals so that net income is equal to the top of a specified federal tax bracket.</t>
  </si>
  <si>
    <t>Added ability to reduce future TFSA limits by using a multiplier, so you can determine the impact of future TFSA limit reductions.</t>
  </si>
  <si>
    <t>Put 2016 Alberta tax rates into province called Other1</t>
  </si>
  <si>
    <t>When using the feature to increase RRSP withdrawals to make net income equal to the top of a tax bracket, the additional withdrawal is put here.</t>
  </si>
  <si>
    <t>Calculations for the feature to increase RRSP withdrawals to make net income equal to a tax bracket.</t>
  </si>
  <si>
    <t>Start Clawback</t>
  </si>
  <si>
    <t>Percentage Clawback</t>
  </si>
  <si>
    <t>Fraction of the Age Amount NRTC that will be used for tax calculation</t>
  </si>
  <si>
    <t>Used the Federal clawback schedule to determine clawback for provincial Age Amount (the difference is quite small).</t>
  </si>
  <si>
    <t>v2p2</t>
  </si>
  <si>
    <t>Allow the OAS start age to range from 65 to 72</t>
  </si>
  <si>
    <t>Now claw back the Age Amount NRTC based on Net Income (Same as Taxable Income in this model).</t>
  </si>
  <si>
    <t>Updated tables for Canada and Alberta new tax rates (approximate)</t>
  </si>
  <si>
    <t>Increased Ontario tax rates to account for Surtax.</t>
  </si>
  <si>
    <t>Increased PEI tax rates to account for Surtax.</t>
  </si>
  <si>
    <t>Age Amt</t>
  </si>
  <si>
    <t>Fraction</t>
  </si>
  <si>
    <t>Deductible</t>
  </si>
  <si>
    <t>Dec 2015</t>
  </si>
  <si>
    <t>unrounded</t>
  </si>
  <si>
    <t>v2p3</t>
  </si>
  <si>
    <t>Included the federal tax abatement for Quebec. This was not included previously.</t>
  </si>
  <si>
    <t>TFSA limit for 2016 is set to $5500 and is inflated at the input inflation rate and rounded to $500.</t>
  </si>
  <si>
    <t>Added a message if either person has an income shortfall in retirement.</t>
  </si>
  <si>
    <t xml:space="preserve">  Total income tax paid ($k)</t>
  </si>
  <si>
    <t>Total income tax paid ($k)</t>
  </si>
  <si>
    <t>Removed ability to reduce future TFSA limits by using a multiplier.</t>
  </si>
  <si>
    <t>Added a report of total tax lifetime income tax paid on the Inputs_Summary sheet. Select this by changing value in dropdown box in cell N7.</t>
  </si>
  <si>
    <t xml:space="preserve">Estimated income taxes. The values are placed here iteratively from the calculated "Net / Gross Income" column by the "Iterate Tax Rates" button.  </t>
  </si>
  <si>
    <t>Income Taxes. Value is "relaxed" using the relaxation parameter.</t>
  </si>
  <si>
    <t>Relaxed</t>
  </si>
  <si>
    <t>Estimated</t>
  </si>
  <si>
    <t>Changed how the tax rate iteration works to remove a bug when expenses are 0 for one Person.</t>
  </si>
  <si>
    <t>Federal Tax Mult</t>
  </si>
  <si>
    <t>Feb 2016</t>
  </si>
  <si>
    <t>1 / CPI</t>
  </si>
  <si>
    <t>10% surtax on PEI tax greater than 12,500, which is taxable income of 98,145</t>
  </si>
  <si>
    <t>20% surtax on tax &gt; 4,484 (TI=73145), 30% surtax on tax &gt; 5739 (TI=86176)</t>
  </si>
  <si>
    <t>2.9% in 2018 and 2.74% in 2019</t>
  </si>
  <si>
    <t>2017=3.21%, 2018=3.18%, 2019=3.14%</t>
  </si>
  <si>
    <t>2018=2.35%, 2019=2.22%</t>
  </si>
  <si>
    <t>2018=2.76%, 2019=2.61%</t>
  </si>
  <si>
    <t>Gross up is changing 2016/7=17%, 2018=16%, 2019=15%</t>
  </si>
  <si>
    <t>v2p4</t>
  </si>
  <si>
    <t>Fund TFSA from RRSP first</t>
  </si>
  <si>
    <t>If you set this to 1, then the TFSA contribution will be funded from RRSP first then Savings afterward if there is room and funds are available.  "Fund TFSA from Svgs" must also be turned on and this only occurs during retirement.</t>
  </si>
  <si>
    <t>Updated for all 2016 Tax rates (Previous version had just the new federal and Alberta rates)</t>
  </si>
  <si>
    <t>Added the feature to fund TFSA contributions during retirement from RRSP withdrawals</t>
  </si>
  <si>
    <t>April 2016</t>
  </si>
  <si>
    <t>Nov 2016</t>
  </si>
  <si>
    <t>Fixed the formula that calculates "Total income less expenses in "Annual Inputs""</t>
  </si>
  <si>
    <t>Canadian</t>
  </si>
  <si>
    <t>Up</t>
  </si>
  <si>
    <t>Credit</t>
  </si>
  <si>
    <t>Dividend Gross Up</t>
  </si>
  <si>
    <t>(elig / non-elig)</t>
  </si>
  <si>
    <t>Amt</t>
  </si>
  <si>
    <t>Non-eligible Cdn Dividend</t>
  </si>
  <si>
    <t>Misc</t>
  </si>
  <si>
    <t>Income from a source that is considered Canadian Non-Eligible Dividend.</t>
  </si>
  <si>
    <t>DB CPP Clawback Fraction</t>
  </si>
  <si>
    <t xml:space="preserve">(0 to 1) Fraction of CPP pension to claw back from the DB pension. Most DB plans will claw back CPP pension from the benefit paid to you, but only the portion of the CPP earned while you worked at that company.  </t>
  </si>
  <si>
    <t>EI Rate</t>
  </si>
  <si>
    <t>EI Maximum</t>
  </si>
  <si>
    <t>CPP Rate</t>
  </si>
  <si>
    <t>CPP Deduction</t>
  </si>
  <si>
    <t>CPP Maximum</t>
  </si>
  <si>
    <t>Ded'ns</t>
  </si>
  <si>
    <t>CPP &amp;</t>
  </si>
  <si>
    <t>EI</t>
  </si>
  <si>
    <t>CPP End Age</t>
  </si>
  <si>
    <t>CPP and EI Employee Payroll Deductions.</t>
  </si>
  <si>
    <t xml:space="preserve">CPP pension income in money as of start year.  As of January 2015 the maximum was $1065 per month, or $12456 per year.  If you have been contributing to CPP at the maximum amount each year then divide the number of years you will have worked to retirement by 40 and multiply by 12456.  </t>
  </si>
  <si>
    <t>Age Adjusted CPP Benefit</t>
  </si>
  <si>
    <t>Age at which you want to take CPP benefits.  Can be between 60 and 70.  If you make this different than 65 this spreadsheet will now adjust the benefit (new in version 2.5 and later). For each month before 65 you start taking CPP you lose 0.6% of the benefit.  For each month after 65 you start taking CPP you increase the benefit by 0.7%</t>
  </si>
  <si>
    <t>Ont, NB</t>
  </si>
  <si>
    <t>AB</t>
  </si>
  <si>
    <t>NS, BC</t>
  </si>
  <si>
    <t>Sk, Nfld</t>
  </si>
  <si>
    <t>Qu, Man</t>
  </si>
  <si>
    <t>LIF Type (Federal/Provincial)</t>
  </si>
  <si>
    <t>Use to determine which set of maximum withdrawal percentages to use. If the LIF is Federally governed, then set this to 1, otherwise set to 0 and your province will be used.</t>
  </si>
  <si>
    <t>LIF Table</t>
  </si>
  <si>
    <t>Age on X-axis instead of Year</t>
  </si>
  <si>
    <t>1=Age, 0=Year</t>
  </si>
  <si>
    <t>Experimental Features</t>
  </si>
  <si>
    <t>Age or</t>
  </si>
  <si>
    <t>Made clawback of CPP from a DB benefit able to be a fraction. This allows you to better model a DB plan of CPP clawback if you have worked at the company with the DB for only part of your career.</t>
  </si>
  <si>
    <t>CPP Benefit amount is now automatically discounted or increased if you start taking CPP at an age before or after 65.</t>
  </si>
  <si>
    <t>CPP and EI payroll deduction is now estimated to better calculate a net income.</t>
  </si>
  <si>
    <t>LIF maximum withdrawal tables have been updated for 2016 value.</t>
  </si>
  <si>
    <t>Tax rate iteration was optimized to make the convergence faster.</t>
  </si>
  <si>
    <t>v2p5</t>
  </si>
  <si>
    <t>Removed the columns to input additional taxable benefit, federal and provincial tax credits (since the non-eligible dividends can now be input directly).</t>
  </si>
  <si>
    <t>You may now plot Age on the x-axis of plots as an option. Year is still also available. (Look under "Other Settings")</t>
  </si>
  <si>
    <t>Taxable income = (Total Income - non-taxable income) + RRSP + LIRA + Interest Inc + Dividend Inc + taxable cap gains - RRSP contribution - RPP contribution + NECD Gross Up - CPP&amp;EI Deduction</t>
  </si>
  <si>
    <t>Net Income = Gross Income - Taxes - Savings</t>
  </si>
  <si>
    <t>LIF maximum withdrawal is now dependent onwhether the LIF is federally or provincially governed. This changes the maximum withdrawal percentage.</t>
  </si>
  <si>
    <t>In Annual Inputs added the column to input "Non-eligible Canadian Dividends" to allow input of income from a Canadian controlled private corporation.</t>
  </si>
  <si>
    <t>Order</t>
  </si>
  <si>
    <t>Rank</t>
  </si>
  <si>
    <t>Row</t>
  </si>
  <si>
    <t>Offset</t>
  </si>
  <si>
    <t>Table</t>
  </si>
  <si>
    <t>Fed</t>
  </si>
  <si>
    <t>Prov</t>
  </si>
  <si>
    <t>Add a small fraction of the taxable income and the tax rate to this. If there is a tie, I want the taxable income to break the tie first, then the tax rate.</t>
  </si>
  <si>
    <t>Select Text</t>
  </si>
  <si>
    <t>Valid</t>
  </si>
  <si>
    <t>Age Adjusted OAS Benefit</t>
  </si>
  <si>
    <t xml:space="preserve">OAS Benefit amount adjusted for taking the benefit later than 65. For every month you take it after 65 the benefit is increased 0.6%. </t>
  </si>
  <si>
    <t xml:space="preserve">CPP Benefit amount adjusted for taking the benefit earlier or later than 65. For every month you take it before 65 the benefit is reduced 0.6%. For every month you take it after 65 the benefit is increased 0.7%. </t>
  </si>
  <si>
    <t xml:space="preserve">Age at which you want to take OAS benefits.  Normally this is 65.  You may elect to defer OAS start by up to 5 years and for every month you defer, the benefit is increased by 0.6%.  </t>
  </si>
  <si>
    <t>OAS income in money as of start year.  As of January 2016 the maximum amount was $571 per month, or $6846 per year.  Enter the full amount as if there was no clawback as the spreadsheet will calculate the clawback for income over $72,809 (2016).  If you were resident of Canada for less than 40 years between 18 and the OAS Age (65 to 67), then divide the number of years by 40 and multiply by the maximum amount to estimate your benefit.  If you defer the benefit to start after 65, just enter the amount as if you started at 65 and the spreadsheet will calculate the increase in benefit for deferring the start date.</t>
  </si>
  <si>
    <t xml:space="preserve">Updated the OAS comments and functionality. With federal budget in March 2016, normal date for taking OAS is fixed at 65. </t>
  </si>
  <si>
    <t>Spreadsheet will now calculate the increase in OAS benefits if you defer starting OAS after 65, up to the latest of 70.</t>
  </si>
  <si>
    <t>Dec 2016</t>
  </si>
  <si>
    <t>v2p6</t>
  </si>
  <si>
    <t>Tax Bracket Value</t>
  </si>
  <si>
    <t>Taxable income to which to top up income using RRSP withdrawal.</t>
  </si>
  <si>
    <t>35148 (22.7%)</t>
  </si>
  <si>
    <t>45282 (27.5%)</t>
  </si>
  <si>
    <t>The tax bracket to use for the top-up. Select from list. The list will change when you change province. First value is taxable income (in current year $) and value in parentheses is the marginal tax rate up to that taxable income.</t>
  </si>
  <si>
    <t>Calculate list of tax brackets (this in Person1 sheet only)</t>
  </si>
  <si>
    <t>In the "Top up to Tax Bracket" experimental functionality, have updated the tax brackets to include provincial ones. Selection is now done by drop-down.</t>
  </si>
  <si>
    <t>Can specify DB pension amounts, how it is indexed and clawed back for CPP.</t>
  </si>
  <si>
    <t>v2p7</t>
  </si>
  <si>
    <t>Feb 2017</t>
  </si>
  <si>
    <t>Updated for 2017 Tax rates.</t>
  </si>
  <si>
    <t>Additional Widowed Expenses</t>
  </si>
  <si>
    <t>v2.7 released March 2017</t>
  </si>
  <si>
    <t>C o p y r i g h t 2013 - 2017 Steven Brown</t>
  </si>
  <si>
    <t>v2.7.1</t>
  </si>
  <si>
    <t>Converted to modern xlsm format.</t>
  </si>
  <si>
    <t>Retirement Forecaster v2.7.1</t>
  </si>
  <si>
    <t>Send comments, bugs and suggestions for improvement to https://github.com/stephencmorton/retirement-planning-spreadsheet-cad/issues</t>
  </si>
  <si>
    <t>v2.7.1 re-release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</si>
</sst>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0"/>
    <numFmt numFmtId="167" formatCode="0.0"/>
    <numFmt numFmtId="168" formatCode="0.00000"/>
    <numFmt numFmtId="169" formatCode="mmm\ yyyy"/>
  </numFmts>
  <fonts count="12" x14ac:knownFonts="1">
    <font>
      <sz val="10"/>
      <name val="Arial"/>
      <family val="2"/>
    </font>
    <font>
      <sz val="10"/>
      <name val="MS Sans Serif"/>
      <family val="2"/>
    </font>
    <font>
      <b/>
      <sz val="14"/>
      <name val="Arial"/>
      <family val="2"/>
    </font>
    <font>
      <sz val="8"/>
      <name val="Arial"/>
      <family val="2"/>
    </font>
    <font>
      <b/>
      <sz val="10"/>
      <name val="Arial"/>
      <family val="2"/>
    </font>
    <font>
      <sz val="10"/>
      <name val="Arial"/>
      <family val="2"/>
    </font>
    <font>
      <b/>
      <sz val="11"/>
      <name val="Arial"/>
      <family val="2"/>
    </font>
    <font>
      <sz val="11"/>
      <name val="Arial"/>
      <family val="2"/>
    </font>
    <font>
      <sz val="9"/>
      <name val="Arial"/>
      <family val="2"/>
    </font>
    <font>
      <sz val="10"/>
      <color rgb="FFFF0000"/>
      <name val="Arial"/>
      <family val="2"/>
    </font>
    <font>
      <sz val="10"/>
      <color theme="0" tint="-0.34998626667073579"/>
      <name val="Arial"/>
      <family val="2"/>
    </font>
    <font>
      <sz val="10"/>
      <color rgb="FF000000"/>
      <name val="Arial"/>
      <family val="2"/>
    </font>
  </fonts>
  <fills count="15">
    <fill>
      <patternFill patternType="none"/>
    </fill>
    <fill>
      <patternFill patternType="gray125"/>
    </fill>
    <fill>
      <patternFill patternType="solid">
        <fgColor indexed="42"/>
        <bgColor indexed="64"/>
      </patternFill>
    </fill>
    <fill>
      <patternFill patternType="solid">
        <fgColor indexed="45"/>
        <bgColor indexed="64"/>
      </patternFill>
    </fill>
    <fill>
      <patternFill patternType="solid">
        <fgColor indexed="41"/>
        <bgColor indexed="64"/>
      </patternFill>
    </fill>
    <fill>
      <patternFill patternType="solid">
        <fgColor indexed="13"/>
      </patternFill>
    </fill>
    <fill>
      <patternFill patternType="solid">
        <fgColor rgb="FFFFFF0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rgb="FFFFC000"/>
        <bgColor indexed="64"/>
      </patternFill>
    </fill>
    <fill>
      <patternFill patternType="solid">
        <fgColor theme="6" tint="0.39997558519241921"/>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diagonal/>
    </border>
  </borders>
  <cellStyleXfs count="2">
    <xf numFmtId="0" fontId="0" fillId="0" borderId="0"/>
    <xf numFmtId="9" fontId="1" fillId="0" borderId="0" applyFont="0" applyFill="0" applyBorder="0" applyAlignment="0" applyProtection="0"/>
  </cellStyleXfs>
  <cellXfs count="106">
    <xf numFmtId="0" fontId="0" fillId="0" borderId="0" xfId="0"/>
    <xf numFmtId="9" fontId="0" fillId="0" borderId="0" xfId="1" applyFont="1"/>
    <xf numFmtId="0" fontId="0" fillId="0" borderId="0" xfId="0" applyAlignment="1">
      <alignment horizontal="center"/>
    </xf>
    <xf numFmtId="2" fontId="0" fillId="0" borderId="0" xfId="0" applyNumberFormat="1"/>
    <xf numFmtId="1" fontId="0" fillId="0" borderId="0" xfId="0" applyNumberFormat="1"/>
    <xf numFmtId="0" fontId="2" fillId="2" borderId="0" xfId="0" applyFont="1" applyFill="1"/>
    <xf numFmtId="0" fontId="2" fillId="3" borderId="0" xfId="0" applyFont="1" applyFill="1"/>
    <xf numFmtId="0" fontId="2" fillId="4" borderId="0" xfId="0" applyFont="1" applyFill="1"/>
    <xf numFmtId="0" fontId="0" fillId="6" borderId="0" xfId="0" applyFill="1"/>
    <xf numFmtId="1" fontId="0" fillId="6" borderId="0" xfId="0" applyNumberFormat="1" applyFill="1"/>
    <xf numFmtId="0" fontId="9" fillId="0" borderId="0" xfId="0" applyFont="1"/>
    <xf numFmtId="10" fontId="0" fillId="0" borderId="0" xfId="0" applyNumberFormat="1"/>
    <xf numFmtId="1" fontId="9" fillId="0" borderId="0" xfId="0" applyNumberFormat="1" applyFont="1"/>
    <xf numFmtId="0" fontId="2" fillId="0" borderId="0" xfId="0" applyFont="1"/>
    <xf numFmtId="0" fontId="2" fillId="0" borderId="0" xfId="0" applyFont="1" applyAlignment="1">
      <alignment horizontal="left"/>
    </xf>
    <xf numFmtId="0" fontId="4" fillId="0" borderId="0" xfId="0" applyFont="1"/>
    <xf numFmtId="165" fontId="0" fillId="0" borderId="0" xfId="0" applyNumberFormat="1"/>
    <xf numFmtId="1" fontId="0" fillId="0" borderId="0" xfId="1" applyNumberFormat="1" applyFont="1"/>
    <xf numFmtId="167" fontId="0" fillId="0" borderId="0" xfId="0" applyNumberFormat="1"/>
    <xf numFmtId="0" fontId="2" fillId="7" borderId="0" xfId="0" applyFont="1" applyFill="1"/>
    <xf numFmtId="0" fontId="2" fillId="8" borderId="0" xfId="0" applyFont="1" applyFill="1"/>
    <xf numFmtId="0" fontId="0" fillId="0" borderId="0" xfId="0" quotePrefix="1"/>
    <xf numFmtId="0" fontId="0" fillId="0" borderId="0" xfId="0" applyAlignment="1">
      <alignment horizontal="left"/>
    </xf>
    <xf numFmtId="9" fontId="0" fillId="0" borderId="0" xfId="1" applyFont="1" applyFill="1"/>
    <xf numFmtId="9" fontId="0" fillId="0" borderId="0" xfId="0" applyNumberFormat="1"/>
    <xf numFmtId="164" fontId="0" fillId="0" borderId="0" xfId="0" applyNumberFormat="1"/>
    <xf numFmtId="0" fontId="5" fillId="0" borderId="0" xfId="0" applyFont="1"/>
    <xf numFmtId="0" fontId="0" fillId="9" borderId="0" xfId="0" applyFill="1"/>
    <xf numFmtId="1" fontId="0" fillId="9" borderId="0" xfId="0" applyNumberFormat="1" applyFill="1"/>
    <xf numFmtId="10" fontId="0" fillId="9" borderId="0" xfId="0" applyNumberFormat="1" applyFill="1"/>
    <xf numFmtId="10" fontId="5" fillId="9" borderId="0" xfId="1" applyNumberFormat="1" applyFont="1" applyFill="1"/>
    <xf numFmtId="0" fontId="6" fillId="10" borderId="1" xfId="0" applyFont="1" applyFill="1" applyBorder="1"/>
    <xf numFmtId="0" fontId="7" fillId="10" borderId="2" xfId="0" applyFont="1" applyFill="1" applyBorder="1"/>
    <xf numFmtId="0" fontId="7" fillId="10" borderId="3" xfId="0" applyFont="1" applyFill="1" applyBorder="1"/>
    <xf numFmtId="0" fontId="4" fillId="10" borderId="4" xfId="0" applyFont="1" applyFill="1" applyBorder="1" applyAlignment="1">
      <alignment horizontal="center"/>
    </xf>
    <xf numFmtId="0" fontId="4" fillId="10" borderId="5" xfId="0" applyFont="1" applyFill="1" applyBorder="1" applyAlignment="1">
      <alignment horizontal="center"/>
    </xf>
    <xf numFmtId="0" fontId="0" fillId="10" borderId="6" xfId="0" applyFill="1" applyBorder="1"/>
    <xf numFmtId="0" fontId="0" fillId="10" borderId="4" xfId="0" applyFill="1" applyBorder="1"/>
    <xf numFmtId="0" fontId="0" fillId="10" borderId="5" xfId="0" applyFill="1" applyBorder="1"/>
    <xf numFmtId="0" fontId="0" fillId="10" borderId="1" xfId="0" applyFill="1" applyBorder="1"/>
    <xf numFmtId="0" fontId="0" fillId="10" borderId="3" xfId="0" applyFill="1" applyBorder="1"/>
    <xf numFmtId="0" fontId="0" fillId="10" borderId="7" xfId="0" applyFill="1" applyBorder="1"/>
    <xf numFmtId="0" fontId="0" fillId="10" borderId="0" xfId="0" quotePrefix="1" applyFill="1" applyAlignment="1">
      <alignment horizontal="center"/>
    </xf>
    <xf numFmtId="0" fontId="0" fillId="10" borderId="0" xfId="0" applyFill="1"/>
    <xf numFmtId="0" fontId="0" fillId="10" borderId="8" xfId="0" applyFill="1" applyBorder="1"/>
    <xf numFmtId="0" fontId="0" fillId="0" borderId="0" xfId="0" applyAlignment="1">
      <alignment horizontal="right"/>
    </xf>
    <xf numFmtId="0" fontId="4" fillId="10" borderId="0" xfId="0" applyFont="1" applyFill="1"/>
    <xf numFmtId="164" fontId="0" fillId="5" borderId="0" xfId="0" applyNumberFormat="1" applyFill="1"/>
    <xf numFmtId="9" fontId="5" fillId="6" borderId="0" xfId="1" applyFont="1" applyFill="1" applyBorder="1"/>
    <xf numFmtId="0" fontId="4" fillId="6" borderId="0" xfId="0" applyFont="1" applyFill="1"/>
    <xf numFmtId="0" fontId="0" fillId="0" borderId="7" xfId="0" applyBorder="1"/>
    <xf numFmtId="0" fontId="0" fillId="0" borderId="8" xfId="0" applyBorder="1"/>
    <xf numFmtId="0" fontId="0" fillId="0" borderId="6" xfId="0" applyBorder="1"/>
    <xf numFmtId="0" fontId="0" fillId="6" borderId="4" xfId="0" applyFill="1" applyBorder="1"/>
    <xf numFmtId="0" fontId="0" fillId="0" borderId="4" xfId="0" applyBorder="1"/>
    <xf numFmtId="0" fontId="0" fillId="0" borderId="5" xfId="0" applyBorder="1"/>
    <xf numFmtId="0" fontId="4" fillId="8" borderId="1" xfId="0" applyFont="1" applyFill="1" applyBorder="1"/>
    <xf numFmtId="0" fontId="0" fillId="8" borderId="2" xfId="0" applyFill="1" applyBorder="1"/>
    <xf numFmtId="0" fontId="0" fillId="8" borderId="3" xfId="0" applyFill="1" applyBorder="1"/>
    <xf numFmtId="0" fontId="4" fillId="8" borderId="7" xfId="0" applyFont="1" applyFill="1" applyBorder="1"/>
    <xf numFmtId="0" fontId="0" fillId="8" borderId="0" xfId="0" applyFill="1"/>
    <xf numFmtId="0" fontId="0" fillId="8" borderId="8" xfId="0" applyFill="1" applyBorder="1"/>
    <xf numFmtId="0" fontId="0" fillId="7" borderId="0" xfId="0" applyFill="1"/>
    <xf numFmtId="164" fontId="0" fillId="7" borderId="0" xfId="0" applyNumberFormat="1" applyFill="1"/>
    <xf numFmtId="9" fontId="5" fillId="7" borderId="0" xfId="1" applyFont="1" applyFill="1"/>
    <xf numFmtId="0" fontId="0" fillId="11" borderId="4" xfId="0" applyFill="1" applyBorder="1"/>
    <xf numFmtId="9" fontId="5" fillId="9" borderId="0" xfId="1" applyFont="1" applyFill="1"/>
    <xf numFmtId="0" fontId="2" fillId="12" borderId="0" xfId="0" applyFont="1" applyFill="1"/>
    <xf numFmtId="0" fontId="0" fillId="10" borderId="8" xfId="0" quotePrefix="1" applyFill="1" applyBorder="1" applyAlignment="1">
      <alignment horizontal="center"/>
    </xf>
    <xf numFmtId="0" fontId="8" fillId="0" borderId="0" xfId="0" applyFont="1"/>
    <xf numFmtId="0" fontId="0" fillId="10" borderId="2" xfId="0" applyFill="1" applyBorder="1"/>
    <xf numFmtId="0" fontId="4" fillId="10" borderId="6" xfId="0" applyFont="1" applyFill="1" applyBorder="1" applyAlignment="1">
      <alignment horizontal="center"/>
    </xf>
    <xf numFmtId="1" fontId="0" fillId="0" borderId="8" xfId="0" applyNumberFormat="1" applyBorder="1"/>
    <xf numFmtId="0" fontId="0" fillId="8" borderId="1" xfId="0" applyFill="1" applyBorder="1"/>
    <xf numFmtId="0" fontId="0" fillId="10" borderId="4" xfId="0" quotePrefix="1" applyFill="1" applyBorder="1" applyAlignment="1">
      <alignment horizontal="center"/>
    </xf>
    <xf numFmtId="1" fontId="4" fillId="0" borderId="0" xfId="0" applyNumberFormat="1" applyFont="1"/>
    <xf numFmtId="9" fontId="0" fillId="7" borderId="0" xfId="0" applyNumberFormat="1" applyFill="1"/>
    <xf numFmtId="0" fontId="4" fillId="10" borderId="0" xfId="0" applyFont="1" applyFill="1" applyAlignment="1">
      <alignment horizontal="center"/>
    </xf>
    <xf numFmtId="0" fontId="4" fillId="8" borderId="2" xfId="0" applyFont="1" applyFill="1" applyBorder="1"/>
    <xf numFmtId="0" fontId="0" fillId="10" borderId="7" xfId="0" applyFill="1" applyBorder="1" applyAlignment="1">
      <alignment horizontal="center"/>
    </xf>
    <xf numFmtId="0" fontId="4" fillId="10" borderId="8" xfId="0" applyFont="1" applyFill="1" applyBorder="1" applyAlignment="1">
      <alignment horizontal="center"/>
    </xf>
    <xf numFmtId="9" fontId="0" fillId="6" borderId="0" xfId="0" applyNumberFormat="1" applyFill="1"/>
    <xf numFmtId="0" fontId="0" fillId="6" borderId="0" xfId="0" applyFill="1" applyAlignment="1">
      <alignment horizontal="center"/>
    </xf>
    <xf numFmtId="0" fontId="4" fillId="0" borderId="0" xfId="0" applyFont="1" applyAlignment="1">
      <alignment horizontal="center"/>
    </xf>
    <xf numFmtId="164" fontId="0" fillId="0" borderId="0" xfId="1" applyNumberFormat="1" applyFont="1" applyFill="1"/>
    <xf numFmtId="0" fontId="0" fillId="10" borderId="3" xfId="0" quotePrefix="1" applyFill="1" applyBorder="1" applyAlignment="1">
      <alignment horizontal="center"/>
    </xf>
    <xf numFmtId="17" fontId="4" fillId="0" borderId="0" xfId="0" quotePrefix="1" applyNumberFormat="1" applyFont="1"/>
    <xf numFmtId="0" fontId="0" fillId="0" borderId="0" xfId="0" quotePrefix="1" applyAlignment="1">
      <alignment horizontal="center"/>
    </xf>
    <xf numFmtId="0" fontId="0" fillId="13" borderId="0" xfId="0" applyFill="1"/>
    <xf numFmtId="0" fontId="10" fillId="0" borderId="0" xfId="0" applyFont="1"/>
    <xf numFmtId="1" fontId="10" fillId="0" borderId="0" xfId="0" applyNumberFormat="1" applyFont="1"/>
    <xf numFmtId="9" fontId="5" fillId="6" borderId="0" xfId="1" applyFont="1" applyFill="1"/>
    <xf numFmtId="10" fontId="5" fillId="6" borderId="0" xfId="1" applyNumberFormat="1" applyFont="1" applyFill="1"/>
    <xf numFmtId="10" fontId="0" fillId="0" borderId="0" xfId="1" applyNumberFormat="1" applyFont="1" applyFill="1"/>
    <xf numFmtId="1" fontId="9" fillId="9" borderId="0" xfId="0" applyNumberFormat="1" applyFont="1" applyFill="1"/>
    <xf numFmtId="0" fontId="0" fillId="14" borderId="0" xfId="0" applyFill="1" applyAlignment="1">
      <alignment horizontal="center"/>
    </xf>
    <xf numFmtId="0" fontId="0" fillId="14" borderId="0" xfId="0" applyFill="1"/>
    <xf numFmtId="0" fontId="0" fillId="10" borderId="5" xfId="0" quotePrefix="1" applyFill="1" applyBorder="1" applyAlignment="1">
      <alignment horizontal="center"/>
    </xf>
    <xf numFmtId="1" fontId="0" fillId="0" borderId="0" xfId="0" applyNumberFormat="1" applyAlignment="1">
      <alignment horizontal="right"/>
    </xf>
    <xf numFmtId="2" fontId="9" fillId="0" borderId="0" xfId="0" applyNumberFormat="1" applyFont="1"/>
    <xf numFmtId="168" fontId="0" fillId="0" borderId="0" xfId="0" applyNumberFormat="1"/>
    <xf numFmtId="166" fontId="0" fillId="0" borderId="0" xfId="0" applyNumberFormat="1"/>
    <xf numFmtId="1" fontId="0" fillId="7" borderId="0" xfId="0" applyNumberFormat="1" applyFill="1"/>
    <xf numFmtId="169" fontId="4" fillId="0" borderId="0" xfId="0" quotePrefix="1" applyNumberFormat="1" applyFont="1"/>
    <xf numFmtId="0" fontId="0" fillId="6" borderId="7" xfId="0" applyFill="1" applyBorder="1" applyAlignment="1">
      <alignment horizontal="left"/>
    </xf>
    <xf numFmtId="0" fontId="0" fillId="6" borderId="0" xfId="0" applyFill="1" applyAlignment="1">
      <alignment horizontal="left"/>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3.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hartsheet" Target="chartsheets/sheet2.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chartsheet" Target="chartsheets/sheet6.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chartsheet" Target="chartsheets/sheet5.xml"/><Relationship Id="rId4" Type="http://schemas.openxmlformats.org/officeDocument/2006/relationships/worksheet" Target="worksheets/sheet4.xml"/><Relationship Id="rId9" Type="http://schemas.openxmlformats.org/officeDocument/2006/relationships/chartsheet" Target="chartsheets/sheet4.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en-CA"/>
              <a:t>Income Forecast</a:t>
            </a:r>
          </a:p>
        </c:rich>
      </c:tx>
      <c:layout>
        <c:manualLayout>
          <c:xMode val="edge"/>
          <c:yMode val="edge"/>
          <c:x val="0.35864582880178653"/>
          <c:y val="3.898537505506847E-3"/>
        </c:manualLayout>
      </c:layout>
      <c:overlay val="1"/>
    </c:title>
    <c:autoTitleDeleted val="0"/>
    <c:plotArea>
      <c:layout>
        <c:manualLayout>
          <c:layoutTarget val="inner"/>
          <c:xMode val="edge"/>
          <c:yMode val="edge"/>
          <c:x val="0.1279037114616367"/>
          <c:y val="9.2979876555541671E-2"/>
          <c:w val="0.72090560358276901"/>
          <c:h val="0.77084434621110953"/>
        </c:manualLayout>
      </c:layout>
      <c:areaChart>
        <c:grouping val="stacked"/>
        <c:varyColors val="0"/>
        <c:ser>
          <c:idx val="0"/>
          <c:order val="0"/>
          <c:tx>
            <c:strRef>
              <c:f>Person1!$FY$5</c:f>
              <c:strCache>
                <c:ptCount val="1"/>
                <c:pt idx="0">
                  <c:v>Income</c:v>
                </c:pt>
              </c:strCache>
            </c:strRef>
          </c:tx>
          <c:cat>
            <c:numRef>
              <c:f>Person1!$FX$6:$FX$72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Person1!$FY$6:$FY$72</c:f>
              <c:numCache>
                <c:formatCode>0.0</c:formatCode>
                <c:ptCount val="67"/>
                <c:pt idx="1">
                  <c:v>80</c:v>
                </c:pt>
                <c:pt idx="2">
                  <c:v>80.784313725490193</c:v>
                </c:pt>
                <c:pt idx="3">
                  <c:v>81.576316801230305</c:v>
                </c:pt>
                <c:pt idx="4">
                  <c:v>82.376084613007066</c:v>
                </c:pt>
                <c:pt idx="5">
                  <c:v>83.183693285683589</c:v>
                </c:pt>
                <c:pt idx="6">
                  <c:v>83.999219690445202</c:v>
                </c:pt>
                <c:pt idx="7">
                  <c:v>84.822741452116233</c:v>
                </c:pt>
                <c:pt idx="8">
                  <c:v>85.654336956548747</c:v>
                </c:pt>
                <c:pt idx="9">
                  <c:v>86.49408535808351</c:v>
                </c:pt>
                <c:pt idx="10">
                  <c:v>87.342066587084332</c:v>
                </c:pt>
                <c:pt idx="11">
                  <c:v>88.198361357545949</c:v>
                </c:pt>
                <c:pt idx="12">
                  <c:v>89.063051174776788</c:v>
                </c:pt>
                <c:pt idx="13">
                  <c:v>89.936218343156938</c:v>
                </c:pt>
                <c:pt idx="14">
                  <c:v>90.817945973972215</c:v>
                </c:pt>
                <c:pt idx="15">
                  <c:v>91.708317993324897</c:v>
                </c:pt>
                <c:pt idx="16">
                  <c:v>92.607419150122197</c:v>
                </c:pt>
                <c:pt idx="17">
                  <c:v>93.515335024142971</c:v>
                </c:pt>
                <c:pt idx="18">
                  <c:v>94.432152034183588</c:v>
                </c:pt>
                <c:pt idx="19">
                  <c:v>95.357957446283422</c:v>
                </c:pt>
                <c:pt idx="20">
                  <c:v>96.292839382031289</c:v>
                </c:pt>
                <c:pt idx="21">
                  <c:v>97.236886826953167</c:v>
                </c:pt>
                <c:pt idx="22">
                  <c:v>98.190189638982105</c:v>
                </c:pt>
                <c:pt idx="23">
                  <c:v>99.15283855701135</c:v>
                </c:pt>
                <c:pt idx="24">
                  <c:v>100.12492520953109</c:v>
                </c:pt>
                <c:pt idx="25">
                  <c:v>101.10654212335</c:v>
                </c:pt>
                <c:pt idx="26">
                  <c:v>102.09778273240244</c:v>
                </c:pt>
                <c:pt idx="27">
                  <c:v>103.09874138664169</c:v>
                </c:pt>
                <c:pt idx="28">
                  <c:v>104.10951336102052</c:v>
                </c:pt>
                <c:pt idx="29">
                  <c:v>105.13019486455994</c:v>
                </c:pt>
                <c:pt idx="30">
                  <c:v>106.16088304950658</c:v>
                </c:pt>
                <c:pt idx="31">
                  <c:v>107.20167602058018</c:v>
                </c:pt>
                <c:pt idx="32">
                  <c:v>108.25267284431136</c:v>
                </c:pt>
                <c:pt idx="33">
                  <c:v>109.31397355847125</c:v>
                </c:pt>
                <c:pt idx="34">
                  <c:v>110.38567918159353</c:v>
                </c:pt>
                <c:pt idx="35">
                  <c:v>111.46789172258951</c:v>
                </c:pt>
                <c:pt idx="36">
                  <c:v>112.56071419045806</c:v>
                </c:pt>
                <c:pt idx="37">
                  <c:v>113.66425060409001</c:v>
                </c:pt>
                <c:pt idx="38">
                  <c:v>114.7786060021693</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0-758D-437A-A687-13DD8D12FC4A}"/>
            </c:ext>
          </c:extLst>
        </c:ser>
        <c:ser>
          <c:idx val="1"/>
          <c:order val="1"/>
          <c:tx>
            <c:strRef>
              <c:f>Person1!$FZ$5</c:f>
              <c:strCache>
                <c:ptCount val="1"/>
                <c:pt idx="0">
                  <c:v>CPP</c:v>
                </c:pt>
              </c:strCache>
            </c:strRef>
          </c:tx>
          <c:cat>
            <c:numRef>
              <c:f>Person1!$FX$6:$FX$72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Person1!$FZ$6:$FZ$72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12</c:v>
                </c:pt>
                <c:pt idx="45">
                  <c:v>12</c:v>
                </c:pt>
                <c:pt idx="46">
                  <c:v>12</c:v>
                </c:pt>
                <c:pt idx="47">
                  <c:v>12</c:v>
                </c:pt>
                <c:pt idx="48">
                  <c:v>11.999999999999998</c:v>
                </c:pt>
                <c:pt idx="49">
                  <c:v>12.000000000000002</c:v>
                </c:pt>
                <c:pt idx="50">
                  <c:v>12</c:v>
                </c:pt>
                <c:pt idx="51">
                  <c:v>12</c:v>
                </c:pt>
                <c:pt idx="52">
                  <c:v>12</c:v>
                </c:pt>
                <c:pt idx="53">
                  <c:v>12</c:v>
                </c:pt>
                <c:pt idx="54">
                  <c:v>12</c:v>
                </c:pt>
                <c:pt idx="55">
                  <c:v>12.000000000000002</c:v>
                </c:pt>
                <c:pt idx="56">
                  <c:v>12</c:v>
                </c:pt>
                <c:pt idx="57">
                  <c:v>12.000000000000002</c:v>
                </c:pt>
                <c:pt idx="58">
                  <c:v>12.000000000000002</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1-758D-437A-A687-13DD8D12FC4A}"/>
            </c:ext>
          </c:extLst>
        </c:ser>
        <c:ser>
          <c:idx val="2"/>
          <c:order val="2"/>
          <c:tx>
            <c:strRef>
              <c:f>Person1!$GA$5</c:f>
              <c:strCache>
                <c:ptCount val="1"/>
                <c:pt idx="0">
                  <c:v>OAS</c:v>
                </c:pt>
              </c:strCache>
            </c:strRef>
          </c:tx>
          <c:cat>
            <c:numRef>
              <c:f>Person1!$FX$6:$FX$72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Person1!$GA$6:$GA$72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6.8460000000000001</c:v>
                </c:pt>
                <c:pt idx="45">
                  <c:v>6.8460000000000001</c:v>
                </c:pt>
                <c:pt idx="46">
                  <c:v>6.8460000000000001</c:v>
                </c:pt>
                <c:pt idx="47">
                  <c:v>6.8460000000000001</c:v>
                </c:pt>
                <c:pt idx="48">
                  <c:v>6.8460000000000001</c:v>
                </c:pt>
                <c:pt idx="49">
                  <c:v>6.8460000000000001</c:v>
                </c:pt>
                <c:pt idx="50">
                  <c:v>6.8460000000000001</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2-758D-437A-A687-13DD8D12FC4A}"/>
            </c:ext>
          </c:extLst>
        </c:ser>
        <c:ser>
          <c:idx val="3"/>
          <c:order val="3"/>
          <c:tx>
            <c:strRef>
              <c:f>Person1!$GB$5</c:f>
              <c:strCache>
                <c:ptCount val="1"/>
                <c:pt idx="0">
                  <c:v>DB</c:v>
                </c:pt>
              </c:strCache>
            </c:strRef>
          </c:tx>
          <c:cat>
            <c:numRef>
              <c:f>Person1!$FX$6:$FX$72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Person1!$GB$6:$GB$72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22.499999999999982</c:v>
                </c:pt>
                <c:pt idx="40">
                  <c:v>22.169117647058805</c:v>
                </c:pt>
                <c:pt idx="41">
                  <c:v>21.843101211072639</c:v>
                </c:pt>
                <c:pt idx="42">
                  <c:v>21.521879134439217</c:v>
                </c:pt>
                <c:pt idx="43">
                  <c:v>21.205380911873931</c:v>
                </c:pt>
                <c:pt idx="44">
                  <c:v>11.893537074934603</c:v>
                </c:pt>
                <c:pt idx="45">
                  <c:v>11.586279176773797</c:v>
                </c:pt>
                <c:pt idx="46">
                  <c:v>11.283539777115354</c:v>
                </c:pt>
                <c:pt idx="47">
                  <c:v>10.985252427451892</c:v>
                </c:pt>
                <c:pt idx="48">
                  <c:v>10.691351656459952</c:v>
                </c:pt>
                <c:pt idx="49">
                  <c:v>10.401772955629657</c:v>
                </c:pt>
                <c:pt idx="50">
                  <c:v>10.116452765105686</c:v>
                </c:pt>
                <c:pt idx="51">
                  <c:v>9.8353284597364823</c:v>
                </c:pt>
                <c:pt idx="52">
                  <c:v>9.5583383353285924</c:v>
                </c:pt>
                <c:pt idx="53">
                  <c:v>9.2854215951031698</c:v>
                </c:pt>
                <c:pt idx="54">
                  <c:v>9.0165183363516466</c:v>
                </c:pt>
                <c:pt idx="55">
                  <c:v>8.7515695372876525</c:v>
                </c:pt>
                <c:pt idx="56">
                  <c:v>8.4905170440922433</c:v>
                </c:pt>
                <c:pt idx="57">
                  <c:v>8.2333035581497001</c:v>
                </c:pt>
                <c:pt idx="58">
                  <c:v>7.9798726234710315</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3-758D-437A-A687-13DD8D12FC4A}"/>
            </c:ext>
          </c:extLst>
        </c:ser>
        <c:ser>
          <c:idx val="4"/>
          <c:order val="4"/>
          <c:tx>
            <c:strRef>
              <c:f>Person1!$GC$5</c:f>
              <c:strCache>
                <c:ptCount val="1"/>
                <c:pt idx="0">
                  <c:v>RRSP</c:v>
                </c:pt>
              </c:strCache>
            </c:strRef>
          </c:tx>
          <c:cat>
            <c:numRef>
              <c:f>Person1!$FX$6:$FX$72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Person1!$GC$6:$GC$72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12.649237634419453</c:v>
                </c:pt>
                <c:pt idx="40">
                  <c:v>12.705384599053533</c:v>
                </c:pt>
                <c:pt idx="41">
                  <c:v>12.759825127969581</c:v>
                </c:pt>
                <c:pt idx="42">
                  <c:v>12.816832284370241</c:v>
                </c:pt>
                <c:pt idx="43">
                  <c:v>12.878719549108816</c:v>
                </c:pt>
                <c:pt idx="44">
                  <c:v>9.8723760579448587</c:v>
                </c:pt>
                <c:pt idx="45">
                  <c:v>9.9110686560784202</c:v>
                </c:pt>
                <c:pt idx="46">
                  <c:v>9.9403549392605175</c:v>
                </c:pt>
                <c:pt idx="47">
                  <c:v>9.9687943881157928</c:v>
                </c:pt>
                <c:pt idx="48">
                  <c:v>9.9875368289737878</c:v>
                </c:pt>
                <c:pt idx="49">
                  <c:v>10.005546469967529</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4-758D-437A-A687-13DD8D12FC4A}"/>
            </c:ext>
          </c:extLst>
        </c:ser>
        <c:ser>
          <c:idx val="5"/>
          <c:order val="5"/>
          <c:tx>
            <c:strRef>
              <c:f>Person1!$GD$5</c:f>
              <c:strCache>
                <c:ptCount val="1"/>
                <c:pt idx="0">
                  <c:v>LIRA</c:v>
                </c:pt>
              </c:strCache>
            </c:strRef>
          </c:tx>
          <c:cat>
            <c:numRef>
              <c:f>Person1!$FX$6:$FX$72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Person1!$GD$6:$GD$72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5-758D-437A-A687-13DD8D12FC4A}"/>
            </c:ext>
          </c:extLst>
        </c:ser>
        <c:ser>
          <c:idx val="6"/>
          <c:order val="6"/>
          <c:tx>
            <c:strRef>
              <c:f>Person1!$GE$5</c:f>
              <c:strCache>
                <c:ptCount val="1"/>
                <c:pt idx="0">
                  <c:v>Invest</c:v>
                </c:pt>
              </c:strCache>
            </c:strRef>
          </c:tx>
          <c:cat>
            <c:numRef>
              <c:f>Person1!$FX$6:$FX$72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Person1!$GE$6:$GE$72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28.312758713667765</c:v>
                </c:pt>
                <c:pt idx="40">
                  <c:v>28.302466900753544</c:v>
                </c:pt>
                <c:pt idx="41">
                  <c:v>28.517737440150427</c:v>
                </c:pt>
                <c:pt idx="42">
                  <c:v>28.508851505093013</c:v>
                </c:pt>
                <c:pt idx="43">
                  <c:v>28.728535867125753</c:v>
                </c:pt>
                <c:pt idx="44">
                  <c:v>23.232328799547524</c:v>
                </c:pt>
                <c:pt idx="45">
                  <c:v>23.402054823148934</c:v>
                </c:pt>
                <c:pt idx="46">
                  <c:v>23.343762050606497</c:v>
                </c:pt>
                <c:pt idx="47">
                  <c:v>23.487200842320693</c:v>
                </c:pt>
                <c:pt idx="48">
                  <c:v>23.41037893647314</c:v>
                </c:pt>
                <c:pt idx="49">
                  <c:v>23.527677784995799</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6-758D-437A-A687-13DD8D12FC4A}"/>
            </c:ext>
          </c:extLst>
        </c:ser>
        <c:ser>
          <c:idx val="7"/>
          <c:order val="7"/>
          <c:tx>
            <c:strRef>
              <c:f>Person1!$GF$5</c:f>
              <c:strCache>
                <c:ptCount val="1"/>
                <c:pt idx="0">
                  <c:v>TFSA</c:v>
                </c:pt>
              </c:strCache>
            </c:strRef>
          </c:tx>
          <c:cat>
            <c:numRef>
              <c:f>Person1!$FX$6:$FX$72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Person1!$GF$6:$GF$72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7-758D-437A-A687-13DD8D12FC4A}"/>
            </c:ext>
          </c:extLst>
        </c:ser>
        <c:dLbls>
          <c:showLegendKey val="0"/>
          <c:showVal val="0"/>
          <c:showCatName val="0"/>
          <c:showSerName val="0"/>
          <c:showPercent val="0"/>
          <c:showBubbleSize val="0"/>
        </c:dLbls>
        <c:axId val="725713320"/>
        <c:axId val="1"/>
      </c:areaChart>
      <c:lineChart>
        <c:grouping val="standard"/>
        <c:varyColors val="0"/>
        <c:ser>
          <c:idx val="9"/>
          <c:order val="8"/>
          <c:tx>
            <c:strRef>
              <c:f>Person1!$GG$5</c:f>
              <c:strCache>
                <c:ptCount val="1"/>
                <c:pt idx="0">
                  <c:v>Net Inc</c:v>
                </c:pt>
              </c:strCache>
            </c:strRef>
          </c:tx>
          <c:spPr>
            <a:ln>
              <a:solidFill>
                <a:schemeClr val="tx1">
                  <a:lumMod val="65000"/>
                  <a:lumOff val="35000"/>
                </a:schemeClr>
              </a:solidFill>
            </a:ln>
          </c:spPr>
          <c:marker>
            <c:symbol val="none"/>
          </c:marker>
          <c:cat>
            <c:numRef>
              <c:f>Person1!$FX$6:$FX$72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Person1!$GG$6:$GG$72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8-758D-437A-A687-13DD8D12FC4A}"/>
            </c:ext>
          </c:extLst>
        </c:ser>
        <c:ser>
          <c:idx val="8"/>
          <c:order val="9"/>
          <c:tx>
            <c:strRef>
              <c:f>Person1!$GH$5</c:f>
              <c:strCache>
                <c:ptCount val="1"/>
                <c:pt idx="0">
                  <c:v>Net-Svgs</c:v>
                </c:pt>
              </c:strCache>
            </c:strRef>
          </c:tx>
          <c:cat>
            <c:numRef>
              <c:f>Person1!$FX$6:$FX$72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Person1!$GH$6:$GH$72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9-758D-437A-A687-13DD8D12FC4A}"/>
            </c:ext>
          </c:extLst>
        </c:ser>
        <c:dLbls>
          <c:showLegendKey val="0"/>
          <c:showVal val="0"/>
          <c:showCatName val="0"/>
          <c:showSerName val="0"/>
          <c:showPercent val="0"/>
          <c:showBubbleSize val="0"/>
        </c:dLbls>
        <c:marker val="1"/>
        <c:smooth val="0"/>
        <c:axId val="725713320"/>
        <c:axId val="1"/>
      </c:lineChart>
      <c:catAx>
        <c:axId val="72571332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CA"/>
                  <a:t>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8"/>
        <c:tickMarkSkip val="1"/>
        <c:noMultiLvlLbl val="1"/>
      </c:catAx>
      <c:valAx>
        <c:axId val="1"/>
        <c:scaling>
          <c:orientation val="minMax"/>
          <c:min val="0"/>
        </c:scaling>
        <c:delete val="0"/>
        <c:axPos val="l"/>
        <c:majorGridlines/>
        <c:title>
          <c:tx>
            <c:rich>
              <a:bodyPr/>
              <a:lstStyle/>
              <a:p>
                <a:pPr>
                  <a:defRPr sz="1000" b="0" i="0" u="none" strike="noStrike" baseline="0">
                    <a:solidFill>
                      <a:srgbClr val="000000"/>
                    </a:solidFill>
                    <a:latin typeface="Calibri"/>
                    <a:ea typeface="Calibri"/>
                    <a:cs typeface="Calibri"/>
                  </a:defRPr>
                </a:pPr>
                <a:r>
                  <a:rPr lang="en-CA"/>
                  <a:t>Income ($/yr)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25713320"/>
        <c:crosses val="autoZero"/>
        <c:crossBetween val="between"/>
      </c:valAx>
      <c:spPr>
        <a:ln>
          <a:solidFill>
            <a:schemeClr val="accent1"/>
          </a:solidFill>
        </a:ln>
      </c:spPr>
    </c:plotArea>
    <c:legend>
      <c:legendPos val="r"/>
      <c:layout>
        <c:manualLayout>
          <c:xMode val="edge"/>
          <c:yMode val="edge"/>
          <c:x val="0.85062354084192515"/>
          <c:y val="9.5923692162593152E-2"/>
          <c:w val="0.14107901567552672"/>
          <c:h val="0.76259253054361109"/>
        </c:manualLayout>
      </c:layout>
      <c:overlay val="0"/>
      <c:txPr>
        <a:bodyPr/>
        <a:lstStyle/>
        <a:p>
          <a:pPr>
            <a:defRPr sz="73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en-CA"/>
              <a:t>Account Balances</a:t>
            </a:r>
          </a:p>
        </c:rich>
      </c:tx>
      <c:layout>
        <c:manualLayout>
          <c:xMode val="edge"/>
          <c:yMode val="edge"/>
          <c:x val="0.3398067418326492"/>
          <c:y val="1.1661795821621588E-2"/>
        </c:manualLayout>
      </c:layout>
      <c:overlay val="1"/>
    </c:title>
    <c:autoTitleDeleted val="0"/>
    <c:plotArea>
      <c:layout>
        <c:manualLayout>
          <c:layoutTarget val="inner"/>
          <c:xMode val="edge"/>
          <c:yMode val="edge"/>
          <c:x val="0.14481322487520587"/>
          <c:y val="9.2979876555541671E-2"/>
          <c:w val="0.73557261012826114"/>
          <c:h val="0.78601163984936662"/>
        </c:manualLayout>
      </c:layout>
      <c:areaChart>
        <c:grouping val="stacked"/>
        <c:varyColors val="0"/>
        <c:ser>
          <c:idx val="0"/>
          <c:order val="0"/>
          <c:tx>
            <c:strRef>
              <c:f>Person1!$GK$5</c:f>
              <c:strCache>
                <c:ptCount val="1"/>
                <c:pt idx="0">
                  <c:v>RRSP</c:v>
                </c:pt>
              </c:strCache>
            </c:strRef>
          </c:tx>
          <c:cat>
            <c:numRef>
              <c:f>Person1!$GJ$6:$GJ$72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Person1!$GK$6:$GK$72</c:f>
              <c:numCache>
                <c:formatCode>0</c:formatCode>
                <c:ptCount val="67"/>
                <c:pt idx="1">
                  <c:v>0</c:v>
                </c:pt>
                <c:pt idx="2">
                  <c:v>6.6134137026293729</c:v>
                </c:pt>
                <c:pt idx="3">
                  <c:v>13.805807085478335</c:v>
                </c:pt>
                <c:pt idx="4">
                  <c:v>19.395530549544183</c:v>
                </c:pt>
                <c:pt idx="5">
                  <c:v>24.710688282387796</c:v>
                </c:pt>
                <c:pt idx="6">
                  <c:v>30.228690859844217</c:v>
                </c:pt>
                <c:pt idx="7">
                  <c:v>35.955960352598119</c:v>
                </c:pt>
                <c:pt idx="8">
                  <c:v>41.899112186803784</c:v>
                </c:pt>
                <c:pt idx="9">
                  <c:v>48.06496087484431</c:v>
                </c:pt>
                <c:pt idx="10">
                  <c:v>54.460525915072488</c:v>
                </c:pt>
                <c:pt idx="11">
                  <c:v>61.093037865507178</c:v>
                </c:pt>
                <c:pt idx="12">
                  <c:v>67.96994459660624</c:v>
                </c:pt>
                <c:pt idx="13">
                  <c:v>75.098917728386937</c:v>
                </c:pt>
                <c:pt idx="14">
                  <c:v>82.487859257320366</c:v>
                </c:pt>
                <c:pt idx="15">
                  <c:v>90.144908378585527</c:v>
                </c:pt>
                <c:pt idx="16">
                  <c:v>98.078448509433983</c:v>
                </c:pt>
                <c:pt idx="17">
                  <c:v>106.29711451958366</c:v>
                </c:pt>
                <c:pt idx="18">
                  <c:v>114.80980017473649</c:v>
                </c:pt>
                <c:pt idx="19">
                  <c:v>123.62566579949174</c:v>
                </c:pt>
                <c:pt idx="20">
                  <c:v>132.75414616611323</c:v>
                </c:pt>
                <c:pt idx="21">
                  <c:v>142.20495861579724</c:v>
                </c:pt>
                <c:pt idx="22">
                  <c:v>151.98811141928493</c:v>
                </c:pt>
                <c:pt idx="23">
                  <c:v>162.1139123838621</c:v>
                </c:pt>
                <c:pt idx="24">
                  <c:v>172.59297771399963</c:v>
                </c:pt>
                <c:pt idx="25">
                  <c:v>183.43624113309758</c:v>
                </c:pt>
                <c:pt idx="26">
                  <c:v>194.65496327401894</c:v>
                </c:pt>
                <c:pt idx="27">
                  <c:v>206.26074134632205</c:v>
                </c:pt>
                <c:pt idx="28">
                  <c:v>218.26551908833665</c:v>
                </c:pt>
                <c:pt idx="29">
                  <c:v>230.68159701246415</c:v>
                </c:pt>
                <c:pt idx="30">
                  <c:v>243.52164295233359</c:v>
                </c:pt>
                <c:pt idx="31">
                  <c:v>256.79870292069489</c:v>
                </c:pt>
                <c:pt idx="32">
                  <c:v>270.52621228719477</c:v>
                </c:pt>
                <c:pt idx="33">
                  <c:v>284.71800728544878</c:v>
                </c:pt>
                <c:pt idx="34">
                  <c:v>299.38833685909941</c:v>
                </c:pt>
                <c:pt idx="35">
                  <c:v>314.55187485683626</c:v>
                </c:pt>
                <c:pt idx="36">
                  <c:v>330.22373258664732</c:v>
                </c:pt>
                <c:pt idx="37">
                  <c:v>346.41947173987165</c:v>
                </c:pt>
                <c:pt idx="38">
                  <c:v>363.15511769593678</c:v>
                </c:pt>
                <c:pt idx="39">
                  <c:v>380.44717321898139</c:v>
                </c:pt>
                <c:pt idx="40">
                  <c:v>379.2355825936383</c:v>
                </c:pt>
                <c:pt idx="41">
                  <c:v>377.93331090614373</c:v>
                </c:pt>
                <c:pt idx="42">
                  <c:v>376.53936404262885</c:v>
                </c:pt>
                <c:pt idx="43">
                  <c:v>375.04852937293145</c:v>
                </c:pt>
                <c:pt idx="44">
                  <c:v>373.45317283575406</c:v>
                </c:pt>
                <c:pt idx="45">
                  <c:v>374.75828962705583</c:v>
                </c:pt>
                <c:pt idx="46">
                  <c:v>376.06385828659819</c:v>
                </c:pt>
                <c:pt idx="47">
                  <c:v>377.37911398202704</c:v>
                </c:pt>
                <c:pt idx="48">
                  <c:v>378.70517185589466</c:v>
                </c:pt>
                <c:pt idx="49">
                  <c:v>380.05185648991733</c:v>
                </c:pt>
                <c:pt idx="50">
                  <c:v>381.42049298475058</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0-0DC3-446A-AFDF-B600FCE17D70}"/>
            </c:ext>
          </c:extLst>
        </c:ser>
        <c:ser>
          <c:idx val="1"/>
          <c:order val="1"/>
          <c:tx>
            <c:strRef>
              <c:f>Person1!$GL$5</c:f>
              <c:strCache>
                <c:ptCount val="1"/>
                <c:pt idx="0">
                  <c:v>LIRA</c:v>
                </c:pt>
              </c:strCache>
            </c:strRef>
          </c:tx>
          <c:cat>
            <c:numRef>
              <c:f>Person1!$GJ$6:$GJ$72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Person1!$GL$6:$GL$72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1-0DC3-446A-AFDF-B600FCE17D70}"/>
            </c:ext>
          </c:extLst>
        </c:ser>
        <c:ser>
          <c:idx val="2"/>
          <c:order val="2"/>
          <c:tx>
            <c:strRef>
              <c:f>Person1!$GM$5</c:f>
              <c:strCache>
                <c:ptCount val="1"/>
                <c:pt idx="0">
                  <c:v>TFSA</c:v>
                </c:pt>
              </c:strCache>
            </c:strRef>
          </c:tx>
          <c:cat>
            <c:numRef>
              <c:f>Person1!$GJ$6:$GJ$72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Person1!$GM$6:$GM$72</c:f>
              <c:numCache>
                <c:formatCode>0</c:formatCode>
                <c:ptCount val="67"/>
                <c:pt idx="1">
                  <c:v>0</c:v>
                </c:pt>
                <c:pt idx="2">
                  <c:v>0</c:v>
                </c:pt>
                <c:pt idx="3">
                  <c:v>0</c:v>
                </c:pt>
                <c:pt idx="4">
                  <c:v>3.0614023133824788</c:v>
                </c:pt>
                <c:pt idx="5">
                  <c:v>7.3679531131194445</c:v>
                </c:pt>
                <c:pt idx="6">
                  <c:v>12.28679137194449</c:v>
                </c:pt>
                <c:pt idx="7">
                  <c:v>17.840686566107983</c:v>
                </c:pt>
                <c:pt idx="8">
                  <c:v>24.053124539020331</c:v>
                </c:pt>
                <c:pt idx="9">
                  <c:v>30.948329028488775</c:v>
                </c:pt>
                <c:pt idx="10">
                  <c:v>38.551283831594873</c:v>
                </c:pt>
                <c:pt idx="11">
                  <c:v>46.887755626010247</c:v>
                </c:pt>
                <c:pt idx="12">
                  <c:v>55.984317467102549</c:v>
                </c:pt>
                <c:pt idx="13">
                  <c:v>65.868372980752284</c:v>
                </c:pt>
                <c:pt idx="14">
                  <c:v>76.568181272388159</c:v>
                </c:pt>
                <c:pt idx="15">
                  <c:v>85.419921701285062</c:v>
                </c:pt>
                <c:pt idx="16">
                  <c:v>93.504882814472026</c:v>
                </c:pt>
                <c:pt idx="17">
                  <c:v>101.71837002951915</c:v>
                </c:pt>
                <c:pt idx="18">
                  <c:v>110.06630601358026</c:v>
                </c:pt>
                <c:pt idx="19">
                  <c:v>118.90482530782232</c:v>
                </c:pt>
                <c:pt idx="20">
                  <c:v>127.89347213033179</c:v>
                </c:pt>
                <c:pt idx="21">
                  <c:v>137.03881550491187</c:v>
                </c:pt>
                <c:pt idx="22">
                  <c:v>146.67746334468234</c:v>
                </c:pt>
                <c:pt idx="23">
                  <c:v>156.48963819067018</c:v>
                </c:pt>
                <c:pt idx="24">
                  <c:v>166.48259990847259</c:v>
                </c:pt>
                <c:pt idx="25">
                  <c:v>176.97464035605375</c:v>
                </c:pt>
                <c:pt idx="26">
                  <c:v>187.66555467186862</c:v>
                </c:pt>
                <c:pt idx="27">
                  <c:v>198.56334337276135</c:v>
                </c:pt>
                <c:pt idx="28">
                  <c:v>209.96913112480399</c:v>
                </c:pt>
                <c:pt idx="29">
                  <c:v>221.60125205744495</c:v>
                </c:pt>
                <c:pt idx="30">
                  <c:v>233.75005900908252</c:v>
                </c:pt>
                <c:pt idx="31">
                  <c:v>246.1457696344429</c:v>
                </c:pt>
                <c:pt idx="32">
                  <c:v>258.79781079016095</c:v>
                </c:pt>
                <c:pt idx="33">
                  <c:v>271.98116079445538</c:v>
                </c:pt>
                <c:pt idx="34">
                  <c:v>285.4430083540343</c:v>
                </c:pt>
                <c:pt idx="35">
                  <c:v>299.44870077457369</c:v>
                </c:pt>
                <c:pt idx="36">
                  <c:v>313.7563192501899</c:v>
                </c:pt>
                <c:pt idx="37">
                  <c:v>328.37690094083501</c:v>
                </c:pt>
                <c:pt idx="38">
                  <c:v>343.5620708009094</c:v>
                </c:pt>
                <c:pt idx="39">
                  <c:v>359.08549025069669</c:v>
                </c:pt>
                <c:pt idx="40">
                  <c:v>375.19020688111391</c:v>
                </c:pt>
                <c:pt idx="41">
                  <c:v>391.65989794807535</c:v>
                </c:pt>
                <c:pt idx="42">
                  <c:v>408.72943434832803</c:v>
                </c:pt>
                <c:pt idx="43">
                  <c:v>426.19218990472399</c:v>
                </c:pt>
                <c:pt idx="44">
                  <c:v>444.27524810699367</c:v>
                </c:pt>
                <c:pt idx="45">
                  <c:v>462.7813767702458</c:v>
                </c:pt>
                <c:pt idx="46">
                  <c:v>481.93025056796057</c:v>
                </c:pt>
                <c:pt idx="47">
                  <c:v>501.53374502964965</c:v>
                </c:pt>
                <c:pt idx="48">
                  <c:v>521.8044945808283</c:v>
                </c:pt>
                <c:pt idx="49">
                  <c:v>542.56321211782017</c:v>
                </c:pt>
                <c:pt idx="50">
                  <c:v>564.01585102735498</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2-0DC3-446A-AFDF-B600FCE17D70}"/>
            </c:ext>
          </c:extLst>
        </c:ser>
        <c:ser>
          <c:idx val="3"/>
          <c:order val="3"/>
          <c:tx>
            <c:strRef>
              <c:f>Person1!$GN$5</c:f>
              <c:strCache>
                <c:ptCount val="1"/>
                <c:pt idx="0">
                  <c:v>Invest</c:v>
                </c:pt>
              </c:strCache>
            </c:strRef>
          </c:tx>
          <c:cat>
            <c:numRef>
              <c:f>Person1!$GJ$6:$GJ$72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Person1!$GN$6:$GN$72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2.6929608720666645</c:v>
                </c:pt>
                <c:pt idx="16">
                  <c:v>7.0065123328179082</c:v>
                </c:pt>
                <c:pt idx="17">
                  <c:v>12.062994518188191</c:v>
                </c:pt>
                <c:pt idx="18">
                  <c:v>17.881587052865434</c:v>
                </c:pt>
                <c:pt idx="19">
                  <c:v>24.131897467726244</c:v>
                </c:pt>
                <c:pt idx="20">
                  <c:v>31.18352553464268</c:v>
                </c:pt>
                <c:pt idx="21">
                  <c:v>39.057056432169489</c:v>
                </c:pt>
                <c:pt idx="22">
                  <c:v>47.443727095208267</c:v>
                </c:pt>
                <c:pt idx="23">
                  <c:v>56.694455445010313</c:v>
                </c:pt>
                <c:pt idx="24">
                  <c:v>66.831339165708172</c:v>
                </c:pt>
                <c:pt idx="25">
                  <c:v>77.566189120894009</c:v>
                </c:pt>
                <c:pt idx="26">
                  <c:v>89.232515093717723</c:v>
                </c:pt>
                <c:pt idx="27">
                  <c:v>101.85404044518347</c:v>
                </c:pt>
                <c:pt idx="28">
                  <c:v>115.16216803784675</c:v>
                </c:pt>
                <c:pt idx="29">
                  <c:v>129.45700479843569</c:v>
                </c:pt>
                <c:pt idx="30">
                  <c:v>144.42614187230646</c:v>
                </c:pt>
                <c:pt idx="31">
                  <c:v>160.3734810139529</c:v>
                </c:pt>
                <c:pt idx="32">
                  <c:v>177.32186539751345</c:v>
                </c:pt>
                <c:pt idx="33">
                  <c:v>195.02937218523579</c:v>
                </c:pt>
                <c:pt idx="34">
                  <c:v>213.78521006937569</c:v>
                </c:pt>
                <c:pt idx="35">
                  <c:v>233.35878893608057</c:v>
                </c:pt>
                <c:pt idx="36">
                  <c:v>254.03006943118962</c:v>
                </c:pt>
                <c:pt idx="37">
                  <c:v>275.82455396518077</c:v>
                </c:pt>
                <c:pt idx="38">
                  <c:v>298.52804548168353</c:v>
                </c:pt>
                <c:pt idx="39">
                  <c:v>322.40751851361188</c:v>
                </c:pt>
                <c:pt idx="40">
                  <c:v>304.13248600551447</c:v>
                </c:pt>
                <c:pt idx="41">
                  <c:v>285.33004255395747</c:v>
                </c:pt>
                <c:pt idx="42">
                  <c:v>265.76353651127937</c:v>
                </c:pt>
                <c:pt idx="43">
                  <c:v>245.63025669779447</c:v>
                </c:pt>
                <c:pt idx="44">
                  <c:v>224.68944477015526</c:v>
                </c:pt>
                <c:pt idx="45">
                  <c:v>208.52116491089762</c:v>
                </c:pt>
                <c:pt idx="46">
                  <c:v>191.71094934636622</c:v>
                </c:pt>
                <c:pt idx="47">
                  <c:v>174.46346545399808</c:v>
                </c:pt>
                <c:pt idx="48">
                  <c:v>156.56807635723263</c:v>
                </c:pt>
                <c:pt idx="49">
                  <c:v>138.22166788100111</c:v>
                </c:pt>
                <c:pt idx="50">
                  <c:v>119.22066028436797</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3-0DC3-446A-AFDF-B600FCE17D70}"/>
            </c:ext>
          </c:extLst>
        </c:ser>
        <c:dLbls>
          <c:showLegendKey val="0"/>
          <c:showVal val="0"/>
          <c:showCatName val="0"/>
          <c:showSerName val="0"/>
          <c:showPercent val="0"/>
          <c:showBubbleSize val="0"/>
        </c:dLbls>
        <c:axId val="725716920"/>
        <c:axId val="1"/>
      </c:areaChart>
      <c:catAx>
        <c:axId val="72571692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CA"/>
                  <a:t>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8"/>
        <c:tickMarkSkip val="1"/>
        <c:noMultiLvlLbl val="1"/>
      </c:catAx>
      <c:valAx>
        <c:axId val="1"/>
        <c:scaling>
          <c:orientation val="minMax"/>
          <c:min val="0"/>
        </c:scaling>
        <c:delete val="0"/>
        <c:axPos val="l"/>
        <c:majorGridlines/>
        <c:title>
          <c:tx>
            <c:rich>
              <a:bodyPr/>
              <a:lstStyle/>
              <a:p>
                <a:pPr>
                  <a:defRPr sz="1000" b="0" i="0" u="none" strike="noStrike" baseline="0">
                    <a:solidFill>
                      <a:srgbClr val="000000"/>
                    </a:solidFill>
                    <a:latin typeface="Calibri"/>
                    <a:ea typeface="Calibri"/>
                    <a:cs typeface="Calibri"/>
                  </a:defRPr>
                </a:pPr>
                <a:r>
                  <a:rPr lang="en-CA"/>
                  <a:t>Account Balances ($)</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25716920"/>
        <c:crosses val="autoZero"/>
        <c:crossBetween val="midCat"/>
      </c:valAx>
      <c:spPr>
        <a:ln>
          <a:solidFill>
            <a:schemeClr val="accent1"/>
          </a:solidFill>
        </a:ln>
      </c:spPr>
    </c:plotArea>
    <c:legend>
      <c:legendPos val="r"/>
      <c:layout>
        <c:manualLayout>
          <c:xMode val="edge"/>
          <c:yMode val="edge"/>
          <c:x val="0.8870544465985768"/>
          <c:y val="0.3525191886475183"/>
          <c:w val="9.3664143082527351E-2"/>
          <c:h val="0.28537257310921238"/>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en-CA"/>
              <a:t>Income Forecast</a:t>
            </a:r>
          </a:p>
        </c:rich>
      </c:tx>
      <c:layout>
        <c:manualLayout>
          <c:xMode val="edge"/>
          <c:yMode val="edge"/>
          <c:x val="0.35864580724089984"/>
          <c:y val="3.8986220472440945E-3"/>
        </c:manualLayout>
      </c:layout>
      <c:overlay val="1"/>
    </c:title>
    <c:autoTitleDeleted val="0"/>
    <c:plotArea>
      <c:layout>
        <c:manualLayout>
          <c:layoutTarget val="inner"/>
          <c:xMode val="edge"/>
          <c:yMode val="edge"/>
          <c:x val="0.1279037114616367"/>
          <c:y val="9.2979876555541671E-2"/>
          <c:w val="0.72090560358276901"/>
          <c:h val="0.77084434621110953"/>
        </c:manualLayout>
      </c:layout>
      <c:areaChart>
        <c:grouping val="stacked"/>
        <c:varyColors val="0"/>
        <c:ser>
          <c:idx val="0"/>
          <c:order val="0"/>
          <c:tx>
            <c:strRef>
              <c:f>Inputs_Summary!$BH$5</c:f>
              <c:strCache>
                <c:ptCount val="1"/>
                <c:pt idx="0">
                  <c:v>Income</c:v>
                </c:pt>
              </c:strCache>
            </c:strRef>
          </c:tx>
          <c:cat>
            <c:numRef>
              <c:f>Inputs_Summary!$BG$6:$BG$72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Inputs_Summary!$BH$6:$BH$72</c:f>
              <c:numCache>
                <c:formatCode>0.0</c:formatCode>
                <c:ptCount val="67"/>
                <c:pt idx="1">
                  <c:v>40</c:v>
                </c:pt>
                <c:pt idx="2">
                  <c:v>40.196078431372548</c:v>
                </c:pt>
                <c:pt idx="3">
                  <c:v>40.393118031526342</c:v>
                </c:pt>
                <c:pt idx="4">
                  <c:v>40.591123512073032</c:v>
                </c:pt>
                <c:pt idx="5">
                  <c:v>40.790099607720443</c:v>
                </c:pt>
                <c:pt idx="6">
                  <c:v>40.990051076385733</c:v>
                </c:pt>
                <c:pt idx="7">
                  <c:v>41.190982699309181</c:v>
                </c:pt>
                <c:pt idx="8">
                  <c:v>41.392899281168546</c:v>
                </c:pt>
                <c:pt idx="9">
                  <c:v>41.595805650193874</c:v>
                </c:pt>
                <c:pt idx="10">
                  <c:v>41.799706658283057</c:v>
                </c:pt>
                <c:pt idx="11">
                  <c:v>42.004607181117777</c:v>
                </c:pt>
                <c:pt idx="12">
                  <c:v>42.210512118280114</c:v>
                </c:pt>
                <c:pt idx="13">
                  <c:v>42.417426393369723</c:v>
                </c:pt>
                <c:pt idx="14">
                  <c:v>42.625354954121534</c:v>
                </c:pt>
                <c:pt idx="15">
                  <c:v>42.83430277252409</c:v>
                </c:pt>
                <c:pt idx="16">
                  <c:v>43.044274844938421</c:v>
                </c:pt>
                <c:pt idx="17">
                  <c:v>43.255276192217536</c:v>
                </c:pt>
                <c:pt idx="18">
                  <c:v>43.467311859826424</c:v>
                </c:pt>
                <c:pt idx="19">
                  <c:v>43.680386917962828</c:v>
                </c:pt>
                <c:pt idx="20">
                  <c:v>43.89450646167834</c:v>
                </c:pt>
                <c:pt idx="21">
                  <c:v>44.109675611000291</c:v>
                </c:pt>
                <c:pt idx="22">
                  <c:v>44.325899511054203</c:v>
                </c:pt>
                <c:pt idx="23">
                  <c:v>44.543183332186814</c:v>
                </c:pt>
                <c:pt idx="24">
                  <c:v>44.761532270089695</c:v>
                </c:pt>
                <c:pt idx="25">
                  <c:v>44.980951545923467</c:v>
                </c:pt>
                <c:pt idx="26">
                  <c:v>45.201446406442692</c:v>
                </c:pt>
                <c:pt idx="27">
                  <c:v>45.423022124121331</c:v>
                </c:pt>
                <c:pt idx="28">
                  <c:v>45.645683997278788</c:v>
                </c:pt>
                <c:pt idx="29">
                  <c:v>45.869437350206617</c:v>
                </c:pt>
                <c:pt idx="30">
                  <c:v>46.094287533295862</c:v>
                </c:pt>
                <c:pt idx="31">
                  <c:v>46.320239923164955</c:v>
                </c:pt>
                <c:pt idx="32">
                  <c:v>46.547299922788319</c:v>
                </c:pt>
                <c:pt idx="33">
                  <c:v>46.775472961625496</c:v>
                </c:pt>
                <c:pt idx="34">
                  <c:v>47.004764495751125</c:v>
                </c:pt>
                <c:pt idx="35">
                  <c:v>47.235180007985178</c:v>
                </c:pt>
                <c:pt idx="36">
                  <c:v>47.466725008024333</c:v>
                </c:pt>
                <c:pt idx="37">
                  <c:v>47.699405032573473</c:v>
                </c:pt>
                <c:pt idx="38">
                  <c:v>47.933225645478224</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0-8D2A-466F-87BC-8D3C93CCD625}"/>
            </c:ext>
          </c:extLst>
        </c:ser>
        <c:ser>
          <c:idx val="1"/>
          <c:order val="1"/>
          <c:tx>
            <c:strRef>
              <c:f>Inputs_Summary!$BI$5</c:f>
              <c:strCache>
                <c:ptCount val="1"/>
                <c:pt idx="0">
                  <c:v>CPP</c:v>
                </c:pt>
              </c:strCache>
            </c:strRef>
          </c:tx>
          <c:cat>
            <c:numRef>
              <c:f>Inputs_Summary!$BG$6:$BG$72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Inputs_Summary!$BI$6:$BI$72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8</c:v>
                </c:pt>
                <c:pt idx="45">
                  <c:v>8</c:v>
                </c:pt>
                <c:pt idx="46">
                  <c:v>8</c:v>
                </c:pt>
                <c:pt idx="47">
                  <c:v>8</c:v>
                </c:pt>
                <c:pt idx="48">
                  <c:v>7.9999999999999991</c:v>
                </c:pt>
                <c:pt idx="49">
                  <c:v>8</c:v>
                </c:pt>
                <c:pt idx="50">
                  <c:v>8</c:v>
                </c:pt>
                <c:pt idx="51">
                  <c:v>8</c:v>
                </c:pt>
                <c:pt idx="52">
                  <c:v>8</c:v>
                </c:pt>
                <c:pt idx="53">
                  <c:v>8</c:v>
                </c:pt>
                <c:pt idx="54">
                  <c:v>8</c:v>
                </c:pt>
                <c:pt idx="55">
                  <c:v>8</c:v>
                </c:pt>
                <c:pt idx="56">
                  <c:v>8</c:v>
                </c:pt>
                <c:pt idx="57">
                  <c:v>8</c:v>
                </c:pt>
                <c:pt idx="58">
                  <c:v>8.0000000000000018</c:v>
                </c:pt>
                <c:pt idx="59">
                  <c:v>12</c:v>
                </c:pt>
                <c:pt idx="60">
                  <c:v>12</c:v>
                </c:pt>
                <c:pt idx="61">
                  <c:v>12</c:v>
                </c:pt>
                <c:pt idx="62">
                  <c:v>12</c:v>
                </c:pt>
                <c:pt idx="63">
                  <c:v>12.000000000000002</c:v>
                </c:pt>
                <c:pt idx="64">
                  <c:v>0</c:v>
                </c:pt>
                <c:pt idx="65">
                  <c:v>0</c:v>
                </c:pt>
                <c:pt idx="66">
                  <c:v>0</c:v>
                </c:pt>
              </c:numCache>
            </c:numRef>
          </c:val>
          <c:extLst>
            <c:ext xmlns:c16="http://schemas.microsoft.com/office/drawing/2014/chart" uri="{C3380CC4-5D6E-409C-BE32-E72D297353CC}">
              <c16:uniqueId val="{00000001-8D2A-466F-87BC-8D3C93CCD625}"/>
            </c:ext>
          </c:extLst>
        </c:ser>
        <c:ser>
          <c:idx val="2"/>
          <c:order val="2"/>
          <c:tx>
            <c:strRef>
              <c:f>Inputs_Summary!$BJ$5</c:f>
              <c:strCache>
                <c:ptCount val="1"/>
                <c:pt idx="0">
                  <c:v>OAS</c:v>
                </c:pt>
              </c:strCache>
            </c:strRef>
          </c:tx>
          <c:cat>
            <c:numRef>
              <c:f>Inputs_Summary!$BG$6:$BG$72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Inputs_Summary!$BJ$6:$BJ$72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6.8460000000000001</c:v>
                </c:pt>
                <c:pt idx="45">
                  <c:v>6.8460000000000001</c:v>
                </c:pt>
                <c:pt idx="46">
                  <c:v>6.8460000000000001</c:v>
                </c:pt>
                <c:pt idx="47">
                  <c:v>6.8460000000000001</c:v>
                </c:pt>
                <c:pt idx="48">
                  <c:v>6.8460000000000001</c:v>
                </c:pt>
                <c:pt idx="49">
                  <c:v>6.8460000000000001</c:v>
                </c:pt>
                <c:pt idx="50">
                  <c:v>6.8460000000000001</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2-8D2A-466F-87BC-8D3C93CCD625}"/>
            </c:ext>
          </c:extLst>
        </c:ser>
        <c:ser>
          <c:idx val="3"/>
          <c:order val="3"/>
          <c:tx>
            <c:strRef>
              <c:f>Inputs_Summary!$BK$5</c:f>
              <c:strCache>
                <c:ptCount val="1"/>
                <c:pt idx="0">
                  <c:v>DB</c:v>
                </c:pt>
              </c:strCache>
            </c:strRef>
          </c:tx>
          <c:cat>
            <c:numRef>
              <c:f>Inputs_Summary!$BG$6:$BG$72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Inputs_Summary!$BK$6:$BK$72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7.4999999999999938</c:v>
                </c:pt>
                <c:pt idx="40">
                  <c:v>7.389705882352934</c:v>
                </c:pt>
                <c:pt idx="41">
                  <c:v>7.2810337370242131</c:v>
                </c:pt>
                <c:pt idx="42">
                  <c:v>7.1739597114797391</c:v>
                </c:pt>
                <c:pt idx="43">
                  <c:v>7.0684603039579761</c:v>
                </c:pt>
                <c:pt idx="44">
                  <c:v>3.9645123583115338</c:v>
                </c:pt>
                <c:pt idx="45">
                  <c:v>3.8620930589245988</c:v>
                </c:pt>
                <c:pt idx="46">
                  <c:v>3.7611799257051182</c:v>
                </c:pt>
                <c:pt idx="47">
                  <c:v>3.6617508091506301</c:v>
                </c:pt>
                <c:pt idx="48">
                  <c:v>3.5637838854866506</c:v>
                </c:pt>
                <c:pt idx="49">
                  <c:v>3.4672576518765519</c:v>
                </c:pt>
                <c:pt idx="50">
                  <c:v>3.3721509217018952</c:v>
                </c:pt>
                <c:pt idx="51">
                  <c:v>3.2784428199121609</c:v>
                </c:pt>
                <c:pt idx="52">
                  <c:v>3.186112778442864</c:v>
                </c:pt>
                <c:pt idx="53">
                  <c:v>3.0951405317010563</c:v>
                </c:pt>
                <c:pt idx="54">
                  <c:v>3.0055061121172146</c:v>
                </c:pt>
                <c:pt idx="55">
                  <c:v>2.9171898457625502</c:v>
                </c:pt>
                <c:pt idx="56">
                  <c:v>2.8301723480307479</c:v>
                </c:pt>
                <c:pt idx="57">
                  <c:v>2.7444345193832334</c:v>
                </c:pt>
                <c:pt idx="58">
                  <c:v>2.6599575411570102</c:v>
                </c:pt>
                <c:pt idx="59">
                  <c:v>6.9056172954434203</c:v>
                </c:pt>
                <c:pt idx="60">
                  <c:v>6.6858288058045474</c:v>
                </c:pt>
                <c:pt idx="61">
                  <c:v>6.4692724998368272</c:v>
                </c:pt>
                <c:pt idx="62">
                  <c:v>6.2559008454274583</c:v>
                </c:pt>
                <c:pt idx="63">
                  <c:v>6.0456670094652907</c:v>
                </c:pt>
                <c:pt idx="64">
                  <c:v>0</c:v>
                </c:pt>
                <c:pt idx="65">
                  <c:v>0</c:v>
                </c:pt>
                <c:pt idx="66">
                  <c:v>0</c:v>
                </c:pt>
              </c:numCache>
            </c:numRef>
          </c:val>
          <c:extLst>
            <c:ext xmlns:c16="http://schemas.microsoft.com/office/drawing/2014/chart" uri="{C3380CC4-5D6E-409C-BE32-E72D297353CC}">
              <c16:uniqueId val="{00000003-8D2A-466F-87BC-8D3C93CCD625}"/>
            </c:ext>
          </c:extLst>
        </c:ser>
        <c:ser>
          <c:idx val="4"/>
          <c:order val="4"/>
          <c:tx>
            <c:strRef>
              <c:f>Inputs_Summary!$BL$5</c:f>
              <c:strCache>
                <c:ptCount val="1"/>
                <c:pt idx="0">
                  <c:v>RRSP</c:v>
                </c:pt>
              </c:strCache>
            </c:strRef>
          </c:tx>
          <c:cat>
            <c:numRef>
              <c:f>Inputs_Summary!$BG$6:$BG$72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Inputs_Summary!$BL$6:$BL$72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15.214543459745784</c:v>
                </c:pt>
                <c:pt idx="40">
                  <c:v>15.294397273149347</c:v>
                </c:pt>
                <c:pt idx="41">
                  <c:v>15.373076765765521</c:v>
                </c:pt>
                <c:pt idx="42">
                  <c:v>15.450599207021705</c:v>
                </c:pt>
                <c:pt idx="43">
                  <c:v>15.526981612377071</c:v>
                </c:pt>
                <c:pt idx="44">
                  <c:v>5.4767005220993594</c:v>
                </c:pt>
                <c:pt idx="45">
                  <c:v>5.5508529048070185</c:v>
                </c:pt>
                <c:pt idx="46">
                  <c:v>5.6239148112983921</c:v>
                </c:pt>
                <c:pt idx="47">
                  <c:v>5.6959022780163551</c:v>
                </c:pt>
                <c:pt idx="48">
                  <c:v>5.766831105490299</c:v>
                </c:pt>
                <c:pt idx="49">
                  <c:v>5.8367168619719871</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4-8D2A-466F-87BC-8D3C93CCD625}"/>
            </c:ext>
          </c:extLst>
        </c:ser>
        <c:ser>
          <c:idx val="5"/>
          <c:order val="5"/>
          <c:tx>
            <c:strRef>
              <c:f>Inputs_Summary!$BM$5</c:f>
              <c:strCache>
                <c:ptCount val="1"/>
                <c:pt idx="0">
                  <c:v>LIRA</c:v>
                </c:pt>
              </c:strCache>
            </c:strRef>
          </c:tx>
          <c:cat>
            <c:numRef>
              <c:f>Inputs_Summary!$BG$6:$BG$72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Inputs_Summary!$BM$6:$BM$72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5-8D2A-466F-87BC-8D3C93CCD625}"/>
            </c:ext>
          </c:extLst>
        </c:ser>
        <c:ser>
          <c:idx val="6"/>
          <c:order val="6"/>
          <c:tx>
            <c:strRef>
              <c:f>Inputs_Summary!$BN$5</c:f>
              <c:strCache>
                <c:ptCount val="1"/>
                <c:pt idx="0">
                  <c:v>Invest</c:v>
                </c:pt>
              </c:strCache>
            </c:strRef>
          </c:tx>
          <c:cat>
            <c:numRef>
              <c:f>Inputs_Summary!$BG$6:$BG$72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Inputs_Summary!$BN$6:$BN$72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6-8D2A-466F-87BC-8D3C93CCD625}"/>
            </c:ext>
          </c:extLst>
        </c:ser>
        <c:ser>
          <c:idx val="7"/>
          <c:order val="7"/>
          <c:tx>
            <c:strRef>
              <c:f>Inputs_Summary!$BO$5</c:f>
              <c:strCache>
                <c:ptCount val="1"/>
                <c:pt idx="0">
                  <c:v>TFSA</c:v>
                </c:pt>
              </c:strCache>
            </c:strRef>
          </c:tx>
          <c:cat>
            <c:numRef>
              <c:f>Inputs_Summary!$BG$6:$BG$72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Inputs_Summary!$BO$6:$BO$72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4.349842557741721</c:v>
                </c:pt>
                <c:pt idx="40">
                  <c:v>4.3726727870456639</c:v>
                </c:pt>
                <c:pt idx="41">
                  <c:v>4.3951672776827833</c:v>
                </c:pt>
                <c:pt idx="42">
                  <c:v>4.4173309669875866</c:v>
                </c:pt>
                <c:pt idx="43">
                  <c:v>4.4391687196849663</c:v>
                </c:pt>
                <c:pt idx="44">
                  <c:v>1.5657903288431729</c:v>
                </c:pt>
                <c:pt idx="45">
                  <c:v>1.586990517393893</c:v>
                </c:pt>
                <c:pt idx="46">
                  <c:v>1.6078789384659256</c:v>
                </c:pt>
                <c:pt idx="47">
                  <c:v>1.6284601768831208</c:v>
                </c:pt>
                <c:pt idx="48">
                  <c:v>1.6487387500215902</c:v>
                </c:pt>
                <c:pt idx="49">
                  <c:v>1.6687191088492026</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7-8D2A-466F-87BC-8D3C93CCD625}"/>
            </c:ext>
          </c:extLst>
        </c:ser>
        <c:dLbls>
          <c:showLegendKey val="0"/>
          <c:showVal val="0"/>
          <c:showCatName val="0"/>
          <c:showSerName val="0"/>
          <c:showPercent val="0"/>
          <c:showBubbleSize val="0"/>
        </c:dLbls>
        <c:axId val="725724840"/>
        <c:axId val="1"/>
      </c:areaChart>
      <c:lineChart>
        <c:grouping val="standard"/>
        <c:varyColors val="0"/>
        <c:ser>
          <c:idx val="9"/>
          <c:order val="8"/>
          <c:tx>
            <c:strRef>
              <c:f>Inputs_Summary!$BP$5</c:f>
              <c:strCache>
                <c:ptCount val="1"/>
                <c:pt idx="0">
                  <c:v>Net Inc</c:v>
                </c:pt>
              </c:strCache>
            </c:strRef>
          </c:tx>
          <c:spPr>
            <a:ln>
              <a:solidFill>
                <a:schemeClr val="tx1">
                  <a:lumMod val="65000"/>
                  <a:lumOff val="35000"/>
                </a:schemeClr>
              </a:solidFill>
            </a:ln>
          </c:spPr>
          <c:marker>
            <c:symbol val="none"/>
          </c:marker>
          <c:cat>
            <c:numRef>
              <c:f>Inputs_Summary!$BG$6:$BG$72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Inputs_Summary!$BP$6:$BP$72</c:f>
              <c:numCache>
                <c:formatCode>0.0</c:formatCode>
                <c:ptCount val="67"/>
                <c:pt idx="0" formatCode="General">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8-8D2A-466F-87BC-8D3C93CCD625}"/>
            </c:ext>
          </c:extLst>
        </c:ser>
        <c:ser>
          <c:idx val="8"/>
          <c:order val="9"/>
          <c:tx>
            <c:strRef>
              <c:f>Inputs_Summary!$BQ$5</c:f>
              <c:strCache>
                <c:ptCount val="1"/>
                <c:pt idx="0">
                  <c:v>Net-Svgs</c:v>
                </c:pt>
              </c:strCache>
            </c:strRef>
          </c:tx>
          <c:cat>
            <c:numRef>
              <c:f>Inputs_Summary!$BG$6:$BG$72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Inputs_Summary!$BQ$6:$BQ$72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9-8D2A-466F-87BC-8D3C93CCD625}"/>
            </c:ext>
          </c:extLst>
        </c:ser>
        <c:dLbls>
          <c:showLegendKey val="0"/>
          <c:showVal val="0"/>
          <c:showCatName val="0"/>
          <c:showSerName val="0"/>
          <c:showPercent val="0"/>
          <c:showBubbleSize val="0"/>
        </c:dLbls>
        <c:marker val="1"/>
        <c:smooth val="0"/>
        <c:axId val="725724840"/>
        <c:axId val="1"/>
      </c:lineChart>
      <c:catAx>
        <c:axId val="72572484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CA"/>
                  <a:t>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8"/>
        <c:tickMarkSkip val="1"/>
        <c:noMultiLvlLbl val="1"/>
      </c:catAx>
      <c:valAx>
        <c:axId val="1"/>
        <c:scaling>
          <c:orientation val="minMax"/>
          <c:min val="0"/>
        </c:scaling>
        <c:delete val="0"/>
        <c:axPos val="l"/>
        <c:majorGridlines/>
        <c:title>
          <c:tx>
            <c:rich>
              <a:bodyPr/>
              <a:lstStyle/>
              <a:p>
                <a:pPr>
                  <a:defRPr sz="1000" b="0" i="0" u="none" strike="noStrike" baseline="0">
                    <a:solidFill>
                      <a:srgbClr val="000000"/>
                    </a:solidFill>
                    <a:latin typeface="Calibri"/>
                    <a:ea typeface="Calibri"/>
                    <a:cs typeface="Calibri"/>
                  </a:defRPr>
                </a:pPr>
                <a:r>
                  <a:rPr lang="en-CA"/>
                  <a:t>Income ($/yr)</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25724840"/>
        <c:crosses val="autoZero"/>
        <c:crossBetween val="between"/>
      </c:valAx>
      <c:spPr>
        <a:ln>
          <a:solidFill>
            <a:schemeClr val="accent1"/>
          </a:solidFill>
        </a:ln>
      </c:spPr>
    </c:plotArea>
    <c:legend>
      <c:legendPos val="r"/>
      <c:layout>
        <c:manualLayout>
          <c:xMode val="edge"/>
          <c:yMode val="edge"/>
          <c:x val="0.85041638985998114"/>
          <c:y val="9.8985236220472436E-2"/>
          <c:w val="0.14127432722361988"/>
          <c:h val="0.86548490813648293"/>
        </c:manualLayout>
      </c:layout>
      <c:overlay val="0"/>
      <c:txPr>
        <a:bodyPr/>
        <a:lstStyle/>
        <a:p>
          <a:pPr>
            <a:defRPr sz="73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en-CA"/>
              <a:t>Account Balances</a:t>
            </a:r>
          </a:p>
        </c:rich>
      </c:tx>
      <c:layout>
        <c:manualLayout>
          <c:xMode val="edge"/>
          <c:yMode val="edge"/>
          <c:x val="0.3398065613187623"/>
          <c:y val="1.1661745406824148E-2"/>
        </c:manualLayout>
      </c:layout>
      <c:overlay val="1"/>
    </c:title>
    <c:autoTitleDeleted val="0"/>
    <c:plotArea>
      <c:layout>
        <c:manualLayout>
          <c:layoutTarget val="inner"/>
          <c:xMode val="edge"/>
          <c:yMode val="edge"/>
          <c:x val="0.14481322487520587"/>
          <c:y val="9.2979876555541671E-2"/>
          <c:w val="0.73557261012826114"/>
          <c:h val="0.78552113551595526"/>
        </c:manualLayout>
      </c:layout>
      <c:areaChart>
        <c:grouping val="stacked"/>
        <c:varyColors val="0"/>
        <c:ser>
          <c:idx val="0"/>
          <c:order val="0"/>
          <c:tx>
            <c:strRef>
              <c:f>Inputs_Summary!$BT$5</c:f>
              <c:strCache>
                <c:ptCount val="1"/>
                <c:pt idx="0">
                  <c:v>RRSP</c:v>
                </c:pt>
              </c:strCache>
            </c:strRef>
          </c:tx>
          <c:cat>
            <c:numRef>
              <c:f>Inputs_Summary!$BS$6:$BS$72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Inputs_Summary!$BT$6:$BT$72</c:f>
              <c:numCache>
                <c:formatCode>0.0</c:formatCode>
                <c:ptCount val="67"/>
                <c:pt idx="1">
                  <c:v>0</c:v>
                </c:pt>
                <c:pt idx="2">
                  <c:v>11.319296055570549</c:v>
                </c:pt>
                <c:pt idx="3">
                  <c:v>23.379048146608667</c:v>
                </c:pt>
                <c:pt idx="4">
                  <c:v>34.002469057357921</c:v>
                </c:pt>
                <c:pt idx="5">
                  <c:v>44.522668924204645</c:v>
                </c:pt>
                <c:pt idx="6">
                  <c:v>55.422212062622783</c:v>
                </c:pt>
                <c:pt idx="7">
                  <c:v>66.712826423268496</c:v>
                </c:pt>
                <c:pt idx="8">
                  <c:v>78.406589930059667</c:v>
                </c:pt>
                <c:pt idx="9">
                  <c:v>90.515940820098123</c:v>
                </c:pt>
                <c:pt idx="10">
                  <c:v>103.05368828815071</c:v>
                </c:pt>
                <c:pt idx="11">
                  <c:v>116.03302344465042</c:v>
                </c:pt>
                <c:pt idx="12">
                  <c:v>129.46753059644402</c:v>
                </c:pt>
                <c:pt idx="13">
                  <c:v>143.37119885978234</c:v>
                </c:pt>
                <c:pt idx="14">
                  <c:v>157.75843411532969</c:v>
                </c:pt>
                <c:pt idx="15">
                  <c:v>172.64407131525653</c:v>
                </c:pt>
                <c:pt idx="16">
                  <c:v>188.04338715277459</c:v>
                </c:pt>
                <c:pt idx="17">
                  <c:v>203.97211310477999</c:v>
                </c:pt>
                <c:pt idx="18">
                  <c:v>220.44644885858187</c:v>
                </c:pt>
                <c:pt idx="19">
                  <c:v>237.48307613401801</c:v>
                </c:pt>
                <c:pt idx="20">
                  <c:v>255.0991729125918</c:v>
                </c:pt>
                <c:pt idx="21">
                  <c:v>273.31242808560501</c:v>
                </c:pt>
                <c:pt idx="22">
                  <c:v>292.14105653361651</c:v>
                </c:pt>
                <c:pt idx="23">
                  <c:v>311.60381464991565</c:v>
                </c:pt>
                <c:pt idx="24">
                  <c:v>331.7200163210768</c:v>
                </c:pt>
                <c:pt idx="25">
                  <c:v>352.5095493780405</c:v>
                </c:pt>
                <c:pt idx="26">
                  <c:v>373.99289253156871</c:v>
                </c:pt>
                <c:pt idx="27">
                  <c:v>396.19113280632251</c:v>
                </c:pt>
                <c:pt idx="28">
                  <c:v>419.12598348823371</c:v>
                </c:pt>
                <c:pt idx="29">
                  <c:v>442.81980260027331</c:v>
                </c:pt>
                <c:pt idx="30">
                  <c:v>467.29561192216141</c:v>
                </c:pt>
                <c:pt idx="31">
                  <c:v>492.57711657002301</c:v>
                </c:pt>
                <c:pt idx="32">
                  <c:v>518.6887251524638</c:v>
                </c:pt>
                <c:pt idx="33">
                  <c:v>545.6555705200243</c:v>
                </c:pt>
                <c:pt idx="34">
                  <c:v>573.50353112547134</c:v>
                </c:pt>
                <c:pt idx="35">
                  <c:v>602.25925301289567</c:v>
                </c:pt>
                <c:pt idx="36">
                  <c:v>631.9501724541185</c:v>
                </c:pt>
                <c:pt idx="37">
                  <c:v>662.60453925144793</c:v>
                </c:pt>
                <c:pt idx="38">
                  <c:v>694.25144072639137</c:v>
                </c:pt>
                <c:pt idx="39">
                  <c:v>726.92082641450565</c:v>
                </c:pt>
                <c:pt idx="40">
                  <c:v>733.38463164263248</c:v>
                </c:pt>
                <c:pt idx="41">
                  <c:v>739.96026073687733</c:v>
                </c:pt>
                <c:pt idx="42">
                  <c:v>746.6521539293683</c:v>
                </c:pt>
                <c:pt idx="43">
                  <c:v>753.46486511648538</c:v>
                </c:pt>
                <c:pt idx="44">
                  <c:v>760.40306545091414</c:v>
                </c:pt>
                <c:pt idx="45">
                  <c:v>777.39854725623593</c:v>
                </c:pt>
                <c:pt idx="46">
                  <c:v>794.82119775905949</c:v>
                </c:pt>
                <c:pt idx="47">
                  <c:v>812.68464983893534</c:v>
                </c:pt>
                <c:pt idx="48">
                  <c:v>831.00292162045673</c:v>
                </c:pt>
                <c:pt idx="49">
                  <c:v>849.79042803528387</c:v>
                </c:pt>
                <c:pt idx="50">
                  <c:v>869.06199272066272</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0-4605-4DB2-8581-9444A6829437}"/>
            </c:ext>
          </c:extLst>
        </c:ser>
        <c:ser>
          <c:idx val="1"/>
          <c:order val="1"/>
          <c:tx>
            <c:strRef>
              <c:f>Inputs_Summary!$BU$5</c:f>
              <c:strCache>
                <c:ptCount val="1"/>
                <c:pt idx="0">
                  <c:v>LIRA</c:v>
                </c:pt>
              </c:strCache>
            </c:strRef>
          </c:tx>
          <c:cat>
            <c:numRef>
              <c:f>Inputs_Summary!$BS$6:$BS$72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Inputs_Summary!$BU$6:$BU$72</c:f>
              <c:numCache>
                <c:formatCode>0.0</c:formatCode>
                <c:ptCount val="67"/>
                <c:pt idx="1">
                  <c:v>0</c:v>
                </c:pt>
                <c:pt idx="2">
                  <c:v>2.3529411764705883</c:v>
                </c:pt>
                <c:pt idx="3">
                  <c:v>4.786620530565167</c:v>
                </c:pt>
                <c:pt idx="4">
                  <c:v>7.3034692539068695</c:v>
                </c:pt>
                <c:pt idx="5">
                  <c:v>9.9059903209084261</c:v>
                </c:pt>
                <c:pt idx="6">
                  <c:v>12.596760601389287</c:v>
                </c:pt>
                <c:pt idx="7">
                  <c:v>15.378433035335188</c:v>
                </c:pt>
                <c:pt idx="8">
                  <c:v>18.253738871627942</c:v>
                </c:pt>
                <c:pt idx="9">
                  <c:v>21.225489972626907</c:v>
                </c:pt>
                <c:pt idx="10">
                  <c:v>24.296581186539104</c:v>
                </c:pt>
                <c:pt idx="11">
                  <c:v>27.469992789571613</c:v>
                </c:pt>
                <c:pt idx="12">
                  <c:v>30.748792999918887</c:v>
                </c:pt>
                <c:pt idx="13">
                  <c:v>34.13614056569768</c:v>
                </c:pt>
                <c:pt idx="14">
                  <c:v>37.635287429004663</c:v>
                </c:pt>
                <c:pt idx="15">
                  <c:v>41.249581468335471</c:v>
                </c:pt>
                <c:pt idx="16">
                  <c:v>44.98246932167028</c:v>
                </c:pt>
                <c:pt idx="17">
                  <c:v>48.837499292598132</c:v>
                </c:pt>
                <c:pt idx="18">
                  <c:v>52.818324341922647</c:v>
                </c:pt>
                <c:pt idx="19">
                  <c:v>56.928705167263097</c:v>
                </c:pt>
                <c:pt idx="20">
                  <c:v>61.172513373239234</c:v>
                </c:pt>
                <c:pt idx="21">
                  <c:v>65.553734734903813</c:v>
                </c:pt>
                <c:pt idx="22">
                  <c:v>70.076472557165701</c:v>
                </c:pt>
                <c:pt idx="23">
                  <c:v>74.744951133026717</c:v>
                </c:pt>
                <c:pt idx="24">
                  <c:v>79.563519303538484</c:v>
                </c:pt>
                <c:pt idx="25">
                  <c:v>84.536654122471376</c:v>
                </c:pt>
                <c:pt idx="26">
                  <c:v>89.66896462877483</c:v>
                </c:pt>
                <c:pt idx="27">
                  <c:v>94.965195730000119</c:v>
                </c:pt>
                <c:pt idx="28">
                  <c:v>100.43023219994843</c:v>
                </c:pt>
                <c:pt idx="29">
                  <c:v>106.06910279390449</c:v>
                </c:pt>
                <c:pt idx="30">
                  <c:v>111.88698448491382</c:v>
                </c:pt>
                <c:pt idx="31">
                  <c:v>117.88920682466402</c:v>
                </c:pt>
                <c:pt idx="32">
                  <c:v>124.08125643263442</c:v>
                </c:pt>
                <c:pt idx="33">
                  <c:v>130.46878161728768</c:v>
                </c:pt>
                <c:pt idx="34">
                  <c:v>137.05759713318588</c:v>
                </c:pt>
                <c:pt idx="35">
                  <c:v>143.85368907802962</c:v>
                </c:pt>
                <c:pt idx="36">
                  <c:v>150.86321993373556</c:v>
                </c:pt>
                <c:pt idx="37">
                  <c:v>158.09253375578803</c:v>
                </c:pt>
                <c:pt idx="38">
                  <c:v>165.54816151522726</c:v>
                </c:pt>
                <c:pt idx="39">
                  <c:v>173.23682659776208</c:v>
                </c:pt>
                <c:pt idx="40">
                  <c:v>178.3320273800492</c:v>
                </c:pt>
                <c:pt idx="41">
                  <c:v>183.57708700887417</c:v>
                </c:pt>
                <c:pt idx="42">
                  <c:v>188.97641309737048</c:v>
                </c:pt>
                <c:pt idx="43">
                  <c:v>194.534542894352</c:v>
                </c:pt>
                <c:pt idx="44">
                  <c:v>200.25614709712701</c:v>
                </c:pt>
                <c:pt idx="45">
                  <c:v>206.14603377645432</c:v>
                </c:pt>
                <c:pt idx="46">
                  <c:v>212.20915241693825</c:v>
                </c:pt>
                <c:pt idx="47">
                  <c:v>218.45059807625995</c:v>
                </c:pt>
                <c:pt idx="48">
                  <c:v>224.87561566673821</c:v>
                </c:pt>
                <c:pt idx="49">
                  <c:v>231.4896043628188</c:v>
                </c:pt>
                <c:pt idx="50">
                  <c:v>238.29812213819579</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1-4605-4DB2-8581-9444A6829437}"/>
            </c:ext>
          </c:extLst>
        </c:ser>
        <c:ser>
          <c:idx val="2"/>
          <c:order val="2"/>
          <c:tx>
            <c:strRef>
              <c:f>Inputs_Summary!$BV$5</c:f>
              <c:strCache>
                <c:ptCount val="1"/>
                <c:pt idx="0">
                  <c:v>TFSA</c:v>
                </c:pt>
              </c:strCache>
            </c:strRef>
          </c:tx>
          <c:cat>
            <c:numRef>
              <c:f>Inputs_Summary!$BS$6:$BS$72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Inputs_Summary!$BV$6:$BV$72</c:f>
              <c:numCache>
                <c:formatCode>0.0</c:formatCode>
                <c:ptCount val="67"/>
                <c:pt idx="1">
                  <c:v>0</c:v>
                </c:pt>
                <c:pt idx="2">
                  <c:v>1.3433210784313725</c:v>
                </c:pt>
                <c:pt idx="3">
                  <c:v>2.8323907871972298</c:v>
                </c:pt>
                <c:pt idx="4">
                  <c:v>4.4720778525510534</c:v>
                </c:pt>
                <c:pt idx="5">
                  <c:v>6.2673958511058041</c:v>
                </c:pt>
                <c:pt idx="6">
                  <c:v>8.2235075017769432</c:v>
                </c:pt>
                <c:pt idx="7">
                  <c:v>10.345729083652596</c:v>
                </c:pt>
                <c:pt idx="8">
                  <c:v>12.639534983502243</c:v>
                </c:pt>
                <c:pt idx="9">
                  <c:v>15.110562376744101</c:v>
                </c:pt>
                <c:pt idx="10">
                  <c:v>17.764616045803916</c:v>
                </c:pt>
                <c:pt idx="11">
                  <c:v>20.607673339912992</c:v>
                </c:pt>
                <c:pt idx="12">
                  <c:v>23.645889280512684</c:v>
                </c:pt>
                <c:pt idx="13">
                  <c:v>26.885601816554562</c:v>
                </c:pt>
                <c:pt idx="14">
                  <c:v>30.333337234111784</c:v>
                </c:pt>
                <c:pt idx="15">
                  <c:v>33.995815724846878</c:v>
                </c:pt>
                <c:pt idx="16">
                  <c:v>37.879957118014609</c:v>
                </c:pt>
                <c:pt idx="17">
                  <c:v>41.99288678081632</c:v>
                </c:pt>
                <c:pt idx="18">
                  <c:v>46.341941692063216</c:v>
                </c:pt>
                <c:pt idx="19">
                  <c:v>50.934676694252424</c:v>
                </c:pt>
                <c:pt idx="20">
                  <c:v>55.778870929309136</c:v>
                </c:pt>
                <c:pt idx="21">
                  <c:v>60.882534463402536</c:v>
                </c:pt>
                <c:pt idx="22">
                  <c:v>66.253915106402644</c:v>
                </c:pt>
                <c:pt idx="23">
                  <c:v>71.901505431708301</c:v>
                </c:pt>
                <c:pt idx="24">
                  <c:v>77.834050002345236</c:v>
                </c:pt>
                <c:pt idx="25">
                  <c:v>84.060552809406431</c:v>
                </c:pt>
                <c:pt idx="26">
                  <c:v>90.590284929085684</c:v>
                </c:pt>
                <c:pt idx="27">
                  <c:v>97.432792404738763</c:v>
                </c:pt>
                <c:pt idx="28">
                  <c:v>104.59790436059583</c:v>
                </c:pt>
                <c:pt idx="29">
                  <c:v>112.09574135394358</c:v>
                </c:pt>
                <c:pt idx="30">
                  <c:v>119.93672397279593</c:v>
                </c:pt>
                <c:pt idx="31">
                  <c:v>128.13158168627854</c:v>
                </c:pt>
                <c:pt idx="32">
                  <c:v>136.69136195516424</c:v>
                </c:pt>
                <c:pt idx="33">
                  <c:v>145.62743961021667</c:v>
                </c:pt>
                <c:pt idx="34">
                  <c:v>154.95152650622236</c:v>
                </c:pt>
                <c:pt idx="35">
                  <c:v>164.67568145982514</c:v>
                </c:pt>
                <c:pt idx="36">
                  <c:v>174.81232047951403</c:v>
                </c:pt>
                <c:pt idx="37">
                  <c:v>185.37422729636233</c:v>
                </c:pt>
                <c:pt idx="38">
                  <c:v>196.37456420436715</c:v>
                </c:pt>
                <c:pt idx="39">
                  <c:v>207.82688321950033</c:v>
                </c:pt>
                <c:pt idx="40">
                  <c:v>209.67488708111142</c:v>
                </c:pt>
                <c:pt idx="41">
                  <c:v>211.55486141972679</c:v>
                </c:pt>
                <c:pt idx="42">
                  <c:v>213.46807569904936</c:v>
                </c:pt>
                <c:pt idx="43">
                  <c:v>215.41583187942575</c:v>
                </c:pt>
                <c:pt idx="44">
                  <c:v>217.39946544481572</c:v>
                </c:pt>
                <c:pt idx="45">
                  <c:v>222.25847881197387</c:v>
                </c:pt>
                <c:pt idx="46">
                  <c:v>227.23961983841048</c:v>
                </c:pt>
                <c:pt idx="47">
                  <c:v>232.34678616849513</c:v>
                </c:pt>
                <c:pt idx="48">
                  <c:v>237.58398558827136</c:v>
                </c:pt>
                <c:pt idx="49">
                  <c:v>242.95533933104252</c:v>
                </c:pt>
                <c:pt idx="50">
                  <c:v>248.46508547916218</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2-4605-4DB2-8581-9444A6829437}"/>
            </c:ext>
          </c:extLst>
        </c:ser>
        <c:ser>
          <c:idx val="3"/>
          <c:order val="3"/>
          <c:tx>
            <c:strRef>
              <c:f>Inputs_Summary!$BW$5</c:f>
              <c:strCache>
                <c:ptCount val="1"/>
                <c:pt idx="0">
                  <c:v>Invest</c:v>
                </c:pt>
              </c:strCache>
            </c:strRef>
          </c:tx>
          <c:cat>
            <c:numRef>
              <c:f>Inputs_Summary!$BS$6:$BS$72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Inputs_Summary!$BW$6:$BW$72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3-4605-4DB2-8581-9444A6829437}"/>
            </c:ext>
          </c:extLst>
        </c:ser>
        <c:dLbls>
          <c:showLegendKey val="0"/>
          <c:showVal val="0"/>
          <c:showCatName val="0"/>
          <c:showSerName val="0"/>
          <c:showPercent val="0"/>
          <c:showBubbleSize val="0"/>
        </c:dLbls>
        <c:axId val="725727720"/>
        <c:axId val="1"/>
      </c:areaChart>
      <c:catAx>
        <c:axId val="72572772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CA"/>
                  <a:t>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8"/>
        <c:tickMarkSkip val="1"/>
        <c:noMultiLvlLbl val="1"/>
      </c:catAx>
      <c:valAx>
        <c:axId val="1"/>
        <c:scaling>
          <c:orientation val="minMax"/>
          <c:min val="0"/>
        </c:scaling>
        <c:delete val="0"/>
        <c:axPos val="l"/>
        <c:majorGridlines/>
        <c:title>
          <c:tx>
            <c:rich>
              <a:bodyPr/>
              <a:lstStyle/>
              <a:p>
                <a:pPr>
                  <a:defRPr sz="1000" b="0" i="0" u="none" strike="noStrike" baseline="0">
                    <a:solidFill>
                      <a:srgbClr val="000000"/>
                    </a:solidFill>
                    <a:latin typeface="Calibri"/>
                    <a:ea typeface="Calibri"/>
                    <a:cs typeface="Calibri"/>
                  </a:defRPr>
                </a:pPr>
                <a:r>
                  <a:rPr lang="en-CA"/>
                  <a:t>Account Balances ($)</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25727720"/>
        <c:crosses val="autoZero"/>
        <c:crossBetween val="midCat"/>
      </c:valAx>
      <c:spPr>
        <a:ln>
          <a:solidFill>
            <a:schemeClr val="accent1"/>
          </a:solidFill>
        </a:ln>
      </c:spPr>
    </c:plotArea>
    <c:legend>
      <c:legendPos val="r"/>
      <c:layout>
        <c:manualLayout>
          <c:xMode val="edge"/>
          <c:yMode val="edge"/>
          <c:x val="0.8870544465985768"/>
          <c:y val="0.34517880577427823"/>
          <c:w val="9.3664143082527351E-2"/>
          <c:h val="0.30203149606299212"/>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CA"/>
              <a:t>Income Forecast</a:t>
            </a:r>
          </a:p>
        </c:rich>
      </c:tx>
      <c:overlay val="1"/>
    </c:title>
    <c:autoTitleDeleted val="0"/>
    <c:plotArea>
      <c:layout>
        <c:manualLayout>
          <c:layoutTarget val="inner"/>
          <c:xMode val="edge"/>
          <c:yMode val="edge"/>
          <c:x val="0.1279037114616367"/>
          <c:y val="9.2979876555541671E-2"/>
          <c:w val="0.7442156229773621"/>
          <c:h val="0.8137293092690695"/>
        </c:manualLayout>
      </c:layout>
      <c:areaChart>
        <c:grouping val="stacked"/>
        <c:varyColors val="0"/>
        <c:ser>
          <c:idx val="0"/>
          <c:order val="0"/>
          <c:tx>
            <c:strRef>
              <c:f>Both!$U$5</c:f>
              <c:strCache>
                <c:ptCount val="1"/>
                <c:pt idx="0">
                  <c:v>Income</c:v>
                </c:pt>
              </c:strCache>
            </c:strRef>
          </c:tx>
          <c:cat>
            <c:numRef>
              <c:f>Both!$T$6:$T$72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Both!$U$6:$U$72</c:f>
              <c:numCache>
                <c:formatCode>0</c:formatCode>
                <c:ptCount val="67"/>
                <c:pt idx="1">
                  <c:v>120</c:v>
                </c:pt>
                <c:pt idx="2">
                  <c:v>120.98039215686273</c:v>
                </c:pt>
                <c:pt idx="3">
                  <c:v>121.96943483275665</c:v>
                </c:pt>
                <c:pt idx="4">
                  <c:v>122.96720812508011</c:v>
                </c:pt>
                <c:pt idx="5">
                  <c:v>123.97379289340404</c:v>
                </c:pt>
                <c:pt idx="6">
                  <c:v>124.98927076683094</c:v>
                </c:pt>
                <c:pt idx="7">
                  <c:v>126.01372415142541</c:v>
                </c:pt>
                <c:pt idx="8">
                  <c:v>127.0472362377173</c:v>
                </c:pt>
                <c:pt idx="9">
                  <c:v>128.08989100827739</c:v>
                </c:pt>
                <c:pt idx="10">
                  <c:v>129.1417732453674</c:v>
                </c:pt>
                <c:pt idx="11">
                  <c:v>130.20296853866373</c:v>
                </c:pt>
                <c:pt idx="12">
                  <c:v>131.2735632930569</c:v>
                </c:pt>
                <c:pt idx="13">
                  <c:v>132.35364473652666</c:v>
                </c:pt>
                <c:pt idx="14">
                  <c:v>133.44330092809375</c:v>
                </c:pt>
                <c:pt idx="15">
                  <c:v>134.54262076584899</c:v>
                </c:pt>
                <c:pt idx="16">
                  <c:v>135.65169399506061</c:v>
                </c:pt>
                <c:pt idx="17">
                  <c:v>136.77061121636052</c:v>
                </c:pt>
                <c:pt idx="18">
                  <c:v>137.89946389401001</c:v>
                </c:pt>
                <c:pt idx="19">
                  <c:v>139.03834436424626</c:v>
                </c:pt>
                <c:pt idx="20">
                  <c:v>140.18734584370964</c:v>
                </c:pt>
                <c:pt idx="21">
                  <c:v>141.34656243795345</c:v>
                </c:pt>
                <c:pt idx="22">
                  <c:v>142.51608915003629</c:v>
                </c:pt>
                <c:pt idx="23">
                  <c:v>143.69602188919816</c:v>
                </c:pt>
                <c:pt idx="24">
                  <c:v>144.88645747962079</c:v>
                </c:pt>
                <c:pt idx="25">
                  <c:v>146.08749366927347</c:v>
                </c:pt>
                <c:pt idx="26">
                  <c:v>147.29922913884513</c:v>
                </c:pt>
                <c:pt idx="27">
                  <c:v>148.52176351076304</c:v>
                </c:pt>
                <c:pt idx="28">
                  <c:v>149.75519735829931</c:v>
                </c:pt>
                <c:pt idx="29">
                  <c:v>150.99963221476656</c:v>
                </c:pt>
                <c:pt idx="30">
                  <c:v>152.25517058280244</c:v>
                </c:pt>
                <c:pt idx="31">
                  <c:v>153.52191594374514</c:v>
                </c:pt>
                <c:pt idx="32">
                  <c:v>154.79997276709969</c:v>
                </c:pt>
                <c:pt idx="33">
                  <c:v>156.08944652009674</c:v>
                </c:pt>
                <c:pt idx="34">
                  <c:v>157.39044367734465</c:v>
                </c:pt>
                <c:pt idx="35">
                  <c:v>158.70307173057469</c:v>
                </c:pt>
                <c:pt idx="36">
                  <c:v>160.0274391984824</c:v>
                </c:pt>
                <c:pt idx="37">
                  <c:v>161.36365563666348</c:v>
                </c:pt>
                <c:pt idx="38">
                  <c:v>162.71183164764753</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0-DCD0-4050-87BA-99877BBDD975}"/>
            </c:ext>
          </c:extLst>
        </c:ser>
        <c:ser>
          <c:idx val="1"/>
          <c:order val="1"/>
          <c:tx>
            <c:strRef>
              <c:f>Both!$V$5</c:f>
              <c:strCache>
                <c:ptCount val="1"/>
                <c:pt idx="0">
                  <c:v>CPP</c:v>
                </c:pt>
              </c:strCache>
            </c:strRef>
          </c:tx>
          <c:cat>
            <c:numRef>
              <c:f>Both!$T$6:$T$72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Both!$V$6:$V$72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20</c:v>
                </c:pt>
                <c:pt idx="45">
                  <c:v>20</c:v>
                </c:pt>
                <c:pt idx="46">
                  <c:v>20</c:v>
                </c:pt>
                <c:pt idx="47">
                  <c:v>20</c:v>
                </c:pt>
                <c:pt idx="48">
                  <c:v>19.999999999999996</c:v>
                </c:pt>
                <c:pt idx="49">
                  <c:v>20</c:v>
                </c:pt>
                <c:pt idx="50">
                  <c:v>20</c:v>
                </c:pt>
                <c:pt idx="51">
                  <c:v>20</c:v>
                </c:pt>
                <c:pt idx="52">
                  <c:v>20</c:v>
                </c:pt>
                <c:pt idx="53">
                  <c:v>20</c:v>
                </c:pt>
                <c:pt idx="54">
                  <c:v>20</c:v>
                </c:pt>
                <c:pt idx="55">
                  <c:v>20</c:v>
                </c:pt>
                <c:pt idx="56">
                  <c:v>20</c:v>
                </c:pt>
                <c:pt idx="57">
                  <c:v>20</c:v>
                </c:pt>
                <c:pt idx="58">
                  <c:v>20.000000000000004</c:v>
                </c:pt>
                <c:pt idx="59">
                  <c:v>12</c:v>
                </c:pt>
                <c:pt idx="60">
                  <c:v>12</c:v>
                </c:pt>
                <c:pt idx="61">
                  <c:v>12</c:v>
                </c:pt>
                <c:pt idx="62">
                  <c:v>12</c:v>
                </c:pt>
                <c:pt idx="63">
                  <c:v>12.000000000000002</c:v>
                </c:pt>
                <c:pt idx="64">
                  <c:v>0</c:v>
                </c:pt>
                <c:pt idx="65">
                  <c:v>0</c:v>
                </c:pt>
                <c:pt idx="66">
                  <c:v>0</c:v>
                </c:pt>
              </c:numCache>
            </c:numRef>
          </c:val>
          <c:extLst>
            <c:ext xmlns:c16="http://schemas.microsoft.com/office/drawing/2014/chart" uri="{C3380CC4-5D6E-409C-BE32-E72D297353CC}">
              <c16:uniqueId val="{00000001-DCD0-4050-87BA-99877BBDD975}"/>
            </c:ext>
          </c:extLst>
        </c:ser>
        <c:ser>
          <c:idx val="2"/>
          <c:order val="2"/>
          <c:tx>
            <c:strRef>
              <c:f>Both!$W$5</c:f>
              <c:strCache>
                <c:ptCount val="1"/>
                <c:pt idx="0">
                  <c:v>OAS</c:v>
                </c:pt>
              </c:strCache>
            </c:strRef>
          </c:tx>
          <c:cat>
            <c:numRef>
              <c:f>Both!$T$6:$T$72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Both!$W$6:$W$72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13.692</c:v>
                </c:pt>
                <c:pt idx="45">
                  <c:v>13.692</c:v>
                </c:pt>
                <c:pt idx="46">
                  <c:v>13.692</c:v>
                </c:pt>
                <c:pt idx="47">
                  <c:v>13.692</c:v>
                </c:pt>
                <c:pt idx="48">
                  <c:v>13.692</c:v>
                </c:pt>
                <c:pt idx="49">
                  <c:v>13.692</c:v>
                </c:pt>
                <c:pt idx="50">
                  <c:v>13.692</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2-DCD0-4050-87BA-99877BBDD975}"/>
            </c:ext>
          </c:extLst>
        </c:ser>
        <c:ser>
          <c:idx val="3"/>
          <c:order val="3"/>
          <c:tx>
            <c:strRef>
              <c:f>Both!$X$5</c:f>
              <c:strCache>
                <c:ptCount val="1"/>
                <c:pt idx="0">
                  <c:v>DB</c:v>
                </c:pt>
              </c:strCache>
            </c:strRef>
          </c:tx>
          <c:cat>
            <c:numRef>
              <c:f>Both!$T$6:$T$72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Both!$X$6:$X$72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29.999999999999975</c:v>
                </c:pt>
                <c:pt idx="40">
                  <c:v>29.55882352941174</c:v>
                </c:pt>
                <c:pt idx="41">
                  <c:v>29.124134948096852</c:v>
                </c:pt>
                <c:pt idx="42">
                  <c:v>28.695838845918956</c:v>
                </c:pt>
                <c:pt idx="43">
                  <c:v>28.273841215831908</c:v>
                </c:pt>
                <c:pt idx="44">
                  <c:v>15.858049433246137</c:v>
                </c:pt>
                <c:pt idx="45">
                  <c:v>15.448372235698395</c:v>
                </c:pt>
                <c:pt idx="46">
                  <c:v>15.044719702820473</c:v>
                </c:pt>
                <c:pt idx="47">
                  <c:v>14.647003236602522</c:v>
                </c:pt>
                <c:pt idx="48">
                  <c:v>14.255135541946602</c:v>
                </c:pt>
                <c:pt idx="49">
                  <c:v>13.869030607506208</c:v>
                </c:pt>
                <c:pt idx="50">
                  <c:v>13.488603686807581</c:v>
                </c:pt>
                <c:pt idx="51">
                  <c:v>13.113771279648644</c:v>
                </c:pt>
                <c:pt idx="52">
                  <c:v>12.744451113771456</c:v>
                </c:pt>
                <c:pt idx="53">
                  <c:v>12.380562126804225</c:v>
                </c:pt>
                <c:pt idx="54">
                  <c:v>12.022024448468862</c:v>
                </c:pt>
                <c:pt idx="55">
                  <c:v>11.668759383050203</c:v>
                </c:pt>
                <c:pt idx="56">
                  <c:v>11.320689392122992</c:v>
                </c:pt>
                <c:pt idx="57">
                  <c:v>10.977738077532933</c:v>
                </c:pt>
                <c:pt idx="58">
                  <c:v>10.639830164628041</c:v>
                </c:pt>
                <c:pt idx="59">
                  <c:v>6.9056172954434203</c:v>
                </c:pt>
                <c:pt idx="60">
                  <c:v>6.6858288058045474</c:v>
                </c:pt>
                <c:pt idx="61">
                  <c:v>6.4692724998368272</c:v>
                </c:pt>
                <c:pt idx="62">
                  <c:v>6.2559008454274583</c:v>
                </c:pt>
                <c:pt idx="63">
                  <c:v>6.0456670094652907</c:v>
                </c:pt>
                <c:pt idx="64">
                  <c:v>0</c:v>
                </c:pt>
                <c:pt idx="65">
                  <c:v>0</c:v>
                </c:pt>
                <c:pt idx="66">
                  <c:v>0</c:v>
                </c:pt>
              </c:numCache>
            </c:numRef>
          </c:val>
          <c:extLst>
            <c:ext xmlns:c16="http://schemas.microsoft.com/office/drawing/2014/chart" uri="{C3380CC4-5D6E-409C-BE32-E72D297353CC}">
              <c16:uniqueId val="{00000003-DCD0-4050-87BA-99877BBDD975}"/>
            </c:ext>
          </c:extLst>
        </c:ser>
        <c:ser>
          <c:idx val="4"/>
          <c:order val="4"/>
          <c:tx>
            <c:strRef>
              <c:f>Both!$Y$5</c:f>
              <c:strCache>
                <c:ptCount val="1"/>
                <c:pt idx="0">
                  <c:v>RRSP</c:v>
                </c:pt>
              </c:strCache>
            </c:strRef>
          </c:tx>
          <c:cat>
            <c:numRef>
              <c:f>Both!$T$6:$T$72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Both!$Y$6:$Y$72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27.863781094165237</c:v>
                </c:pt>
                <c:pt idx="40">
                  <c:v>27.999781872202881</c:v>
                </c:pt>
                <c:pt idx="41">
                  <c:v>28.132901893735102</c:v>
                </c:pt>
                <c:pt idx="42">
                  <c:v>28.267431491391946</c:v>
                </c:pt>
                <c:pt idx="43">
                  <c:v>28.405701161485887</c:v>
                </c:pt>
                <c:pt idx="44">
                  <c:v>15.349076580044219</c:v>
                </c:pt>
                <c:pt idx="45">
                  <c:v>15.46192156088544</c:v>
                </c:pt>
                <c:pt idx="46">
                  <c:v>15.56426975055891</c:v>
                </c:pt>
                <c:pt idx="47">
                  <c:v>15.664696666132148</c:v>
                </c:pt>
                <c:pt idx="48">
                  <c:v>15.754367934464087</c:v>
                </c:pt>
                <c:pt idx="49">
                  <c:v>15.842263331939517</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4-DCD0-4050-87BA-99877BBDD975}"/>
            </c:ext>
          </c:extLst>
        </c:ser>
        <c:ser>
          <c:idx val="5"/>
          <c:order val="5"/>
          <c:tx>
            <c:strRef>
              <c:f>Both!$Z$5</c:f>
              <c:strCache>
                <c:ptCount val="1"/>
                <c:pt idx="0">
                  <c:v>LIRA</c:v>
                </c:pt>
              </c:strCache>
            </c:strRef>
          </c:tx>
          <c:cat>
            <c:numRef>
              <c:f>Both!$T$6:$T$72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Both!$Z$6:$Z$72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5-DCD0-4050-87BA-99877BBDD975}"/>
            </c:ext>
          </c:extLst>
        </c:ser>
        <c:ser>
          <c:idx val="6"/>
          <c:order val="6"/>
          <c:tx>
            <c:strRef>
              <c:f>Both!$AA$5</c:f>
              <c:strCache>
                <c:ptCount val="1"/>
                <c:pt idx="0">
                  <c:v>Invest</c:v>
                </c:pt>
              </c:strCache>
            </c:strRef>
          </c:tx>
          <c:cat>
            <c:numRef>
              <c:f>Both!$T$6:$T$72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Both!$AA$6:$AA$72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28.312758713667765</c:v>
                </c:pt>
                <c:pt idx="40">
                  <c:v>28.302466900753544</c:v>
                </c:pt>
                <c:pt idx="41">
                  <c:v>28.517737440150427</c:v>
                </c:pt>
                <c:pt idx="42">
                  <c:v>28.508851505093013</c:v>
                </c:pt>
                <c:pt idx="43">
                  <c:v>28.728535867125753</c:v>
                </c:pt>
                <c:pt idx="44">
                  <c:v>23.232328799547524</c:v>
                </c:pt>
                <c:pt idx="45">
                  <c:v>23.402054823148934</c:v>
                </c:pt>
                <c:pt idx="46">
                  <c:v>23.343762050606497</c:v>
                </c:pt>
                <c:pt idx="47">
                  <c:v>23.487200842320693</c:v>
                </c:pt>
                <c:pt idx="48">
                  <c:v>23.41037893647314</c:v>
                </c:pt>
                <c:pt idx="49">
                  <c:v>23.527677784995799</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6-DCD0-4050-87BA-99877BBDD975}"/>
            </c:ext>
          </c:extLst>
        </c:ser>
        <c:ser>
          <c:idx val="7"/>
          <c:order val="7"/>
          <c:tx>
            <c:strRef>
              <c:f>Both!$AB$5</c:f>
              <c:strCache>
                <c:ptCount val="1"/>
                <c:pt idx="0">
                  <c:v>TFSA</c:v>
                </c:pt>
              </c:strCache>
            </c:strRef>
          </c:tx>
          <c:cat>
            <c:numRef>
              <c:f>Both!$T$6:$T$72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Both!$AB$6:$AB$72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4.349842557741721</c:v>
                </c:pt>
                <c:pt idx="40">
                  <c:v>4.3726727870456639</c:v>
                </c:pt>
                <c:pt idx="41">
                  <c:v>4.3951672776827833</c:v>
                </c:pt>
                <c:pt idx="42">
                  <c:v>4.4173309669875866</c:v>
                </c:pt>
                <c:pt idx="43">
                  <c:v>4.4391687196849663</c:v>
                </c:pt>
                <c:pt idx="44">
                  <c:v>1.5657903288431729</c:v>
                </c:pt>
                <c:pt idx="45">
                  <c:v>1.586990517393893</c:v>
                </c:pt>
                <c:pt idx="46">
                  <c:v>1.6078789384659256</c:v>
                </c:pt>
                <c:pt idx="47">
                  <c:v>1.6284601768831208</c:v>
                </c:pt>
                <c:pt idx="48">
                  <c:v>1.6487387500215902</c:v>
                </c:pt>
                <c:pt idx="49">
                  <c:v>1.6687191088492026</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7-DCD0-4050-87BA-99877BBDD975}"/>
            </c:ext>
          </c:extLst>
        </c:ser>
        <c:dLbls>
          <c:showLegendKey val="0"/>
          <c:showVal val="0"/>
          <c:showCatName val="0"/>
          <c:showSerName val="0"/>
          <c:showPercent val="0"/>
          <c:showBubbleSize val="0"/>
        </c:dLbls>
        <c:axId val="725720880"/>
        <c:axId val="1"/>
      </c:areaChart>
      <c:lineChart>
        <c:grouping val="standard"/>
        <c:varyColors val="0"/>
        <c:ser>
          <c:idx val="9"/>
          <c:order val="8"/>
          <c:tx>
            <c:strRef>
              <c:f>Both!$AC$5</c:f>
              <c:strCache>
                <c:ptCount val="1"/>
                <c:pt idx="0">
                  <c:v>Net Inc</c:v>
                </c:pt>
              </c:strCache>
            </c:strRef>
          </c:tx>
          <c:spPr>
            <a:ln>
              <a:solidFill>
                <a:schemeClr val="tx1">
                  <a:lumMod val="65000"/>
                  <a:lumOff val="35000"/>
                </a:schemeClr>
              </a:solidFill>
            </a:ln>
          </c:spPr>
          <c:marker>
            <c:symbol val="none"/>
          </c:marker>
          <c:cat>
            <c:numRef>
              <c:f>Both!$T$6:$T$72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Both!$AC$6:$AC$72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8-DCD0-4050-87BA-99877BBDD975}"/>
            </c:ext>
          </c:extLst>
        </c:ser>
        <c:ser>
          <c:idx val="8"/>
          <c:order val="9"/>
          <c:tx>
            <c:strRef>
              <c:f>Both!$AD$5</c:f>
              <c:strCache>
                <c:ptCount val="1"/>
                <c:pt idx="0">
                  <c:v>Net-Svgs</c:v>
                </c:pt>
              </c:strCache>
            </c:strRef>
          </c:tx>
          <c:cat>
            <c:numRef>
              <c:f>Both!$T$6:$T$72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Both!$AD$6:$AD$72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9-DCD0-4050-87BA-99877BBDD975}"/>
            </c:ext>
          </c:extLst>
        </c:ser>
        <c:dLbls>
          <c:showLegendKey val="0"/>
          <c:showVal val="0"/>
          <c:showCatName val="0"/>
          <c:showSerName val="0"/>
          <c:showPercent val="0"/>
          <c:showBubbleSize val="0"/>
        </c:dLbls>
        <c:marker val="1"/>
        <c:smooth val="0"/>
        <c:axId val="725720880"/>
        <c:axId val="1"/>
      </c:lineChart>
      <c:catAx>
        <c:axId val="725720880"/>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en-CA"/>
                  <a:t>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4"/>
        <c:noMultiLvlLbl val="1"/>
      </c:catAx>
      <c:valAx>
        <c:axId val="1"/>
        <c:scaling>
          <c:orientation val="minMax"/>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CA"/>
                  <a:t>Income ($k/yr)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25720880"/>
        <c:crosses val="autoZero"/>
        <c:crossBetween val="between"/>
      </c:valAx>
      <c:spPr>
        <a:ln>
          <a:solidFill>
            <a:schemeClr val="accent1"/>
          </a:solidFill>
        </a:ln>
      </c:spPr>
    </c:plotArea>
    <c:legend>
      <c:legendPos val="r"/>
      <c:layout>
        <c:manualLayout>
          <c:xMode val="edge"/>
          <c:yMode val="edge"/>
          <c:wMode val="edge"/>
          <c:hMode val="edge"/>
          <c:x val="0.89964788732394374"/>
          <c:y val="0.32622333751568383"/>
          <c:w val="0.99031690140845074"/>
          <c:h val="0.68255959849435388"/>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CA"/>
              <a:t>Account Balances</a:t>
            </a:r>
          </a:p>
        </c:rich>
      </c:tx>
      <c:overlay val="1"/>
    </c:title>
    <c:autoTitleDeleted val="0"/>
    <c:plotArea>
      <c:layout>
        <c:manualLayout>
          <c:layoutTarget val="inner"/>
          <c:xMode val="edge"/>
          <c:yMode val="edge"/>
          <c:x val="0.12372367218889571"/>
          <c:y val="9.2979876555541671E-2"/>
          <c:w val="0.756662208010496"/>
          <c:h val="0.8137293092690695"/>
        </c:manualLayout>
      </c:layout>
      <c:areaChart>
        <c:grouping val="stacked"/>
        <c:varyColors val="0"/>
        <c:ser>
          <c:idx val="0"/>
          <c:order val="0"/>
          <c:tx>
            <c:strRef>
              <c:f>Both!$AG$5</c:f>
              <c:strCache>
                <c:ptCount val="1"/>
                <c:pt idx="0">
                  <c:v>RRSP</c:v>
                </c:pt>
              </c:strCache>
            </c:strRef>
          </c:tx>
          <c:cat>
            <c:numRef>
              <c:f>Both!$AF$6:$AF$72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Both!$AG$6:$AG$72</c:f>
              <c:numCache>
                <c:formatCode>0</c:formatCode>
                <c:ptCount val="67"/>
                <c:pt idx="1">
                  <c:v>0</c:v>
                </c:pt>
                <c:pt idx="2">
                  <c:v>17.93270975819992</c:v>
                </c:pt>
                <c:pt idx="3">
                  <c:v>37.184855232087003</c:v>
                </c:pt>
                <c:pt idx="4">
                  <c:v>53.397999606902104</c:v>
                </c:pt>
                <c:pt idx="5">
                  <c:v>69.233357206592444</c:v>
                </c:pt>
                <c:pt idx="6">
                  <c:v>85.650902922466997</c:v>
                </c:pt>
                <c:pt idx="7">
                  <c:v>102.66878677586661</c:v>
                </c:pt>
                <c:pt idx="8">
                  <c:v>120.30570211686344</c:v>
                </c:pt>
                <c:pt idx="9">
                  <c:v>138.58090169494244</c:v>
                </c:pt>
                <c:pt idx="10">
                  <c:v>157.51421420322319</c:v>
                </c:pt>
                <c:pt idx="11">
                  <c:v>177.12606131015761</c:v>
                </c:pt>
                <c:pt idx="12">
                  <c:v>197.43747519305026</c:v>
                </c:pt>
                <c:pt idx="13">
                  <c:v>218.47011658816928</c:v>
                </c:pt>
                <c:pt idx="14">
                  <c:v>240.24629337265006</c:v>
                </c:pt>
                <c:pt idx="15">
                  <c:v>262.78897969384207</c:v>
                </c:pt>
                <c:pt idx="16">
                  <c:v>286.12183566220858</c:v>
                </c:pt>
                <c:pt idx="17">
                  <c:v>310.26922762436368</c:v>
                </c:pt>
                <c:pt idx="18">
                  <c:v>335.25624903331834</c:v>
                </c:pt>
                <c:pt idx="19">
                  <c:v>361.10874193350975</c:v>
                </c:pt>
                <c:pt idx="20">
                  <c:v>387.853319078705</c:v>
                </c:pt>
                <c:pt idx="21">
                  <c:v>415.51738670140224</c:v>
                </c:pt>
                <c:pt idx="22">
                  <c:v>444.12916795290141</c:v>
                </c:pt>
                <c:pt idx="23">
                  <c:v>473.71772703377775</c:v>
                </c:pt>
                <c:pt idx="24">
                  <c:v>504.31299403507643</c:v>
                </c:pt>
                <c:pt idx="25">
                  <c:v>535.94579051113806</c:v>
                </c:pt>
                <c:pt idx="26">
                  <c:v>568.6478558055876</c:v>
                </c:pt>
                <c:pt idx="27">
                  <c:v>602.45187415264456</c:v>
                </c:pt>
                <c:pt idx="28">
                  <c:v>637.39150257657036</c:v>
                </c:pt>
                <c:pt idx="29">
                  <c:v>673.50139961273749</c:v>
                </c:pt>
                <c:pt idx="30">
                  <c:v>710.81725487449501</c:v>
                </c:pt>
                <c:pt idx="31">
                  <c:v>749.37581949071796</c:v>
                </c:pt>
                <c:pt idx="32">
                  <c:v>789.21493743965857</c:v>
                </c:pt>
                <c:pt idx="33">
                  <c:v>830.37357780547313</c:v>
                </c:pt>
                <c:pt idx="34">
                  <c:v>872.89186798457081</c:v>
                </c:pt>
                <c:pt idx="35">
                  <c:v>916.81112786973199</c:v>
                </c:pt>
                <c:pt idx="36">
                  <c:v>962.17390504076582</c:v>
                </c:pt>
                <c:pt idx="37">
                  <c:v>1009.0240109913195</c:v>
                </c:pt>
                <c:pt idx="38">
                  <c:v>1057.4065584223281</c:v>
                </c:pt>
                <c:pt idx="39">
                  <c:v>1107.367999633487</c:v>
                </c:pt>
                <c:pt idx="40">
                  <c:v>1112.6202142362708</c:v>
                </c:pt>
                <c:pt idx="41">
                  <c:v>1117.893571643021</c:v>
                </c:pt>
                <c:pt idx="42">
                  <c:v>1123.1915179719972</c:v>
                </c:pt>
                <c:pt idx="43">
                  <c:v>1128.5133944894169</c:v>
                </c:pt>
                <c:pt idx="44">
                  <c:v>1133.8562382866683</c:v>
                </c:pt>
                <c:pt idx="45">
                  <c:v>1152.1568368832918</c:v>
                </c:pt>
                <c:pt idx="46">
                  <c:v>1170.8850560456576</c:v>
                </c:pt>
                <c:pt idx="47">
                  <c:v>1190.0637638209623</c:v>
                </c:pt>
                <c:pt idx="48">
                  <c:v>1209.7080934763515</c:v>
                </c:pt>
                <c:pt idx="49">
                  <c:v>1229.8422845252012</c:v>
                </c:pt>
                <c:pt idx="50">
                  <c:v>1250.4824857054132</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0-665B-4606-9E66-3DE0ED0B98BF}"/>
            </c:ext>
          </c:extLst>
        </c:ser>
        <c:ser>
          <c:idx val="1"/>
          <c:order val="1"/>
          <c:tx>
            <c:strRef>
              <c:f>Both!$AH$5</c:f>
              <c:strCache>
                <c:ptCount val="1"/>
                <c:pt idx="0">
                  <c:v>LIRA</c:v>
                </c:pt>
              </c:strCache>
            </c:strRef>
          </c:tx>
          <c:cat>
            <c:numRef>
              <c:f>Both!$AF$6:$AF$72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Both!$AH$6:$AH$72</c:f>
              <c:numCache>
                <c:formatCode>0</c:formatCode>
                <c:ptCount val="67"/>
                <c:pt idx="1">
                  <c:v>0</c:v>
                </c:pt>
                <c:pt idx="2">
                  <c:v>2.3529411764705883</c:v>
                </c:pt>
                <c:pt idx="3">
                  <c:v>4.786620530565167</c:v>
                </c:pt>
                <c:pt idx="4">
                  <c:v>7.3034692539068695</c:v>
                </c:pt>
                <c:pt idx="5">
                  <c:v>9.9059903209084261</c:v>
                </c:pt>
                <c:pt idx="6">
                  <c:v>12.596760601389287</c:v>
                </c:pt>
                <c:pt idx="7">
                  <c:v>15.378433035335188</c:v>
                </c:pt>
                <c:pt idx="8">
                  <c:v>18.253738871627942</c:v>
                </c:pt>
                <c:pt idx="9">
                  <c:v>21.225489972626907</c:v>
                </c:pt>
                <c:pt idx="10">
                  <c:v>24.296581186539104</c:v>
                </c:pt>
                <c:pt idx="11">
                  <c:v>27.469992789571613</c:v>
                </c:pt>
                <c:pt idx="12">
                  <c:v>30.748792999918887</c:v>
                </c:pt>
                <c:pt idx="13">
                  <c:v>34.13614056569768</c:v>
                </c:pt>
                <c:pt idx="14">
                  <c:v>37.635287429004663</c:v>
                </c:pt>
                <c:pt idx="15">
                  <c:v>41.249581468335471</c:v>
                </c:pt>
                <c:pt idx="16">
                  <c:v>44.98246932167028</c:v>
                </c:pt>
                <c:pt idx="17">
                  <c:v>48.837499292598132</c:v>
                </c:pt>
                <c:pt idx="18">
                  <c:v>52.818324341922647</c:v>
                </c:pt>
                <c:pt idx="19">
                  <c:v>56.928705167263097</c:v>
                </c:pt>
                <c:pt idx="20">
                  <c:v>61.172513373239234</c:v>
                </c:pt>
                <c:pt idx="21">
                  <c:v>65.553734734903813</c:v>
                </c:pt>
                <c:pt idx="22">
                  <c:v>70.076472557165701</c:v>
                </c:pt>
                <c:pt idx="23">
                  <c:v>74.744951133026717</c:v>
                </c:pt>
                <c:pt idx="24">
                  <c:v>79.563519303538484</c:v>
                </c:pt>
                <c:pt idx="25">
                  <c:v>84.536654122471376</c:v>
                </c:pt>
                <c:pt idx="26">
                  <c:v>89.66896462877483</c:v>
                </c:pt>
                <c:pt idx="27">
                  <c:v>94.965195730000119</c:v>
                </c:pt>
                <c:pt idx="28">
                  <c:v>100.43023219994843</c:v>
                </c:pt>
                <c:pt idx="29">
                  <c:v>106.06910279390449</c:v>
                </c:pt>
                <c:pt idx="30">
                  <c:v>111.88698448491382</c:v>
                </c:pt>
                <c:pt idx="31">
                  <c:v>117.88920682466402</c:v>
                </c:pt>
                <c:pt idx="32">
                  <c:v>124.08125643263442</c:v>
                </c:pt>
                <c:pt idx="33">
                  <c:v>130.46878161728768</c:v>
                </c:pt>
                <c:pt idx="34">
                  <c:v>137.05759713318588</c:v>
                </c:pt>
                <c:pt idx="35">
                  <c:v>143.85368907802962</c:v>
                </c:pt>
                <c:pt idx="36">
                  <c:v>150.86321993373556</c:v>
                </c:pt>
                <c:pt idx="37">
                  <c:v>158.09253375578803</c:v>
                </c:pt>
                <c:pt idx="38">
                  <c:v>165.54816151522726</c:v>
                </c:pt>
                <c:pt idx="39">
                  <c:v>173.23682659776208</c:v>
                </c:pt>
                <c:pt idx="40">
                  <c:v>178.3320273800492</c:v>
                </c:pt>
                <c:pt idx="41">
                  <c:v>183.57708700887417</c:v>
                </c:pt>
                <c:pt idx="42">
                  <c:v>188.97641309737048</c:v>
                </c:pt>
                <c:pt idx="43">
                  <c:v>194.534542894352</c:v>
                </c:pt>
                <c:pt idx="44">
                  <c:v>200.25614709712701</c:v>
                </c:pt>
                <c:pt idx="45">
                  <c:v>206.14603377645432</c:v>
                </c:pt>
                <c:pt idx="46">
                  <c:v>212.20915241693825</c:v>
                </c:pt>
                <c:pt idx="47">
                  <c:v>218.45059807625995</c:v>
                </c:pt>
                <c:pt idx="48">
                  <c:v>224.87561566673821</c:v>
                </c:pt>
                <c:pt idx="49">
                  <c:v>231.4896043628188</c:v>
                </c:pt>
                <c:pt idx="50">
                  <c:v>238.29812213819579</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1-665B-4606-9E66-3DE0ED0B98BF}"/>
            </c:ext>
          </c:extLst>
        </c:ser>
        <c:ser>
          <c:idx val="2"/>
          <c:order val="2"/>
          <c:tx>
            <c:strRef>
              <c:f>Both!$AI$5</c:f>
              <c:strCache>
                <c:ptCount val="1"/>
                <c:pt idx="0">
                  <c:v>TFSA</c:v>
                </c:pt>
              </c:strCache>
            </c:strRef>
          </c:tx>
          <c:cat>
            <c:numRef>
              <c:f>Both!$AF$6:$AF$72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Both!$AI$6:$AI$72</c:f>
              <c:numCache>
                <c:formatCode>0</c:formatCode>
                <c:ptCount val="67"/>
                <c:pt idx="1">
                  <c:v>0</c:v>
                </c:pt>
                <c:pt idx="2">
                  <c:v>1.3433210784313725</c:v>
                </c:pt>
                <c:pt idx="3">
                  <c:v>2.8323907871972298</c:v>
                </c:pt>
                <c:pt idx="4">
                  <c:v>7.5334801659335326</c:v>
                </c:pt>
                <c:pt idx="5">
                  <c:v>13.635348964225248</c:v>
                </c:pt>
                <c:pt idx="6">
                  <c:v>20.510298873721432</c:v>
                </c:pt>
                <c:pt idx="7">
                  <c:v>28.18641564976058</c:v>
                </c:pt>
                <c:pt idx="8">
                  <c:v>36.692659522522575</c:v>
                </c:pt>
                <c:pt idx="9">
                  <c:v>46.058891405232878</c:v>
                </c:pt>
                <c:pt idx="10">
                  <c:v>56.315899877398792</c:v>
                </c:pt>
                <c:pt idx="11">
                  <c:v>67.495428965923239</c:v>
                </c:pt>
                <c:pt idx="12">
                  <c:v>79.630206747615233</c:v>
                </c:pt>
                <c:pt idx="13">
                  <c:v>92.753974797306853</c:v>
                </c:pt>
                <c:pt idx="14">
                  <c:v>106.90151850649994</c:v>
                </c:pt>
                <c:pt idx="15">
                  <c:v>119.41573742613194</c:v>
                </c:pt>
                <c:pt idx="16">
                  <c:v>131.38483993248664</c:v>
                </c:pt>
                <c:pt idx="17">
                  <c:v>143.71125681033547</c:v>
                </c:pt>
                <c:pt idx="18">
                  <c:v>156.40824770564348</c:v>
                </c:pt>
                <c:pt idx="19">
                  <c:v>169.83950200207474</c:v>
                </c:pt>
                <c:pt idx="20">
                  <c:v>183.67234305964092</c:v>
                </c:pt>
                <c:pt idx="21">
                  <c:v>197.92134996831442</c:v>
                </c:pt>
                <c:pt idx="22">
                  <c:v>212.93137845108498</c:v>
                </c:pt>
                <c:pt idx="23">
                  <c:v>228.39114362237848</c:v>
                </c:pt>
                <c:pt idx="24">
                  <c:v>244.31664991081783</c:v>
                </c:pt>
                <c:pt idx="25">
                  <c:v>261.03519316546021</c:v>
                </c:pt>
                <c:pt idx="26">
                  <c:v>278.25583960095429</c:v>
                </c:pt>
                <c:pt idx="27">
                  <c:v>295.99613577750011</c:v>
                </c:pt>
                <c:pt idx="28">
                  <c:v>314.56703548539986</c:v>
                </c:pt>
                <c:pt idx="29">
                  <c:v>333.69699341138852</c:v>
                </c:pt>
                <c:pt idx="30">
                  <c:v>353.68678298187842</c:v>
                </c:pt>
                <c:pt idx="31">
                  <c:v>374.27735132072144</c:v>
                </c:pt>
                <c:pt idx="32">
                  <c:v>395.48917274532516</c:v>
                </c:pt>
                <c:pt idx="33">
                  <c:v>417.60860040467207</c:v>
                </c:pt>
                <c:pt idx="34">
                  <c:v>440.39453486025667</c:v>
                </c:pt>
                <c:pt idx="35">
                  <c:v>464.12438223439881</c:v>
                </c:pt>
                <c:pt idx="36">
                  <c:v>488.56863972970393</c:v>
                </c:pt>
                <c:pt idx="37">
                  <c:v>513.75112823719735</c:v>
                </c:pt>
                <c:pt idx="38">
                  <c:v>539.93663500527657</c:v>
                </c:pt>
                <c:pt idx="39">
                  <c:v>566.91237347019705</c:v>
                </c:pt>
                <c:pt idx="40">
                  <c:v>584.86509396222527</c:v>
                </c:pt>
                <c:pt idx="41">
                  <c:v>603.21475936780212</c:v>
                </c:pt>
                <c:pt idx="42">
                  <c:v>622.19751004737736</c:v>
                </c:pt>
                <c:pt idx="43">
                  <c:v>641.60802178414974</c:v>
                </c:pt>
                <c:pt idx="44">
                  <c:v>661.67471355180942</c:v>
                </c:pt>
                <c:pt idx="45">
                  <c:v>685.03985558221962</c:v>
                </c:pt>
                <c:pt idx="46">
                  <c:v>709.16987040637105</c:v>
                </c:pt>
                <c:pt idx="47">
                  <c:v>733.88053119814481</c:v>
                </c:pt>
                <c:pt idx="48">
                  <c:v>759.38848016909969</c:v>
                </c:pt>
                <c:pt idx="49">
                  <c:v>785.51855144886269</c:v>
                </c:pt>
                <c:pt idx="50">
                  <c:v>812.4809365065172</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2-665B-4606-9E66-3DE0ED0B98BF}"/>
            </c:ext>
          </c:extLst>
        </c:ser>
        <c:ser>
          <c:idx val="3"/>
          <c:order val="3"/>
          <c:tx>
            <c:strRef>
              <c:f>Both!$AJ$5</c:f>
              <c:strCache>
                <c:ptCount val="1"/>
                <c:pt idx="0">
                  <c:v>Invest</c:v>
                </c:pt>
              </c:strCache>
            </c:strRef>
          </c:tx>
          <c:cat>
            <c:numRef>
              <c:f>Both!$AF$6:$AF$72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Both!$AJ$6:$AJ$72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2.6929608720666645</c:v>
                </c:pt>
                <c:pt idx="16">
                  <c:v>7.0065123328179082</c:v>
                </c:pt>
                <c:pt idx="17">
                  <c:v>12.062994518188191</c:v>
                </c:pt>
                <c:pt idx="18">
                  <c:v>17.881587052865434</c:v>
                </c:pt>
                <c:pt idx="19">
                  <c:v>24.131897467726244</c:v>
                </c:pt>
                <c:pt idx="20">
                  <c:v>31.18352553464268</c:v>
                </c:pt>
                <c:pt idx="21">
                  <c:v>39.057056432169489</c:v>
                </c:pt>
                <c:pt idx="22">
                  <c:v>47.443727095208267</c:v>
                </c:pt>
                <c:pt idx="23">
                  <c:v>56.694455445010313</c:v>
                </c:pt>
                <c:pt idx="24">
                  <c:v>66.831339165708172</c:v>
                </c:pt>
                <c:pt idx="25">
                  <c:v>77.566189120894009</c:v>
                </c:pt>
                <c:pt idx="26">
                  <c:v>89.232515093717723</c:v>
                </c:pt>
                <c:pt idx="27">
                  <c:v>101.85404044518347</c:v>
                </c:pt>
                <c:pt idx="28">
                  <c:v>115.16216803784675</c:v>
                </c:pt>
                <c:pt idx="29">
                  <c:v>129.45700479843569</c:v>
                </c:pt>
                <c:pt idx="30">
                  <c:v>144.42614187230646</c:v>
                </c:pt>
                <c:pt idx="31">
                  <c:v>160.3734810139529</c:v>
                </c:pt>
                <c:pt idx="32">
                  <c:v>177.32186539751345</c:v>
                </c:pt>
                <c:pt idx="33">
                  <c:v>195.02937218523579</c:v>
                </c:pt>
                <c:pt idx="34">
                  <c:v>213.78521006937569</c:v>
                </c:pt>
                <c:pt idx="35">
                  <c:v>233.35878893608057</c:v>
                </c:pt>
                <c:pt idx="36">
                  <c:v>254.03006943118962</c:v>
                </c:pt>
                <c:pt idx="37">
                  <c:v>275.82455396518077</c:v>
                </c:pt>
                <c:pt idx="38">
                  <c:v>298.52804548168353</c:v>
                </c:pt>
                <c:pt idx="39">
                  <c:v>322.40751851361188</c:v>
                </c:pt>
                <c:pt idx="40">
                  <c:v>304.13248600551447</c:v>
                </c:pt>
                <c:pt idx="41">
                  <c:v>285.33004255395747</c:v>
                </c:pt>
                <c:pt idx="42">
                  <c:v>265.76353651127937</c:v>
                </c:pt>
                <c:pt idx="43">
                  <c:v>245.63025669779447</c:v>
                </c:pt>
                <c:pt idx="44">
                  <c:v>224.68944477015526</c:v>
                </c:pt>
                <c:pt idx="45">
                  <c:v>208.52116491089762</c:v>
                </c:pt>
                <c:pt idx="46">
                  <c:v>191.71094934636622</c:v>
                </c:pt>
                <c:pt idx="47">
                  <c:v>174.46346545399808</c:v>
                </c:pt>
                <c:pt idx="48">
                  <c:v>156.56807635723263</c:v>
                </c:pt>
                <c:pt idx="49">
                  <c:v>138.22166788100111</c:v>
                </c:pt>
                <c:pt idx="50">
                  <c:v>119.22066028436797</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3-665B-4606-9E66-3DE0ED0B98BF}"/>
            </c:ext>
          </c:extLst>
        </c:ser>
        <c:dLbls>
          <c:showLegendKey val="0"/>
          <c:showVal val="0"/>
          <c:showCatName val="0"/>
          <c:showSerName val="0"/>
          <c:showPercent val="0"/>
          <c:showBubbleSize val="0"/>
        </c:dLbls>
        <c:axId val="725719800"/>
        <c:axId val="1"/>
      </c:areaChart>
      <c:catAx>
        <c:axId val="725719800"/>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en-CA"/>
                  <a:t>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4"/>
        <c:noMultiLvlLbl val="1"/>
      </c:catAx>
      <c:valAx>
        <c:axId val="1"/>
        <c:scaling>
          <c:orientation val="minMax"/>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CA"/>
                  <a:t>Account Balances ($k)</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25719800"/>
        <c:crosses val="autoZero"/>
        <c:crossBetween val="midCat"/>
      </c:valAx>
      <c:spPr>
        <a:ln>
          <a:solidFill>
            <a:schemeClr val="accent1"/>
          </a:solidFill>
        </a:ln>
      </c:spPr>
    </c:plotArea>
    <c:legend>
      <c:legendPos val="r"/>
      <c:layout>
        <c:manualLayout>
          <c:xMode val="edge"/>
          <c:yMode val="edge"/>
          <c:wMode val="edge"/>
          <c:hMode val="edge"/>
          <c:x val="0.9348591549295775"/>
          <c:y val="0.43412797992471769"/>
          <c:w val="0.99031690140845074"/>
          <c:h val="0.57716436637390212"/>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CA"/>
              <a:t>Income Forecast</a:t>
            </a:r>
          </a:p>
        </c:rich>
      </c:tx>
      <c:overlay val="1"/>
    </c:title>
    <c:autoTitleDeleted val="0"/>
    <c:plotArea>
      <c:layout>
        <c:manualLayout>
          <c:layoutTarget val="inner"/>
          <c:xMode val="edge"/>
          <c:yMode val="edge"/>
          <c:x val="0.1279037114616367"/>
          <c:y val="9.2979876555541671E-2"/>
          <c:w val="0.7442156229773621"/>
          <c:h val="0.8137293092690695"/>
        </c:manualLayout>
      </c:layout>
      <c:areaChart>
        <c:grouping val="stacked"/>
        <c:varyColors val="0"/>
        <c:ser>
          <c:idx val="0"/>
          <c:order val="0"/>
          <c:tx>
            <c:strRef>
              <c:f>Person1!$FY$5</c:f>
              <c:strCache>
                <c:ptCount val="1"/>
                <c:pt idx="0">
                  <c:v>Income</c:v>
                </c:pt>
              </c:strCache>
            </c:strRef>
          </c:tx>
          <c:cat>
            <c:numRef>
              <c:f>Person1!$FX$6:$FX$72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Person1!$FY$6:$FY$72</c:f>
              <c:numCache>
                <c:formatCode>0.0</c:formatCode>
                <c:ptCount val="67"/>
                <c:pt idx="1">
                  <c:v>80</c:v>
                </c:pt>
                <c:pt idx="2">
                  <c:v>80.784313725490193</c:v>
                </c:pt>
                <c:pt idx="3">
                  <c:v>81.576316801230305</c:v>
                </c:pt>
                <c:pt idx="4">
                  <c:v>82.376084613007066</c:v>
                </c:pt>
                <c:pt idx="5">
                  <c:v>83.183693285683589</c:v>
                </c:pt>
                <c:pt idx="6">
                  <c:v>83.999219690445202</c:v>
                </c:pt>
                <c:pt idx="7">
                  <c:v>84.822741452116233</c:v>
                </c:pt>
                <c:pt idx="8">
                  <c:v>85.654336956548747</c:v>
                </c:pt>
                <c:pt idx="9">
                  <c:v>86.49408535808351</c:v>
                </c:pt>
                <c:pt idx="10">
                  <c:v>87.342066587084332</c:v>
                </c:pt>
                <c:pt idx="11">
                  <c:v>88.198361357545949</c:v>
                </c:pt>
                <c:pt idx="12">
                  <c:v>89.063051174776788</c:v>
                </c:pt>
                <c:pt idx="13">
                  <c:v>89.936218343156938</c:v>
                </c:pt>
                <c:pt idx="14">
                  <c:v>90.817945973972215</c:v>
                </c:pt>
                <c:pt idx="15">
                  <c:v>91.708317993324897</c:v>
                </c:pt>
                <c:pt idx="16">
                  <c:v>92.607419150122197</c:v>
                </c:pt>
                <c:pt idx="17">
                  <c:v>93.515335024142971</c:v>
                </c:pt>
                <c:pt idx="18">
                  <c:v>94.432152034183588</c:v>
                </c:pt>
                <c:pt idx="19">
                  <c:v>95.357957446283422</c:v>
                </c:pt>
                <c:pt idx="20">
                  <c:v>96.292839382031289</c:v>
                </c:pt>
                <c:pt idx="21">
                  <c:v>97.236886826953167</c:v>
                </c:pt>
                <c:pt idx="22">
                  <c:v>98.190189638982105</c:v>
                </c:pt>
                <c:pt idx="23">
                  <c:v>99.15283855701135</c:v>
                </c:pt>
                <c:pt idx="24">
                  <c:v>100.12492520953109</c:v>
                </c:pt>
                <c:pt idx="25">
                  <c:v>101.10654212335</c:v>
                </c:pt>
                <c:pt idx="26">
                  <c:v>102.09778273240244</c:v>
                </c:pt>
                <c:pt idx="27">
                  <c:v>103.09874138664169</c:v>
                </c:pt>
                <c:pt idx="28">
                  <c:v>104.10951336102052</c:v>
                </c:pt>
                <c:pt idx="29">
                  <c:v>105.13019486455994</c:v>
                </c:pt>
                <c:pt idx="30">
                  <c:v>106.16088304950658</c:v>
                </c:pt>
                <c:pt idx="31">
                  <c:v>107.20167602058018</c:v>
                </c:pt>
                <c:pt idx="32">
                  <c:v>108.25267284431136</c:v>
                </c:pt>
                <c:pt idx="33">
                  <c:v>109.31397355847125</c:v>
                </c:pt>
                <c:pt idx="34">
                  <c:v>110.38567918159353</c:v>
                </c:pt>
                <c:pt idx="35">
                  <c:v>111.46789172258951</c:v>
                </c:pt>
                <c:pt idx="36">
                  <c:v>112.56071419045806</c:v>
                </c:pt>
                <c:pt idx="37">
                  <c:v>113.66425060409001</c:v>
                </c:pt>
                <c:pt idx="38">
                  <c:v>114.7786060021693</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0-C87A-4521-80DB-09E154373C21}"/>
            </c:ext>
          </c:extLst>
        </c:ser>
        <c:ser>
          <c:idx val="1"/>
          <c:order val="1"/>
          <c:tx>
            <c:strRef>
              <c:f>Person1!$FZ$5</c:f>
              <c:strCache>
                <c:ptCount val="1"/>
                <c:pt idx="0">
                  <c:v>CPP</c:v>
                </c:pt>
              </c:strCache>
            </c:strRef>
          </c:tx>
          <c:cat>
            <c:numRef>
              <c:f>Person1!$FX$6:$FX$72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Person1!$FZ$6:$FZ$72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12</c:v>
                </c:pt>
                <c:pt idx="45">
                  <c:v>12</c:v>
                </c:pt>
                <c:pt idx="46">
                  <c:v>12</c:v>
                </c:pt>
                <c:pt idx="47">
                  <c:v>12</c:v>
                </c:pt>
                <c:pt idx="48">
                  <c:v>11.999999999999998</c:v>
                </c:pt>
                <c:pt idx="49">
                  <c:v>12.000000000000002</c:v>
                </c:pt>
                <c:pt idx="50">
                  <c:v>12</c:v>
                </c:pt>
                <c:pt idx="51">
                  <c:v>12</c:v>
                </c:pt>
                <c:pt idx="52">
                  <c:v>12</c:v>
                </c:pt>
                <c:pt idx="53">
                  <c:v>12</c:v>
                </c:pt>
                <c:pt idx="54">
                  <c:v>12</c:v>
                </c:pt>
                <c:pt idx="55">
                  <c:v>12.000000000000002</c:v>
                </c:pt>
                <c:pt idx="56">
                  <c:v>12</c:v>
                </c:pt>
                <c:pt idx="57">
                  <c:v>12.000000000000002</c:v>
                </c:pt>
                <c:pt idx="58">
                  <c:v>12.000000000000002</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1-C87A-4521-80DB-09E154373C21}"/>
            </c:ext>
          </c:extLst>
        </c:ser>
        <c:ser>
          <c:idx val="2"/>
          <c:order val="2"/>
          <c:tx>
            <c:strRef>
              <c:f>Person1!$GA$5</c:f>
              <c:strCache>
                <c:ptCount val="1"/>
                <c:pt idx="0">
                  <c:v>OAS</c:v>
                </c:pt>
              </c:strCache>
            </c:strRef>
          </c:tx>
          <c:cat>
            <c:numRef>
              <c:f>Person1!$FX$6:$FX$72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Person1!$GA$6:$GA$72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6.8460000000000001</c:v>
                </c:pt>
                <c:pt idx="45">
                  <c:v>6.8460000000000001</c:v>
                </c:pt>
                <c:pt idx="46">
                  <c:v>6.8460000000000001</c:v>
                </c:pt>
                <c:pt idx="47">
                  <c:v>6.8460000000000001</c:v>
                </c:pt>
                <c:pt idx="48">
                  <c:v>6.8460000000000001</c:v>
                </c:pt>
                <c:pt idx="49">
                  <c:v>6.8460000000000001</c:v>
                </c:pt>
                <c:pt idx="50">
                  <c:v>6.8460000000000001</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2-C87A-4521-80DB-09E154373C21}"/>
            </c:ext>
          </c:extLst>
        </c:ser>
        <c:ser>
          <c:idx val="3"/>
          <c:order val="3"/>
          <c:tx>
            <c:strRef>
              <c:f>Person1!$GB$5</c:f>
              <c:strCache>
                <c:ptCount val="1"/>
                <c:pt idx="0">
                  <c:v>DB</c:v>
                </c:pt>
              </c:strCache>
            </c:strRef>
          </c:tx>
          <c:cat>
            <c:numRef>
              <c:f>Person1!$FX$6:$FX$72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Person1!$GB$6:$GB$72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22.499999999999982</c:v>
                </c:pt>
                <c:pt idx="40">
                  <c:v>22.169117647058805</c:v>
                </c:pt>
                <c:pt idx="41">
                  <c:v>21.843101211072639</c:v>
                </c:pt>
                <c:pt idx="42">
                  <c:v>21.521879134439217</c:v>
                </c:pt>
                <c:pt idx="43">
                  <c:v>21.205380911873931</c:v>
                </c:pt>
                <c:pt idx="44">
                  <c:v>11.893537074934603</c:v>
                </c:pt>
                <c:pt idx="45">
                  <c:v>11.586279176773797</c:v>
                </c:pt>
                <c:pt idx="46">
                  <c:v>11.283539777115354</c:v>
                </c:pt>
                <c:pt idx="47">
                  <c:v>10.985252427451892</c:v>
                </c:pt>
                <c:pt idx="48">
                  <c:v>10.691351656459952</c:v>
                </c:pt>
                <c:pt idx="49">
                  <c:v>10.401772955629657</c:v>
                </c:pt>
                <c:pt idx="50">
                  <c:v>10.116452765105686</c:v>
                </c:pt>
                <c:pt idx="51">
                  <c:v>9.8353284597364823</c:v>
                </c:pt>
                <c:pt idx="52">
                  <c:v>9.5583383353285924</c:v>
                </c:pt>
                <c:pt idx="53">
                  <c:v>9.2854215951031698</c:v>
                </c:pt>
                <c:pt idx="54">
                  <c:v>9.0165183363516466</c:v>
                </c:pt>
                <c:pt idx="55">
                  <c:v>8.7515695372876525</c:v>
                </c:pt>
                <c:pt idx="56">
                  <c:v>8.4905170440922433</c:v>
                </c:pt>
                <c:pt idx="57">
                  <c:v>8.2333035581497001</c:v>
                </c:pt>
                <c:pt idx="58">
                  <c:v>7.9798726234710315</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3-C87A-4521-80DB-09E154373C21}"/>
            </c:ext>
          </c:extLst>
        </c:ser>
        <c:ser>
          <c:idx val="4"/>
          <c:order val="4"/>
          <c:tx>
            <c:strRef>
              <c:f>Person1!$GC$5</c:f>
              <c:strCache>
                <c:ptCount val="1"/>
                <c:pt idx="0">
                  <c:v>RRSP</c:v>
                </c:pt>
              </c:strCache>
            </c:strRef>
          </c:tx>
          <c:cat>
            <c:numRef>
              <c:f>Person1!$FX$6:$FX$72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Person1!$GC$6:$GC$72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12.649237634419453</c:v>
                </c:pt>
                <c:pt idx="40">
                  <c:v>12.705384599053533</c:v>
                </c:pt>
                <c:pt idx="41">
                  <c:v>12.759825127969581</c:v>
                </c:pt>
                <c:pt idx="42">
                  <c:v>12.816832284370241</c:v>
                </c:pt>
                <c:pt idx="43">
                  <c:v>12.878719549108816</c:v>
                </c:pt>
                <c:pt idx="44">
                  <c:v>9.8723760579448587</c:v>
                </c:pt>
                <c:pt idx="45">
                  <c:v>9.9110686560784202</c:v>
                </c:pt>
                <c:pt idx="46">
                  <c:v>9.9403549392605175</c:v>
                </c:pt>
                <c:pt idx="47">
                  <c:v>9.9687943881157928</c:v>
                </c:pt>
                <c:pt idx="48">
                  <c:v>9.9875368289737878</c:v>
                </c:pt>
                <c:pt idx="49">
                  <c:v>10.005546469967529</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4-C87A-4521-80DB-09E154373C21}"/>
            </c:ext>
          </c:extLst>
        </c:ser>
        <c:ser>
          <c:idx val="5"/>
          <c:order val="5"/>
          <c:tx>
            <c:strRef>
              <c:f>Person1!$GD$5</c:f>
              <c:strCache>
                <c:ptCount val="1"/>
                <c:pt idx="0">
                  <c:v>LIRA</c:v>
                </c:pt>
              </c:strCache>
            </c:strRef>
          </c:tx>
          <c:cat>
            <c:numRef>
              <c:f>Person1!$FX$6:$FX$72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Person1!$GD$6:$GD$72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5-C87A-4521-80DB-09E154373C21}"/>
            </c:ext>
          </c:extLst>
        </c:ser>
        <c:ser>
          <c:idx val="6"/>
          <c:order val="6"/>
          <c:tx>
            <c:strRef>
              <c:f>Person1!$GE$5</c:f>
              <c:strCache>
                <c:ptCount val="1"/>
                <c:pt idx="0">
                  <c:v>Invest</c:v>
                </c:pt>
              </c:strCache>
            </c:strRef>
          </c:tx>
          <c:cat>
            <c:numRef>
              <c:f>Person1!$FX$6:$FX$72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Person1!$GE$6:$GE$72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28.312758713667765</c:v>
                </c:pt>
                <c:pt idx="40">
                  <c:v>28.302466900753544</c:v>
                </c:pt>
                <c:pt idx="41">
                  <c:v>28.517737440150427</c:v>
                </c:pt>
                <c:pt idx="42">
                  <c:v>28.508851505093013</c:v>
                </c:pt>
                <c:pt idx="43">
                  <c:v>28.728535867125753</c:v>
                </c:pt>
                <c:pt idx="44">
                  <c:v>23.232328799547524</c:v>
                </c:pt>
                <c:pt idx="45">
                  <c:v>23.402054823148934</c:v>
                </c:pt>
                <c:pt idx="46">
                  <c:v>23.343762050606497</c:v>
                </c:pt>
                <c:pt idx="47">
                  <c:v>23.487200842320693</c:v>
                </c:pt>
                <c:pt idx="48">
                  <c:v>23.41037893647314</c:v>
                </c:pt>
                <c:pt idx="49">
                  <c:v>23.527677784995799</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6-C87A-4521-80DB-09E154373C21}"/>
            </c:ext>
          </c:extLst>
        </c:ser>
        <c:ser>
          <c:idx val="7"/>
          <c:order val="7"/>
          <c:tx>
            <c:strRef>
              <c:f>Person1!$GF$5</c:f>
              <c:strCache>
                <c:ptCount val="1"/>
                <c:pt idx="0">
                  <c:v>TFSA</c:v>
                </c:pt>
              </c:strCache>
            </c:strRef>
          </c:tx>
          <c:cat>
            <c:numRef>
              <c:f>Person1!$FX$6:$FX$72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Person1!$GF$6:$GF$72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7-C87A-4521-80DB-09E154373C21}"/>
            </c:ext>
          </c:extLst>
        </c:ser>
        <c:dLbls>
          <c:showLegendKey val="0"/>
          <c:showVal val="0"/>
          <c:showCatName val="0"/>
          <c:showSerName val="0"/>
          <c:showPercent val="0"/>
          <c:showBubbleSize val="0"/>
        </c:dLbls>
        <c:axId val="874489976"/>
        <c:axId val="1"/>
      </c:areaChart>
      <c:lineChart>
        <c:grouping val="standard"/>
        <c:varyColors val="0"/>
        <c:ser>
          <c:idx val="9"/>
          <c:order val="8"/>
          <c:tx>
            <c:strRef>
              <c:f>Person1!$GG$5</c:f>
              <c:strCache>
                <c:ptCount val="1"/>
                <c:pt idx="0">
                  <c:v>Net Inc</c:v>
                </c:pt>
              </c:strCache>
            </c:strRef>
          </c:tx>
          <c:spPr>
            <a:ln>
              <a:solidFill>
                <a:schemeClr val="tx1">
                  <a:lumMod val="65000"/>
                  <a:lumOff val="35000"/>
                </a:schemeClr>
              </a:solidFill>
            </a:ln>
          </c:spPr>
          <c:marker>
            <c:symbol val="none"/>
          </c:marker>
          <c:cat>
            <c:numRef>
              <c:f>Person1!$FX$6:$FX$72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Person1!$GG$6:$GG$72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8-C87A-4521-80DB-09E154373C21}"/>
            </c:ext>
          </c:extLst>
        </c:ser>
        <c:ser>
          <c:idx val="8"/>
          <c:order val="9"/>
          <c:tx>
            <c:strRef>
              <c:f>Person1!$GH$5</c:f>
              <c:strCache>
                <c:ptCount val="1"/>
                <c:pt idx="0">
                  <c:v>Net-Svgs</c:v>
                </c:pt>
              </c:strCache>
            </c:strRef>
          </c:tx>
          <c:cat>
            <c:numRef>
              <c:f>Person1!$FX$6:$FX$72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Person1!$GH$6:$GH$72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9-C87A-4521-80DB-09E154373C21}"/>
            </c:ext>
          </c:extLst>
        </c:ser>
        <c:dLbls>
          <c:showLegendKey val="0"/>
          <c:showVal val="0"/>
          <c:showCatName val="0"/>
          <c:showSerName val="0"/>
          <c:showPercent val="0"/>
          <c:showBubbleSize val="0"/>
        </c:dLbls>
        <c:marker val="1"/>
        <c:smooth val="0"/>
        <c:axId val="874489976"/>
        <c:axId val="1"/>
      </c:lineChart>
      <c:catAx>
        <c:axId val="874489976"/>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en-CA"/>
                  <a:t>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4"/>
        <c:tickMarkSkip val="1"/>
        <c:noMultiLvlLbl val="1"/>
      </c:catAx>
      <c:valAx>
        <c:axId val="1"/>
        <c:scaling>
          <c:orientation val="minMax"/>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CA"/>
                  <a:t>Income ($k/yr)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74489976"/>
        <c:crosses val="autoZero"/>
        <c:crossBetween val="between"/>
      </c:valAx>
      <c:spPr>
        <a:ln>
          <a:solidFill>
            <a:schemeClr val="accent1"/>
          </a:solidFill>
        </a:ln>
      </c:spPr>
    </c:plotArea>
    <c:legend>
      <c:legendPos val="r"/>
      <c:layout>
        <c:manualLayout>
          <c:xMode val="edge"/>
          <c:yMode val="edge"/>
          <c:wMode val="edge"/>
          <c:hMode val="edge"/>
          <c:x val="0.89964788732394374"/>
          <c:y val="0.32622333751568383"/>
          <c:w val="0.99031690140845074"/>
          <c:h val="0.68255959849435388"/>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CA"/>
              <a:t>Account Balances</a:t>
            </a:r>
          </a:p>
        </c:rich>
      </c:tx>
      <c:overlay val="1"/>
    </c:title>
    <c:autoTitleDeleted val="0"/>
    <c:plotArea>
      <c:layout>
        <c:manualLayout>
          <c:layoutTarget val="inner"/>
          <c:xMode val="edge"/>
          <c:yMode val="edge"/>
          <c:x val="0.12372367218889571"/>
          <c:y val="9.2979876555541671E-2"/>
          <c:w val="0.756662208010496"/>
          <c:h val="0.8137293092690695"/>
        </c:manualLayout>
      </c:layout>
      <c:areaChart>
        <c:grouping val="stacked"/>
        <c:varyColors val="0"/>
        <c:ser>
          <c:idx val="0"/>
          <c:order val="0"/>
          <c:tx>
            <c:strRef>
              <c:f>Person1!$GK$5</c:f>
              <c:strCache>
                <c:ptCount val="1"/>
                <c:pt idx="0">
                  <c:v>RRSP</c:v>
                </c:pt>
              </c:strCache>
            </c:strRef>
          </c:tx>
          <c:cat>
            <c:numRef>
              <c:f>Person1!$GJ$6:$GJ$72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Person1!$GK$6:$GK$72</c:f>
              <c:numCache>
                <c:formatCode>0</c:formatCode>
                <c:ptCount val="67"/>
                <c:pt idx="1">
                  <c:v>0</c:v>
                </c:pt>
                <c:pt idx="2">
                  <c:v>6.6134137026293729</c:v>
                </c:pt>
                <c:pt idx="3">
                  <c:v>13.805807085478335</c:v>
                </c:pt>
                <c:pt idx="4">
                  <c:v>19.395530549544183</c:v>
                </c:pt>
                <c:pt idx="5">
                  <c:v>24.710688282387796</c:v>
                </c:pt>
                <c:pt idx="6">
                  <c:v>30.228690859844217</c:v>
                </c:pt>
                <c:pt idx="7">
                  <c:v>35.955960352598119</c:v>
                </c:pt>
                <c:pt idx="8">
                  <c:v>41.899112186803784</c:v>
                </c:pt>
                <c:pt idx="9">
                  <c:v>48.06496087484431</c:v>
                </c:pt>
                <c:pt idx="10">
                  <c:v>54.460525915072488</c:v>
                </c:pt>
                <c:pt idx="11">
                  <c:v>61.093037865507178</c:v>
                </c:pt>
                <c:pt idx="12">
                  <c:v>67.96994459660624</c:v>
                </c:pt>
                <c:pt idx="13">
                  <c:v>75.098917728386937</c:v>
                </c:pt>
                <c:pt idx="14">
                  <c:v>82.487859257320366</c:v>
                </c:pt>
                <c:pt idx="15">
                  <c:v>90.144908378585527</c:v>
                </c:pt>
                <c:pt idx="16">
                  <c:v>98.078448509433983</c:v>
                </c:pt>
                <c:pt idx="17">
                  <c:v>106.29711451958366</c:v>
                </c:pt>
                <c:pt idx="18">
                  <c:v>114.80980017473649</c:v>
                </c:pt>
                <c:pt idx="19">
                  <c:v>123.62566579949174</c:v>
                </c:pt>
                <c:pt idx="20">
                  <c:v>132.75414616611323</c:v>
                </c:pt>
                <c:pt idx="21">
                  <c:v>142.20495861579724</c:v>
                </c:pt>
                <c:pt idx="22">
                  <c:v>151.98811141928493</c:v>
                </c:pt>
                <c:pt idx="23">
                  <c:v>162.1139123838621</c:v>
                </c:pt>
                <c:pt idx="24">
                  <c:v>172.59297771399963</c:v>
                </c:pt>
                <c:pt idx="25">
                  <c:v>183.43624113309758</c:v>
                </c:pt>
                <c:pt idx="26">
                  <c:v>194.65496327401894</c:v>
                </c:pt>
                <c:pt idx="27">
                  <c:v>206.26074134632205</c:v>
                </c:pt>
                <c:pt idx="28">
                  <c:v>218.26551908833665</c:v>
                </c:pt>
                <c:pt idx="29">
                  <c:v>230.68159701246415</c:v>
                </c:pt>
                <c:pt idx="30">
                  <c:v>243.52164295233359</c:v>
                </c:pt>
                <c:pt idx="31">
                  <c:v>256.79870292069489</c:v>
                </c:pt>
                <c:pt idx="32">
                  <c:v>270.52621228719477</c:v>
                </c:pt>
                <c:pt idx="33">
                  <c:v>284.71800728544878</c:v>
                </c:pt>
                <c:pt idx="34">
                  <c:v>299.38833685909941</c:v>
                </c:pt>
                <c:pt idx="35">
                  <c:v>314.55187485683626</c:v>
                </c:pt>
                <c:pt idx="36">
                  <c:v>330.22373258664732</c:v>
                </c:pt>
                <c:pt idx="37">
                  <c:v>346.41947173987165</c:v>
                </c:pt>
                <c:pt idx="38">
                  <c:v>363.15511769593678</c:v>
                </c:pt>
                <c:pt idx="39">
                  <c:v>380.44717321898139</c:v>
                </c:pt>
                <c:pt idx="40">
                  <c:v>379.2355825936383</c:v>
                </c:pt>
                <c:pt idx="41">
                  <c:v>377.93331090614373</c:v>
                </c:pt>
                <c:pt idx="42">
                  <c:v>376.53936404262885</c:v>
                </c:pt>
                <c:pt idx="43">
                  <c:v>375.04852937293145</c:v>
                </c:pt>
                <c:pt idx="44">
                  <c:v>373.45317283575406</c:v>
                </c:pt>
                <c:pt idx="45">
                  <c:v>374.75828962705583</c:v>
                </c:pt>
                <c:pt idx="46">
                  <c:v>376.06385828659819</c:v>
                </c:pt>
                <c:pt idx="47">
                  <c:v>377.37911398202704</c:v>
                </c:pt>
                <c:pt idx="48">
                  <c:v>378.70517185589466</c:v>
                </c:pt>
                <c:pt idx="49">
                  <c:v>380.05185648991733</c:v>
                </c:pt>
                <c:pt idx="50">
                  <c:v>381.42049298475058</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0-B3D8-492C-8A48-82928BD99629}"/>
            </c:ext>
          </c:extLst>
        </c:ser>
        <c:ser>
          <c:idx val="1"/>
          <c:order val="1"/>
          <c:tx>
            <c:strRef>
              <c:f>Person1!$GL$5</c:f>
              <c:strCache>
                <c:ptCount val="1"/>
                <c:pt idx="0">
                  <c:v>LIRA</c:v>
                </c:pt>
              </c:strCache>
            </c:strRef>
          </c:tx>
          <c:cat>
            <c:numRef>
              <c:f>Person1!$GJ$6:$GJ$72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Person1!$GL$6:$GL$72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1-B3D8-492C-8A48-82928BD99629}"/>
            </c:ext>
          </c:extLst>
        </c:ser>
        <c:ser>
          <c:idx val="2"/>
          <c:order val="2"/>
          <c:tx>
            <c:strRef>
              <c:f>Person1!$GM$5</c:f>
              <c:strCache>
                <c:ptCount val="1"/>
                <c:pt idx="0">
                  <c:v>TFSA</c:v>
                </c:pt>
              </c:strCache>
            </c:strRef>
          </c:tx>
          <c:cat>
            <c:numRef>
              <c:f>Person1!$GJ$6:$GJ$72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Person1!$GM$6:$GM$72</c:f>
              <c:numCache>
                <c:formatCode>0</c:formatCode>
                <c:ptCount val="67"/>
                <c:pt idx="1">
                  <c:v>0</c:v>
                </c:pt>
                <c:pt idx="2">
                  <c:v>0</c:v>
                </c:pt>
                <c:pt idx="3">
                  <c:v>0</c:v>
                </c:pt>
                <c:pt idx="4">
                  <c:v>3.0614023133824788</c:v>
                </c:pt>
                <c:pt idx="5">
                  <c:v>7.3679531131194445</c:v>
                </c:pt>
                <c:pt idx="6">
                  <c:v>12.28679137194449</c:v>
                </c:pt>
                <c:pt idx="7">
                  <c:v>17.840686566107983</c:v>
                </c:pt>
                <c:pt idx="8">
                  <c:v>24.053124539020331</c:v>
                </c:pt>
                <c:pt idx="9">
                  <c:v>30.948329028488775</c:v>
                </c:pt>
                <c:pt idx="10">
                  <c:v>38.551283831594873</c:v>
                </c:pt>
                <c:pt idx="11">
                  <c:v>46.887755626010247</c:v>
                </c:pt>
                <c:pt idx="12">
                  <c:v>55.984317467102549</c:v>
                </c:pt>
                <c:pt idx="13">
                  <c:v>65.868372980752284</c:v>
                </c:pt>
                <c:pt idx="14">
                  <c:v>76.568181272388159</c:v>
                </c:pt>
                <c:pt idx="15">
                  <c:v>85.419921701285062</c:v>
                </c:pt>
                <c:pt idx="16">
                  <c:v>93.504882814472026</c:v>
                </c:pt>
                <c:pt idx="17">
                  <c:v>101.71837002951915</c:v>
                </c:pt>
                <c:pt idx="18">
                  <c:v>110.06630601358026</c:v>
                </c:pt>
                <c:pt idx="19">
                  <c:v>118.90482530782232</c:v>
                </c:pt>
                <c:pt idx="20">
                  <c:v>127.89347213033179</c:v>
                </c:pt>
                <c:pt idx="21">
                  <c:v>137.03881550491187</c:v>
                </c:pt>
                <c:pt idx="22">
                  <c:v>146.67746334468234</c:v>
                </c:pt>
                <c:pt idx="23">
                  <c:v>156.48963819067018</c:v>
                </c:pt>
                <c:pt idx="24">
                  <c:v>166.48259990847259</c:v>
                </c:pt>
                <c:pt idx="25">
                  <c:v>176.97464035605375</c:v>
                </c:pt>
                <c:pt idx="26">
                  <c:v>187.66555467186862</c:v>
                </c:pt>
                <c:pt idx="27">
                  <c:v>198.56334337276135</c:v>
                </c:pt>
                <c:pt idx="28">
                  <c:v>209.96913112480399</c:v>
                </c:pt>
                <c:pt idx="29">
                  <c:v>221.60125205744495</c:v>
                </c:pt>
                <c:pt idx="30">
                  <c:v>233.75005900908252</c:v>
                </c:pt>
                <c:pt idx="31">
                  <c:v>246.1457696344429</c:v>
                </c:pt>
                <c:pt idx="32">
                  <c:v>258.79781079016095</c:v>
                </c:pt>
                <c:pt idx="33">
                  <c:v>271.98116079445538</c:v>
                </c:pt>
                <c:pt idx="34">
                  <c:v>285.4430083540343</c:v>
                </c:pt>
                <c:pt idx="35">
                  <c:v>299.44870077457369</c:v>
                </c:pt>
                <c:pt idx="36">
                  <c:v>313.7563192501899</c:v>
                </c:pt>
                <c:pt idx="37">
                  <c:v>328.37690094083501</c:v>
                </c:pt>
                <c:pt idx="38">
                  <c:v>343.5620708009094</c:v>
                </c:pt>
                <c:pt idx="39">
                  <c:v>359.08549025069669</c:v>
                </c:pt>
                <c:pt idx="40">
                  <c:v>375.19020688111391</c:v>
                </c:pt>
                <c:pt idx="41">
                  <c:v>391.65989794807535</c:v>
                </c:pt>
                <c:pt idx="42">
                  <c:v>408.72943434832803</c:v>
                </c:pt>
                <c:pt idx="43">
                  <c:v>426.19218990472399</c:v>
                </c:pt>
                <c:pt idx="44">
                  <c:v>444.27524810699367</c:v>
                </c:pt>
                <c:pt idx="45">
                  <c:v>462.7813767702458</c:v>
                </c:pt>
                <c:pt idx="46">
                  <c:v>481.93025056796057</c:v>
                </c:pt>
                <c:pt idx="47">
                  <c:v>501.53374502964965</c:v>
                </c:pt>
                <c:pt idx="48">
                  <c:v>521.8044945808283</c:v>
                </c:pt>
                <c:pt idx="49">
                  <c:v>542.56321211782017</c:v>
                </c:pt>
                <c:pt idx="50">
                  <c:v>564.01585102735498</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2-B3D8-492C-8A48-82928BD99629}"/>
            </c:ext>
          </c:extLst>
        </c:ser>
        <c:ser>
          <c:idx val="3"/>
          <c:order val="3"/>
          <c:tx>
            <c:strRef>
              <c:f>Person1!$GN$5</c:f>
              <c:strCache>
                <c:ptCount val="1"/>
                <c:pt idx="0">
                  <c:v>Invest</c:v>
                </c:pt>
              </c:strCache>
            </c:strRef>
          </c:tx>
          <c:cat>
            <c:numRef>
              <c:f>Person1!$GJ$6:$GJ$72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Person1!$GN$6:$GN$72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2.6929608720666645</c:v>
                </c:pt>
                <c:pt idx="16">
                  <c:v>7.0065123328179082</c:v>
                </c:pt>
                <c:pt idx="17">
                  <c:v>12.062994518188191</c:v>
                </c:pt>
                <c:pt idx="18">
                  <c:v>17.881587052865434</c:v>
                </c:pt>
                <c:pt idx="19">
                  <c:v>24.131897467726244</c:v>
                </c:pt>
                <c:pt idx="20">
                  <c:v>31.18352553464268</c:v>
                </c:pt>
                <c:pt idx="21">
                  <c:v>39.057056432169489</c:v>
                </c:pt>
                <c:pt idx="22">
                  <c:v>47.443727095208267</c:v>
                </c:pt>
                <c:pt idx="23">
                  <c:v>56.694455445010313</c:v>
                </c:pt>
                <c:pt idx="24">
                  <c:v>66.831339165708172</c:v>
                </c:pt>
                <c:pt idx="25">
                  <c:v>77.566189120894009</c:v>
                </c:pt>
                <c:pt idx="26">
                  <c:v>89.232515093717723</c:v>
                </c:pt>
                <c:pt idx="27">
                  <c:v>101.85404044518347</c:v>
                </c:pt>
                <c:pt idx="28">
                  <c:v>115.16216803784675</c:v>
                </c:pt>
                <c:pt idx="29">
                  <c:v>129.45700479843569</c:v>
                </c:pt>
                <c:pt idx="30">
                  <c:v>144.42614187230646</c:v>
                </c:pt>
                <c:pt idx="31">
                  <c:v>160.3734810139529</c:v>
                </c:pt>
                <c:pt idx="32">
                  <c:v>177.32186539751345</c:v>
                </c:pt>
                <c:pt idx="33">
                  <c:v>195.02937218523579</c:v>
                </c:pt>
                <c:pt idx="34">
                  <c:v>213.78521006937569</c:v>
                </c:pt>
                <c:pt idx="35">
                  <c:v>233.35878893608057</c:v>
                </c:pt>
                <c:pt idx="36">
                  <c:v>254.03006943118962</c:v>
                </c:pt>
                <c:pt idx="37">
                  <c:v>275.82455396518077</c:v>
                </c:pt>
                <c:pt idx="38">
                  <c:v>298.52804548168353</c:v>
                </c:pt>
                <c:pt idx="39">
                  <c:v>322.40751851361188</c:v>
                </c:pt>
                <c:pt idx="40">
                  <c:v>304.13248600551447</c:v>
                </c:pt>
                <c:pt idx="41">
                  <c:v>285.33004255395747</c:v>
                </c:pt>
                <c:pt idx="42">
                  <c:v>265.76353651127937</c:v>
                </c:pt>
                <c:pt idx="43">
                  <c:v>245.63025669779447</c:v>
                </c:pt>
                <c:pt idx="44">
                  <c:v>224.68944477015526</c:v>
                </c:pt>
                <c:pt idx="45">
                  <c:v>208.52116491089762</c:v>
                </c:pt>
                <c:pt idx="46">
                  <c:v>191.71094934636622</c:v>
                </c:pt>
                <c:pt idx="47">
                  <c:v>174.46346545399808</c:v>
                </c:pt>
                <c:pt idx="48">
                  <c:v>156.56807635723263</c:v>
                </c:pt>
                <c:pt idx="49">
                  <c:v>138.22166788100111</c:v>
                </c:pt>
                <c:pt idx="50">
                  <c:v>119.22066028436797</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3-B3D8-492C-8A48-82928BD99629}"/>
            </c:ext>
          </c:extLst>
        </c:ser>
        <c:dLbls>
          <c:showLegendKey val="0"/>
          <c:showVal val="0"/>
          <c:showCatName val="0"/>
          <c:showSerName val="0"/>
          <c:showPercent val="0"/>
          <c:showBubbleSize val="0"/>
        </c:dLbls>
        <c:axId val="874490336"/>
        <c:axId val="1"/>
      </c:areaChart>
      <c:catAx>
        <c:axId val="874490336"/>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en-CA"/>
                  <a:t>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4"/>
        <c:tickMarkSkip val="1"/>
        <c:noMultiLvlLbl val="1"/>
      </c:catAx>
      <c:valAx>
        <c:axId val="1"/>
        <c:scaling>
          <c:orientation val="minMax"/>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CA"/>
                  <a:t>Account Balances ($k)</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74490336"/>
        <c:crosses val="autoZero"/>
        <c:crossBetween val="midCat"/>
      </c:valAx>
      <c:spPr>
        <a:ln>
          <a:solidFill>
            <a:schemeClr val="accent1"/>
          </a:solidFill>
        </a:ln>
      </c:spPr>
    </c:plotArea>
    <c:legend>
      <c:legendPos val="r"/>
      <c:layout>
        <c:manualLayout>
          <c:xMode val="edge"/>
          <c:yMode val="edge"/>
          <c:wMode val="edge"/>
          <c:hMode val="edge"/>
          <c:x val="0.9348591549295775"/>
          <c:y val="0.43287327478042659"/>
          <c:w val="0.99031690140845074"/>
          <c:h val="0.57590966122961107"/>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CA"/>
              <a:t>Income Forecast</a:t>
            </a:r>
          </a:p>
        </c:rich>
      </c:tx>
      <c:overlay val="1"/>
    </c:title>
    <c:autoTitleDeleted val="0"/>
    <c:plotArea>
      <c:layout>
        <c:manualLayout>
          <c:layoutTarget val="inner"/>
          <c:xMode val="edge"/>
          <c:yMode val="edge"/>
          <c:x val="0.1279037114616367"/>
          <c:y val="9.2979876555541671E-2"/>
          <c:w val="0.7442156229773621"/>
          <c:h val="0.8137293092690695"/>
        </c:manualLayout>
      </c:layout>
      <c:areaChart>
        <c:grouping val="stacked"/>
        <c:varyColors val="0"/>
        <c:ser>
          <c:idx val="0"/>
          <c:order val="0"/>
          <c:tx>
            <c:strRef>
              <c:f>Person2!$FY$5</c:f>
              <c:strCache>
                <c:ptCount val="1"/>
                <c:pt idx="0">
                  <c:v>Income</c:v>
                </c:pt>
              </c:strCache>
            </c:strRef>
          </c:tx>
          <c:cat>
            <c:numRef>
              <c:f>Person2!$FX$6:$FX$72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Person2!$FY$6:$FY$72</c:f>
              <c:numCache>
                <c:formatCode>0</c:formatCode>
                <c:ptCount val="67"/>
                <c:pt idx="1">
                  <c:v>40</c:v>
                </c:pt>
                <c:pt idx="2">
                  <c:v>40.196078431372548</c:v>
                </c:pt>
                <c:pt idx="3">
                  <c:v>40.393118031526342</c:v>
                </c:pt>
                <c:pt idx="4">
                  <c:v>40.591123512073032</c:v>
                </c:pt>
                <c:pt idx="5">
                  <c:v>40.790099607720443</c:v>
                </c:pt>
                <c:pt idx="6">
                  <c:v>40.990051076385733</c:v>
                </c:pt>
                <c:pt idx="7">
                  <c:v>41.190982699309181</c:v>
                </c:pt>
                <c:pt idx="8">
                  <c:v>41.392899281168546</c:v>
                </c:pt>
                <c:pt idx="9">
                  <c:v>41.595805650193874</c:v>
                </c:pt>
                <c:pt idx="10">
                  <c:v>41.799706658283057</c:v>
                </c:pt>
                <c:pt idx="11">
                  <c:v>42.004607181117777</c:v>
                </c:pt>
                <c:pt idx="12">
                  <c:v>42.210512118280114</c:v>
                </c:pt>
                <c:pt idx="13">
                  <c:v>42.417426393369723</c:v>
                </c:pt>
                <c:pt idx="14">
                  <c:v>42.625354954121534</c:v>
                </c:pt>
                <c:pt idx="15">
                  <c:v>42.83430277252409</c:v>
                </c:pt>
                <c:pt idx="16">
                  <c:v>43.044274844938421</c:v>
                </c:pt>
                <c:pt idx="17">
                  <c:v>43.255276192217536</c:v>
                </c:pt>
                <c:pt idx="18">
                  <c:v>43.467311859826424</c:v>
                </c:pt>
                <c:pt idx="19">
                  <c:v>43.680386917962828</c:v>
                </c:pt>
                <c:pt idx="20">
                  <c:v>43.89450646167834</c:v>
                </c:pt>
                <c:pt idx="21">
                  <c:v>44.109675611000291</c:v>
                </c:pt>
                <c:pt idx="22">
                  <c:v>44.325899511054203</c:v>
                </c:pt>
                <c:pt idx="23">
                  <c:v>44.543183332186814</c:v>
                </c:pt>
                <c:pt idx="24">
                  <c:v>44.761532270089695</c:v>
                </c:pt>
                <c:pt idx="25">
                  <c:v>44.980951545923467</c:v>
                </c:pt>
                <c:pt idx="26">
                  <c:v>45.201446406442692</c:v>
                </c:pt>
                <c:pt idx="27">
                  <c:v>45.423022124121331</c:v>
                </c:pt>
                <c:pt idx="28">
                  <c:v>45.645683997278788</c:v>
                </c:pt>
                <c:pt idx="29">
                  <c:v>45.869437350206617</c:v>
                </c:pt>
                <c:pt idx="30">
                  <c:v>46.094287533295862</c:v>
                </c:pt>
                <c:pt idx="31">
                  <c:v>46.320239923164955</c:v>
                </c:pt>
                <c:pt idx="32">
                  <c:v>46.547299922788319</c:v>
                </c:pt>
                <c:pt idx="33">
                  <c:v>46.775472961625496</c:v>
                </c:pt>
                <c:pt idx="34">
                  <c:v>47.004764495751125</c:v>
                </c:pt>
                <c:pt idx="35">
                  <c:v>47.235180007985178</c:v>
                </c:pt>
                <c:pt idx="36">
                  <c:v>47.466725008024333</c:v>
                </c:pt>
                <c:pt idx="37">
                  <c:v>47.699405032573473</c:v>
                </c:pt>
                <c:pt idx="38">
                  <c:v>47.933225645478224</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0-6CA5-4EC1-B970-7D52B511FFDA}"/>
            </c:ext>
          </c:extLst>
        </c:ser>
        <c:ser>
          <c:idx val="1"/>
          <c:order val="1"/>
          <c:tx>
            <c:strRef>
              <c:f>Person2!$FZ$5</c:f>
              <c:strCache>
                <c:ptCount val="1"/>
                <c:pt idx="0">
                  <c:v>CPP</c:v>
                </c:pt>
              </c:strCache>
            </c:strRef>
          </c:tx>
          <c:cat>
            <c:numRef>
              <c:f>Person2!$FX$6:$FX$72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Person2!$FZ$6:$FZ$72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8</c:v>
                </c:pt>
                <c:pt idx="45">
                  <c:v>8</c:v>
                </c:pt>
                <c:pt idx="46">
                  <c:v>8</c:v>
                </c:pt>
                <c:pt idx="47">
                  <c:v>8</c:v>
                </c:pt>
                <c:pt idx="48">
                  <c:v>7.9999999999999991</c:v>
                </c:pt>
                <c:pt idx="49">
                  <c:v>8</c:v>
                </c:pt>
                <c:pt idx="50">
                  <c:v>8</c:v>
                </c:pt>
                <c:pt idx="51">
                  <c:v>8</c:v>
                </c:pt>
                <c:pt idx="52">
                  <c:v>8</c:v>
                </c:pt>
                <c:pt idx="53">
                  <c:v>8</c:v>
                </c:pt>
                <c:pt idx="54">
                  <c:v>8</c:v>
                </c:pt>
                <c:pt idx="55">
                  <c:v>8</c:v>
                </c:pt>
                <c:pt idx="56">
                  <c:v>8</c:v>
                </c:pt>
                <c:pt idx="57">
                  <c:v>8</c:v>
                </c:pt>
                <c:pt idx="58">
                  <c:v>8.0000000000000018</c:v>
                </c:pt>
                <c:pt idx="59">
                  <c:v>12</c:v>
                </c:pt>
                <c:pt idx="60">
                  <c:v>12</c:v>
                </c:pt>
                <c:pt idx="61">
                  <c:v>12</c:v>
                </c:pt>
                <c:pt idx="62">
                  <c:v>12</c:v>
                </c:pt>
                <c:pt idx="63">
                  <c:v>12.000000000000002</c:v>
                </c:pt>
                <c:pt idx="64">
                  <c:v>0</c:v>
                </c:pt>
                <c:pt idx="65">
                  <c:v>0</c:v>
                </c:pt>
                <c:pt idx="66">
                  <c:v>0</c:v>
                </c:pt>
              </c:numCache>
            </c:numRef>
          </c:val>
          <c:extLst>
            <c:ext xmlns:c16="http://schemas.microsoft.com/office/drawing/2014/chart" uri="{C3380CC4-5D6E-409C-BE32-E72D297353CC}">
              <c16:uniqueId val="{00000001-6CA5-4EC1-B970-7D52B511FFDA}"/>
            </c:ext>
          </c:extLst>
        </c:ser>
        <c:ser>
          <c:idx val="2"/>
          <c:order val="2"/>
          <c:tx>
            <c:strRef>
              <c:f>Person2!$GA$5</c:f>
              <c:strCache>
                <c:ptCount val="1"/>
                <c:pt idx="0">
                  <c:v>OAS</c:v>
                </c:pt>
              </c:strCache>
            </c:strRef>
          </c:tx>
          <c:cat>
            <c:numRef>
              <c:f>Person2!$FX$6:$FX$72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Person2!$GA$6:$GA$72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6.8460000000000001</c:v>
                </c:pt>
                <c:pt idx="45">
                  <c:v>6.8460000000000001</c:v>
                </c:pt>
                <c:pt idx="46">
                  <c:v>6.8460000000000001</c:v>
                </c:pt>
                <c:pt idx="47">
                  <c:v>6.8460000000000001</c:v>
                </c:pt>
                <c:pt idx="48">
                  <c:v>6.8460000000000001</c:v>
                </c:pt>
                <c:pt idx="49">
                  <c:v>6.8460000000000001</c:v>
                </c:pt>
                <c:pt idx="50">
                  <c:v>6.8460000000000001</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2-6CA5-4EC1-B970-7D52B511FFDA}"/>
            </c:ext>
          </c:extLst>
        </c:ser>
        <c:ser>
          <c:idx val="3"/>
          <c:order val="3"/>
          <c:tx>
            <c:strRef>
              <c:f>Person2!$GB$5</c:f>
              <c:strCache>
                <c:ptCount val="1"/>
                <c:pt idx="0">
                  <c:v>DB</c:v>
                </c:pt>
              </c:strCache>
            </c:strRef>
          </c:tx>
          <c:cat>
            <c:numRef>
              <c:f>Person2!$FX$6:$FX$72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Person2!$GB$6:$GB$72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7.4999999999999938</c:v>
                </c:pt>
                <c:pt idx="40">
                  <c:v>7.389705882352934</c:v>
                </c:pt>
                <c:pt idx="41">
                  <c:v>7.2810337370242131</c:v>
                </c:pt>
                <c:pt idx="42">
                  <c:v>7.1739597114797391</c:v>
                </c:pt>
                <c:pt idx="43">
                  <c:v>7.0684603039579761</c:v>
                </c:pt>
                <c:pt idx="44">
                  <c:v>3.9645123583115338</c:v>
                </c:pt>
                <c:pt idx="45">
                  <c:v>3.8620930589245988</c:v>
                </c:pt>
                <c:pt idx="46">
                  <c:v>3.7611799257051182</c:v>
                </c:pt>
                <c:pt idx="47">
                  <c:v>3.6617508091506301</c:v>
                </c:pt>
                <c:pt idx="48">
                  <c:v>3.5637838854866506</c:v>
                </c:pt>
                <c:pt idx="49">
                  <c:v>3.4672576518765519</c:v>
                </c:pt>
                <c:pt idx="50">
                  <c:v>3.3721509217018952</c:v>
                </c:pt>
                <c:pt idx="51">
                  <c:v>3.2784428199121609</c:v>
                </c:pt>
                <c:pt idx="52">
                  <c:v>3.186112778442864</c:v>
                </c:pt>
                <c:pt idx="53">
                  <c:v>3.0951405317010563</c:v>
                </c:pt>
                <c:pt idx="54">
                  <c:v>3.0055061121172146</c:v>
                </c:pt>
                <c:pt idx="55">
                  <c:v>2.9171898457625502</c:v>
                </c:pt>
                <c:pt idx="56">
                  <c:v>2.8301723480307479</c:v>
                </c:pt>
                <c:pt idx="57">
                  <c:v>2.7444345193832334</c:v>
                </c:pt>
                <c:pt idx="58">
                  <c:v>2.6599575411570102</c:v>
                </c:pt>
                <c:pt idx="59">
                  <c:v>6.9056172954434203</c:v>
                </c:pt>
                <c:pt idx="60">
                  <c:v>6.6858288058045474</c:v>
                </c:pt>
                <c:pt idx="61">
                  <c:v>6.4692724998368272</c:v>
                </c:pt>
                <c:pt idx="62">
                  <c:v>6.2559008454274583</c:v>
                </c:pt>
                <c:pt idx="63">
                  <c:v>6.0456670094652907</c:v>
                </c:pt>
                <c:pt idx="64">
                  <c:v>0</c:v>
                </c:pt>
                <c:pt idx="65">
                  <c:v>0</c:v>
                </c:pt>
                <c:pt idx="66">
                  <c:v>0</c:v>
                </c:pt>
              </c:numCache>
            </c:numRef>
          </c:val>
          <c:extLst>
            <c:ext xmlns:c16="http://schemas.microsoft.com/office/drawing/2014/chart" uri="{C3380CC4-5D6E-409C-BE32-E72D297353CC}">
              <c16:uniqueId val="{00000003-6CA5-4EC1-B970-7D52B511FFDA}"/>
            </c:ext>
          </c:extLst>
        </c:ser>
        <c:ser>
          <c:idx val="4"/>
          <c:order val="4"/>
          <c:tx>
            <c:strRef>
              <c:f>Person2!$GC$5</c:f>
              <c:strCache>
                <c:ptCount val="1"/>
                <c:pt idx="0">
                  <c:v>RRSP</c:v>
                </c:pt>
              </c:strCache>
            </c:strRef>
          </c:tx>
          <c:cat>
            <c:numRef>
              <c:f>Person2!$FX$6:$FX$72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Person2!$GC$6:$GC$72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15.214543459745784</c:v>
                </c:pt>
                <c:pt idx="40">
                  <c:v>15.294397273149347</c:v>
                </c:pt>
                <c:pt idx="41">
                  <c:v>15.373076765765521</c:v>
                </c:pt>
                <c:pt idx="42">
                  <c:v>15.450599207021705</c:v>
                </c:pt>
                <c:pt idx="43">
                  <c:v>15.526981612377071</c:v>
                </c:pt>
                <c:pt idx="44">
                  <c:v>5.4767005220993594</c:v>
                </c:pt>
                <c:pt idx="45">
                  <c:v>5.5508529048070185</c:v>
                </c:pt>
                <c:pt idx="46">
                  <c:v>5.6239148112983921</c:v>
                </c:pt>
                <c:pt idx="47">
                  <c:v>5.6959022780163551</c:v>
                </c:pt>
                <c:pt idx="48">
                  <c:v>5.766831105490299</c:v>
                </c:pt>
                <c:pt idx="49">
                  <c:v>5.8367168619719871</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4-6CA5-4EC1-B970-7D52B511FFDA}"/>
            </c:ext>
          </c:extLst>
        </c:ser>
        <c:ser>
          <c:idx val="5"/>
          <c:order val="5"/>
          <c:tx>
            <c:strRef>
              <c:f>Person2!$GD$5</c:f>
              <c:strCache>
                <c:ptCount val="1"/>
                <c:pt idx="0">
                  <c:v>LIRA</c:v>
                </c:pt>
              </c:strCache>
            </c:strRef>
          </c:tx>
          <c:cat>
            <c:numRef>
              <c:f>Person2!$FX$6:$FX$72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Person2!$GD$6:$GD$72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5-6CA5-4EC1-B970-7D52B511FFDA}"/>
            </c:ext>
          </c:extLst>
        </c:ser>
        <c:ser>
          <c:idx val="6"/>
          <c:order val="6"/>
          <c:tx>
            <c:strRef>
              <c:f>Person2!$GE$5</c:f>
              <c:strCache>
                <c:ptCount val="1"/>
                <c:pt idx="0">
                  <c:v>Invest</c:v>
                </c:pt>
              </c:strCache>
            </c:strRef>
          </c:tx>
          <c:cat>
            <c:numRef>
              <c:f>Person2!$FX$6:$FX$72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Person2!$GE$6:$GE$72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6-6CA5-4EC1-B970-7D52B511FFDA}"/>
            </c:ext>
          </c:extLst>
        </c:ser>
        <c:ser>
          <c:idx val="7"/>
          <c:order val="7"/>
          <c:tx>
            <c:strRef>
              <c:f>Person2!$GF$5</c:f>
              <c:strCache>
                <c:ptCount val="1"/>
                <c:pt idx="0">
                  <c:v>TFSA</c:v>
                </c:pt>
              </c:strCache>
            </c:strRef>
          </c:tx>
          <c:cat>
            <c:numRef>
              <c:f>Person2!$FX$6:$FX$72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Person2!$GF$6:$GF$72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4.349842557741721</c:v>
                </c:pt>
                <c:pt idx="40">
                  <c:v>4.3726727870456639</c:v>
                </c:pt>
                <c:pt idx="41">
                  <c:v>4.3951672776827833</c:v>
                </c:pt>
                <c:pt idx="42">
                  <c:v>4.4173309669875866</c:v>
                </c:pt>
                <c:pt idx="43">
                  <c:v>4.4391687196849663</c:v>
                </c:pt>
                <c:pt idx="44">
                  <c:v>1.5657903288431729</c:v>
                </c:pt>
                <c:pt idx="45">
                  <c:v>1.586990517393893</c:v>
                </c:pt>
                <c:pt idx="46">
                  <c:v>1.6078789384659256</c:v>
                </c:pt>
                <c:pt idx="47">
                  <c:v>1.6284601768831208</c:v>
                </c:pt>
                <c:pt idx="48">
                  <c:v>1.6487387500215902</c:v>
                </c:pt>
                <c:pt idx="49">
                  <c:v>1.6687191088492026</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7-6CA5-4EC1-B970-7D52B511FFDA}"/>
            </c:ext>
          </c:extLst>
        </c:ser>
        <c:dLbls>
          <c:showLegendKey val="0"/>
          <c:showVal val="0"/>
          <c:showCatName val="0"/>
          <c:showSerName val="0"/>
          <c:showPercent val="0"/>
          <c:showBubbleSize val="0"/>
        </c:dLbls>
        <c:axId val="874492136"/>
        <c:axId val="1"/>
      </c:areaChart>
      <c:lineChart>
        <c:grouping val="standard"/>
        <c:varyColors val="0"/>
        <c:ser>
          <c:idx val="9"/>
          <c:order val="8"/>
          <c:tx>
            <c:strRef>
              <c:f>Person2!$GG$5</c:f>
              <c:strCache>
                <c:ptCount val="1"/>
                <c:pt idx="0">
                  <c:v>Net Inc</c:v>
                </c:pt>
              </c:strCache>
            </c:strRef>
          </c:tx>
          <c:spPr>
            <a:ln>
              <a:solidFill>
                <a:schemeClr val="tx1">
                  <a:lumMod val="65000"/>
                  <a:lumOff val="35000"/>
                </a:schemeClr>
              </a:solidFill>
            </a:ln>
          </c:spPr>
          <c:marker>
            <c:symbol val="none"/>
          </c:marker>
          <c:cat>
            <c:numRef>
              <c:f>Person2!$FX$6:$FX$72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Person2!$GG$6:$GG$72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8-6CA5-4EC1-B970-7D52B511FFDA}"/>
            </c:ext>
          </c:extLst>
        </c:ser>
        <c:ser>
          <c:idx val="8"/>
          <c:order val="9"/>
          <c:tx>
            <c:strRef>
              <c:f>Person2!$GH$5</c:f>
              <c:strCache>
                <c:ptCount val="1"/>
                <c:pt idx="0">
                  <c:v>Net-Svgs</c:v>
                </c:pt>
              </c:strCache>
            </c:strRef>
          </c:tx>
          <c:cat>
            <c:numRef>
              <c:f>Person2!$FX$6:$FX$72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Person2!$GH$6:$GH$72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9-6CA5-4EC1-B970-7D52B511FFDA}"/>
            </c:ext>
          </c:extLst>
        </c:ser>
        <c:dLbls>
          <c:showLegendKey val="0"/>
          <c:showVal val="0"/>
          <c:showCatName val="0"/>
          <c:showSerName val="0"/>
          <c:showPercent val="0"/>
          <c:showBubbleSize val="0"/>
        </c:dLbls>
        <c:marker val="1"/>
        <c:smooth val="0"/>
        <c:axId val="874492136"/>
        <c:axId val="1"/>
      </c:lineChart>
      <c:catAx>
        <c:axId val="874492136"/>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en-CA"/>
                  <a:t>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4"/>
        <c:tickMarkSkip val="1"/>
        <c:noMultiLvlLbl val="1"/>
      </c:catAx>
      <c:valAx>
        <c:axId val="1"/>
        <c:scaling>
          <c:orientation val="minMax"/>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CA"/>
                  <a:t>Income ($k/yr)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74492136"/>
        <c:crosses val="autoZero"/>
        <c:crossBetween val="between"/>
      </c:valAx>
      <c:spPr>
        <a:ln>
          <a:solidFill>
            <a:schemeClr val="accent1"/>
          </a:solidFill>
        </a:ln>
      </c:spPr>
    </c:plotArea>
    <c:legend>
      <c:legendPos val="r"/>
      <c:layout>
        <c:manualLayout>
          <c:xMode val="edge"/>
          <c:yMode val="edge"/>
          <c:wMode val="edge"/>
          <c:hMode val="edge"/>
          <c:x val="0.89964788732394374"/>
          <c:y val="0.32496863237139273"/>
          <c:w val="0.99031690140845074"/>
          <c:h val="0.68130489335006272"/>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CA"/>
              <a:t>Account Balances</a:t>
            </a:r>
          </a:p>
        </c:rich>
      </c:tx>
      <c:overlay val="1"/>
    </c:title>
    <c:autoTitleDeleted val="0"/>
    <c:plotArea>
      <c:layout>
        <c:manualLayout>
          <c:layoutTarget val="inner"/>
          <c:xMode val="edge"/>
          <c:yMode val="edge"/>
          <c:x val="0.12372367218889571"/>
          <c:y val="9.2979876555541671E-2"/>
          <c:w val="0.756662208010496"/>
          <c:h val="0.8137293092690695"/>
        </c:manualLayout>
      </c:layout>
      <c:areaChart>
        <c:grouping val="stacked"/>
        <c:varyColors val="0"/>
        <c:ser>
          <c:idx val="0"/>
          <c:order val="0"/>
          <c:tx>
            <c:strRef>
              <c:f>Person2!$GK$5</c:f>
              <c:strCache>
                <c:ptCount val="1"/>
                <c:pt idx="0">
                  <c:v>RRSP</c:v>
                </c:pt>
              </c:strCache>
            </c:strRef>
          </c:tx>
          <c:cat>
            <c:numRef>
              <c:f>Person2!$GJ$6:$GJ$72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Person2!$GK$6:$GK$72</c:f>
              <c:numCache>
                <c:formatCode>0</c:formatCode>
                <c:ptCount val="67"/>
                <c:pt idx="1">
                  <c:v>0</c:v>
                </c:pt>
                <c:pt idx="2">
                  <c:v>11.319296055570549</c:v>
                </c:pt>
                <c:pt idx="3">
                  <c:v>23.379048146608667</c:v>
                </c:pt>
                <c:pt idx="4">
                  <c:v>34.002469057357921</c:v>
                </c:pt>
                <c:pt idx="5">
                  <c:v>44.522668924204645</c:v>
                </c:pt>
                <c:pt idx="6">
                  <c:v>55.422212062622783</c:v>
                </c:pt>
                <c:pt idx="7">
                  <c:v>66.712826423268496</c:v>
                </c:pt>
                <c:pt idx="8">
                  <c:v>78.406589930059667</c:v>
                </c:pt>
                <c:pt idx="9">
                  <c:v>90.515940820098123</c:v>
                </c:pt>
                <c:pt idx="10">
                  <c:v>103.05368828815071</c:v>
                </c:pt>
                <c:pt idx="11">
                  <c:v>116.03302344465042</c:v>
                </c:pt>
                <c:pt idx="12">
                  <c:v>129.46753059644402</c:v>
                </c:pt>
                <c:pt idx="13">
                  <c:v>143.37119885978234</c:v>
                </c:pt>
                <c:pt idx="14">
                  <c:v>157.75843411532969</c:v>
                </c:pt>
                <c:pt idx="15">
                  <c:v>172.64407131525653</c:v>
                </c:pt>
                <c:pt idx="16">
                  <c:v>188.04338715277459</c:v>
                </c:pt>
                <c:pt idx="17">
                  <c:v>203.97211310477999</c:v>
                </c:pt>
                <c:pt idx="18">
                  <c:v>220.44644885858187</c:v>
                </c:pt>
                <c:pt idx="19">
                  <c:v>237.48307613401801</c:v>
                </c:pt>
                <c:pt idx="20">
                  <c:v>255.0991729125918</c:v>
                </c:pt>
                <c:pt idx="21">
                  <c:v>273.31242808560501</c:v>
                </c:pt>
                <c:pt idx="22">
                  <c:v>292.14105653361651</c:v>
                </c:pt>
                <c:pt idx="23">
                  <c:v>311.60381464991565</c:v>
                </c:pt>
                <c:pt idx="24">
                  <c:v>331.7200163210768</c:v>
                </c:pt>
                <c:pt idx="25">
                  <c:v>352.5095493780405</c:v>
                </c:pt>
                <c:pt idx="26">
                  <c:v>373.99289253156871</c:v>
                </c:pt>
                <c:pt idx="27">
                  <c:v>396.19113280632251</c:v>
                </c:pt>
                <c:pt idx="28">
                  <c:v>419.12598348823371</c:v>
                </c:pt>
                <c:pt idx="29">
                  <c:v>442.81980260027331</c:v>
                </c:pt>
                <c:pt idx="30">
                  <c:v>467.29561192216141</c:v>
                </c:pt>
                <c:pt idx="31">
                  <c:v>492.57711657002301</c:v>
                </c:pt>
                <c:pt idx="32">
                  <c:v>518.6887251524638</c:v>
                </c:pt>
                <c:pt idx="33">
                  <c:v>545.6555705200243</c:v>
                </c:pt>
                <c:pt idx="34">
                  <c:v>573.50353112547134</c:v>
                </c:pt>
                <c:pt idx="35">
                  <c:v>602.25925301289567</c:v>
                </c:pt>
                <c:pt idx="36">
                  <c:v>631.9501724541185</c:v>
                </c:pt>
                <c:pt idx="37">
                  <c:v>662.60453925144793</c:v>
                </c:pt>
                <c:pt idx="38">
                  <c:v>694.25144072639137</c:v>
                </c:pt>
                <c:pt idx="39">
                  <c:v>726.92082641450565</c:v>
                </c:pt>
                <c:pt idx="40">
                  <c:v>733.38463164263248</c:v>
                </c:pt>
                <c:pt idx="41">
                  <c:v>739.96026073687733</c:v>
                </c:pt>
                <c:pt idx="42">
                  <c:v>746.6521539293683</c:v>
                </c:pt>
                <c:pt idx="43">
                  <c:v>753.46486511648538</c:v>
                </c:pt>
                <c:pt idx="44">
                  <c:v>760.40306545091414</c:v>
                </c:pt>
                <c:pt idx="45">
                  <c:v>777.39854725623593</c:v>
                </c:pt>
                <c:pt idx="46">
                  <c:v>794.82119775905949</c:v>
                </c:pt>
                <c:pt idx="47">
                  <c:v>812.68464983893534</c:v>
                </c:pt>
                <c:pt idx="48">
                  <c:v>831.00292162045673</c:v>
                </c:pt>
                <c:pt idx="49">
                  <c:v>849.79042803528387</c:v>
                </c:pt>
                <c:pt idx="50">
                  <c:v>869.06199272066272</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0-3DD8-4C89-94E7-24FE81755908}"/>
            </c:ext>
          </c:extLst>
        </c:ser>
        <c:ser>
          <c:idx val="1"/>
          <c:order val="1"/>
          <c:tx>
            <c:strRef>
              <c:f>Person2!$GL$5</c:f>
              <c:strCache>
                <c:ptCount val="1"/>
                <c:pt idx="0">
                  <c:v>LIRA</c:v>
                </c:pt>
              </c:strCache>
            </c:strRef>
          </c:tx>
          <c:cat>
            <c:numRef>
              <c:f>Person2!$GJ$6:$GJ$72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Person2!$GL$6:$GL$72</c:f>
              <c:numCache>
                <c:formatCode>0</c:formatCode>
                <c:ptCount val="67"/>
                <c:pt idx="1">
                  <c:v>0</c:v>
                </c:pt>
                <c:pt idx="2">
                  <c:v>2.3529411764705883</c:v>
                </c:pt>
                <c:pt idx="3">
                  <c:v>4.786620530565167</c:v>
                </c:pt>
                <c:pt idx="4">
                  <c:v>7.3034692539068695</c:v>
                </c:pt>
                <c:pt idx="5">
                  <c:v>9.9059903209084261</c:v>
                </c:pt>
                <c:pt idx="6">
                  <c:v>12.596760601389287</c:v>
                </c:pt>
                <c:pt idx="7">
                  <c:v>15.378433035335188</c:v>
                </c:pt>
                <c:pt idx="8">
                  <c:v>18.253738871627942</c:v>
                </c:pt>
                <c:pt idx="9">
                  <c:v>21.225489972626907</c:v>
                </c:pt>
                <c:pt idx="10">
                  <c:v>24.296581186539104</c:v>
                </c:pt>
                <c:pt idx="11">
                  <c:v>27.469992789571613</c:v>
                </c:pt>
                <c:pt idx="12">
                  <c:v>30.748792999918887</c:v>
                </c:pt>
                <c:pt idx="13">
                  <c:v>34.13614056569768</c:v>
                </c:pt>
                <c:pt idx="14">
                  <c:v>37.635287429004663</c:v>
                </c:pt>
                <c:pt idx="15">
                  <c:v>41.249581468335471</c:v>
                </c:pt>
                <c:pt idx="16">
                  <c:v>44.98246932167028</c:v>
                </c:pt>
                <c:pt idx="17">
                  <c:v>48.837499292598132</c:v>
                </c:pt>
                <c:pt idx="18">
                  <c:v>52.818324341922647</c:v>
                </c:pt>
                <c:pt idx="19">
                  <c:v>56.928705167263097</c:v>
                </c:pt>
                <c:pt idx="20">
                  <c:v>61.172513373239234</c:v>
                </c:pt>
                <c:pt idx="21">
                  <c:v>65.553734734903813</c:v>
                </c:pt>
                <c:pt idx="22">
                  <c:v>70.076472557165701</c:v>
                </c:pt>
                <c:pt idx="23">
                  <c:v>74.744951133026717</c:v>
                </c:pt>
                <c:pt idx="24">
                  <c:v>79.563519303538484</c:v>
                </c:pt>
                <c:pt idx="25">
                  <c:v>84.536654122471376</c:v>
                </c:pt>
                <c:pt idx="26">
                  <c:v>89.66896462877483</c:v>
                </c:pt>
                <c:pt idx="27">
                  <c:v>94.965195730000119</c:v>
                </c:pt>
                <c:pt idx="28">
                  <c:v>100.43023219994843</c:v>
                </c:pt>
                <c:pt idx="29">
                  <c:v>106.06910279390449</c:v>
                </c:pt>
                <c:pt idx="30">
                  <c:v>111.88698448491382</c:v>
                </c:pt>
                <c:pt idx="31">
                  <c:v>117.88920682466402</c:v>
                </c:pt>
                <c:pt idx="32">
                  <c:v>124.08125643263442</c:v>
                </c:pt>
                <c:pt idx="33">
                  <c:v>130.46878161728768</c:v>
                </c:pt>
                <c:pt idx="34">
                  <c:v>137.05759713318588</c:v>
                </c:pt>
                <c:pt idx="35">
                  <c:v>143.85368907802962</c:v>
                </c:pt>
                <c:pt idx="36">
                  <c:v>150.86321993373556</c:v>
                </c:pt>
                <c:pt idx="37">
                  <c:v>158.09253375578803</c:v>
                </c:pt>
                <c:pt idx="38">
                  <c:v>165.54816151522726</c:v>
                </c:pt>
                <c:pt idx="39">
                  <c:v>173.23682659776208</c:v>
                </c:pt>
                <c:pt idx="40">
                  <c:v>178.3320273800492</c:v>
                </c:pt>
                <c:pt idx="41">
                  <c:v>183.57708700887417</c:v>
                </c:pt>
                <c:pt idx="42">
                  <c:v>188.97641309737048</c:v>
                </c:pt>
                <c:pt idx="43">
                  <c:v>194.534542894352</c:v>
                </c:pt>
                <c:pt idx="44">
                  <c:v>200.25614709712701</c:v>
                </c:pt>
                <c:pt idx="45">
                  <c:v>206.14603377645432</c:v>
                </c:pt>
                <c:pt idx="46">
                  <c:v>212.20915241693825</c:v>
                </c:pt>
                <c:pt idx="47">
                  <c:v>218.45059807625995</c:v>
                </c:pt>
                <c:pt idx="48">
                  <c:v>224.87561566673821</c:v>
                </c:pt>
                <c:pt idx="49">
                  <c:v>231.4896043628188</c:v>
                </c:pt>
                <c:pt idx="50">
                  <c:v>238.29812213819579</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1-3DD8-4C89-94E7-24FE81755908}"/>
            </c:ext>
          </c:extLst>
        </c:ser>
        <c:ser>
          <c:idx val="2"/>
          <c:order val="2"/>
          <c:tx>
            <c:strRef>
              <c:f>Person2!$GM$5</c:f>
              <c:strCache>
                <c:ptCount val="1"/>
                <c:pt idx="0">
                  <c:v>TFSA</c:v>
                </c:pt>
              </c:strCache>
            </c:strRef>
          </c:tx>
          <c:cat>
            <c:numRef>
              <c:f>Person2!$GJ$6:$GJ$72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Person2!$GM$6:$GM$72</c:f>
              <c:numCache>
                <c:formatCode>0</c:formatCode>
                <c:ptCount val="67"/>
                <c:pt idx="1">
                  <c:v>0</c:v>
                </c:pt>
                <c:pt idx="2">
                  <c:v>1.3433210784313725</c:v>
                </c:pt>
                <c:pt idx="3">
                  <c:v>2.8323907871972298</c:v>
                </c:pt>
                <c:pt idx="4">
                  <c:v>4.4720778525510534</c:v>
                </c:pt>
                <c:pt idx="5">
                  <c:v>6.2673958511058041</c:v>
                </c:pt>
                <c:pt idx="6">
                  <c:v>8.2235075017769432</c:v>
                </c:pt>
                <c:pt idx="7">
                  <c:v>10.345729083652596</c:v>
                </c:pt>
                <c:pt idx="8">
                  <c:v>12.639534983502243</c:v>
                </c:pt>
                <c:pt idx="9">
                  <c:v>15.110562376744101</c:v>
                </c:pt>
                <c:pt idx="10">
                  <c:v>17.764616045803916</c:v>
                </c:pt>
                <c:pt idx="11">
                  <c:v>20.607673339912992</c:v>
                </c:pt>
                <c:pt idx="12">
                  <c:v>23.645889280512684</c:v>
                </c:pt>
                <c:pt idx="13">
                  <c:v>26.885601816554562</c:v>
                </c:pt>
                <c:pt idx="14">
                  <c:v>30.333337234111784</c:v>
                </c:pt>
                <c:pt idx="15">
                  <c:v>33.995815724846878</c:v>
                </c:pt>
                <c:pt idx="16">
                  <c:v>37.879957118014609</c:v>
                </c:pt>
                <c:pt idx="17">
                  <c:v>41.99288678081632</c:v>
                </c:pt>
                <c:pt idx="18">
                  <c:v>46.341941692063216</c:v>
                </c:pt>
                <c:pt idx="19">
                  <c:v>50.934676694252424</c:v>
                </c:pt>
                <c:pt idx="20">
                  <c:v>55.778870929309136</c:v>
                </c:pt>
                <c:pt idx="21">
                  <c:v>60.882534463402536</c:v>
                </c:pt>
                <c:pt idx="22">
                  <c:v>66.253915106402644</c:v>
                </c:pt>
                <c:pt idx="23">
                  <c:v>71.901505431708301</c:v>
                </c:pt>
                <c:pt idx="24">
                  <c:v>77.834050002345236</c:v>
                </c:pt>
                <c:pt idx="25">
                  <c:v>84.060552809406431</c:v>
                </c:pt>
                <c:pt idx="26">
                  <c:v>90.590284929085684</c:v>
                </c:pt>
                <c:pt idx="27">
                  <c:v>97.432792404738763</c:v>
                </c:pt>
                <c:pt idx="28">
                  <c:v>104.59790436059583</c:v>
                </c:pt>
                <c:pt idx="29">
                  <c:v>112.09574135394358</c:v>
                </c:pt>
                <c:pt idx="30">
                  <c:v>119.93672397279593</c:v>
                </c:pt>
                <c:pt idx="31">
                  <c:v>128.13158168627854</c:v>
                </c:pt>
                <c:pt idx="32">
                  <c:v>136.69136195516424</c:v>
                </c:pt>
                <c:pt idx="33">
                  <c:v>145.62743961021667</c:v>
                </c:pt>
                <c:pt idx="34">
                  <c:v>154.95152650622236</c:v>
                </c:pt>
                <c:pt idx="35">
                  <c:v>164.67568145982514</c:v>
                </c:pt>
                <c:pt idx="36">
                  <c:v>174.81232047951403</c:v>
                </c:pt>
                <c:pt idx="37">
                  <c:v>185.37422729636233</c:v>
                </c:pt>
                <c:pt idx="38">
                  <c:v>196.37456420436715</c:v>
                </c:pt>
                <c:pt idx="39">
                  <c:v>207.82688321950033</c:v>
                </c:pt>
                <c:pt idx="40">
                  <c:v>209.67488708111142</c:v>
                </c:pt>
                <c:pt idx="41">
                  <c:v>211.55486141972679</c:v>
                </c:pt>
                <c:pt idx="42">
                  <c:v>213.46807569904936</c:v>
                </c:pt>
                <c:pt idx="43">
                  <c:v>215.41583187942575</c:v>
                </c:pt>
                <c:pt idx="44">
                  <c:v>217.39946544481572</c:v>
                </c:pt>
                <c:pt idx="45">
                  <c:v>222.25847881197387</c:v>
                </c:pt>
                <c:pt idx="46">
                  <c:v>227.23961983841048</c:v>
                </c:pt>
                <c:pt idx="47">
                  <c:v>232.34678616849513</c:v>
                </c:pt>
                <c:pt idx="48">
                  <c:v>237.58398558827136</c:v>
                </c:pt>
                <c:pt idx="49">
                  <c:v>242.95533933104252</c:v>
                </c:pt>
                <c:pt idx="50">
                  <c:v>248.46508547916218</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2-3DD8-4C89-94E7-24FE81755908}"/>
            </c:ext>
          </c:extLst>
        </c:ser>
        <c:ser>
          <c:idx val="3"/>
          <c:order val="3"/>
          <c:tx>
            <c:strRef>
              <c:f>Person2!$GN$5</c:f>
              <c:strCache>
                <c:ptCount val="1"/>
                <c:pt idx="0">
                  <c:v>Invest</c:v>
                </c:pt>
              </c:strCache>
            </c:strRef>
          </c:tx>
          <c:cat>
            <c:numRef>
              <c:f>Person2!$GJ$6:$GJ$72</c:f>
              <c:numCache>
                <c:formatCode>0</c:formatCode>
                <c:ptCount val="67"/>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pt idx="38">
                  <c:v>2054</c:v>
                </c:pt>
                <c:pt idx="39">
                  <c:v>2055</c:v>
                </c:pt>
                <c:pt idx="40">
                  <c:v>2056</c:v>
                </c:pt>
                <c:pt idx="41">
                  <c:v>2057</c:v>
                </c:pt>
                <c:pt idx="42">
                  <c:v>2058</c:v>
                </c:pt>
                <c:pt idx="43">
                  <c:v>2059</c:v>
                </c:pt>
                <c:pt idx="44">
                  <c:v>2060</c:v>
                </c:pt>
                <c:pt idx="45">
                  <c:v>2061</c:v>
                </c:pt>
                <c:pt idx="46">
                  <c:v>2062</c:v>
                </c:pt>
                <c:pt idx="47">
                  <c:v>2063</c:v>
                </c:pt>
                <c:pt idx="48">
                  <c:v>2064</c:v>
                </c:pt>
                <c:pt idx="49">
                  <c:v>2065</c:v>
                </c:pt>
                <c:pt idx="50">
                  <c:v>2066</c:v>
                </c:pt>
                <c:pt idx="51">
                  <c:v>2067</c:v>
                </c:pt>
                <c:pt idx="52">
                  <c:v>2068</c:v>
                </c:pt>
                <c:pt idx="53">
                  <c:v>2069</c:v>
                </c:pt>
                <c:pt idx="54">
                  <c:v>2070</c:v>
                </c:pt>
                <c:pt idx="55">
                  <c:v>2071</c:v>
                </c:pt>
                <c:pt idx="56">
                  <c:v>2072</c:v>
                </c:pt>
                <c:pt idx="57">
                  <c:v>2073</c:v>
                </c:pt>
                <c:pt idx="58">
                  <c:v>2074</c:v>
                </c:pt>
                <c:pt idx="59">
                  <c:v>2075</c:v>
                </c:pt>
                <c:pt idx="60">
                  <c:v>2076</c:v>
                </c:pt>
                <c:pt idx="61">
                  <c:v>2077</c:v>
                </c:pt>
                <c:pt idx="62">
                  <c:v>2078</c:v>
                </c:pt>
                <c:pt idx="63">
                  <c:v>2079</c:v>
                </c:pt>
                <c:pt idx="64">
                  <c:v>2080</c:v>
                </c:pt>
                <c:pt idx="65">
                  <c:v>2081</c:v>
                </c:pt>
                <c:pt idx="66">
                  <c:v>2082</c:v>
                </c:pt>
              </c:numCache>
            </c:numRef>
          </c:cat>
          <c:val>
            <c:numRef>
              <c:f>Person2!$GN$6:$GN$72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3-3DD8-4C89-94E7-24FE81755908}"/>
            </c:ext>
          </c:extLst>
        </c:ser>
        <c:dLbls>
          <c:showLegendKey val="0"/>
          <c:showVal val="0"/>
          <c:showCatName val="0"/>
          <c:showSerName val="0"/>
          <c:showPercent val="0"/>
          <c:showBubbleSize val="0"/>
        </c:dLbls>
        <c:axId val="874491776"/>
        <c:axId val="1"/>
      </c:areaChart>
      <c:catAx>
        <c:axId val="874491776"/>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en-CA"/>
                  <a:t>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4"/>
        <c:noMultiLvlLbl val="1"/>
      </c:catAx>
      <c:valAx>
        <c:axId val="1"/>
        <c:scaling>
          <c:orientation val="minMax"/>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CA"/>
                  <a:t>Account Balances ($k)</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74491776"/>
        <c:crosses val="autoZero"/>
        <c:crossBetween val="midCat"/>
      </c:valAx>
      <c:spPr>
        <a:ln>
          <a:solidFill>
            <a:schemeClr val="accent1"/>
          </a:solidFill>
        </a:ln>
      </c:spPr>
    </c:plotArea>
    <c:legend>
      <c:legendPos val="r"/>
      <c:layout>
        <c:manualLayout>
          <c:xMode val="edge"/>
          <c:yMode val="edge"/>
          <c:wMode val="edge"/>
          <c:hMode val="edge"/>
          <c:x val="0.9348591549295775"/>
          <c:y val="0.43412797992471769"/>
          <c:w val="0.99031690140845074"/>
          <c:h val="0.57716436637390212"/>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9.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8C30BAF-78F2-4698-BED2-DD35D946D16E}">
  <sheetPr codeName="Chart7"/>
  <sheetViews>
    <sheetView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B88BF5D-03D1-4DF6-B48E-E210691F4736}">
  <sheetPr codeName="Chart8"/>
  <sheetViews>
    <sheetView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622E62A-12D9-4B84-8F34-B19A4FE0AA62}">
  <sheetPr codeName="Chart3"/>
  <sheetViews>
    <sheetView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1EDD56C6-C531-4B33-91A6-B0C6241A7C64}">
  <sheetPr codeName="Chart4"/>
  <sheetViews>
    <sheetView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1FD30EE-6E5B-4014-87D7-2BF1B430DD10}">
  <sheetPr codeName="Chart5"/>
  <sheetViews>
    <sheetView workbookViewId="0"/>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E2C2F7D-A1D1-442A-BA1A-60A64849C576}">
  <sheetPr codeName="Chart6"/>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845820</xdr:colOff>
          <xdr:row>0</xdr:row>
          <xdr:rowOff>99060</xdr:rowOff>
        </xdr:from>
        <xdr:to>
          <xdr:col>1</xdr:col>
          <xdr:colOff>1996440</xdr:colOff>
          <xdr:row>1</xdr:row>
          <xdr:rowOff>144780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100-000004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Iterate Tax Rates</a:t>
              </a:r>
            </a:p>
          </xdr:txBody>
        </xdr:sp>
        <xdr:clientData fPrintsWithSheet="0"/>
      </xdr:twoCellAnchor>
    </mc:Choice>
    <mc:Fallback/>
  </mc:AlternateContent>
  <xdr:twoCellAnchor editAs="absolute">
    <xdr:from>
      <xdr:col>6</xdr:col>
      <xdr:colOff>22860</xdr:colOff>
      <xdr:row>9</xdr:row>
      <xdr:rowOff>0</xdr:rowOff>
    </xdr:from>
    <xdr:to>
      <xdr:col>15</xdr:col>
      <xdr:colOff>0</xdr:colOff>
      <xdr:row>27</xdr:row>
      <xdr:rowOff>160020</xdr:rowOff>
    </xdr:to>
    <xdr:graphicFrame macro="">
      <xdr:nvGraphicFramePr>
        <xdr:cNvPr id="1018768" name="Chart 4">
          <a:extLst>
            <a:ext uri="{FF2B5EF4-FFF2-40B4-BE49-F238E27FC236}">
              <a16:creationId xmlns:a16="http://schemas.microsoft.com/office/drawing/2014/main" id="{BD8CE4D4-583F-1638-EC4F-9A2BAFA815D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15</xdr:col>
      <xdr:colOff>0</xdr:colOff>
      <xdr:row>9</xdr:row>
      <xdr:rowOff>0</xdr:rowOff>
    </xdr:from>
    <xdr:to>
      <xdr:col>24</xdr:col>
      <xdr:colOff>0</xdr:colOff>
      <xdr:row>27</xdr:row>
      <xdr:rowOff>160020</xdr:rowOff>
    </xdr:to>
    <xdr:graphicFrame macro="">
      <xdr:nvGraphicFramePr>
        <xdr:cNvPr id="1018769" name="Chart 5">
          <a:extLst>
            <a:ext uri="{FF2B5EF4-FFF2-40B4-BE49-F238E27FC236}">
              <a16:creationId xmlns:a16="http://schemas.microsoft.com/office/drawing/2014/main" id="{557B190D-3C3D-5AF1-FB6E-A4897943008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22860</xdr:colOff>
      <xdr:row>29</xdr:row>
      <xdr:rowOff>7620</xdr:rowOff>
    </xdr:from>
    <xdr:to>
      <xdr:col>14</xdr:col>
      <xdr:colOff>601980</xdr:colOff>
      <xdr:row>46</xdr:row>
      <xdr:rowOff>160020</xdr:rowOff>
    </xdr:to>
    <xdr:graphicFrame macro="">
      <xdr:nvGraphicFramePr>
        <xdr:cNvPr id="1018770" name="Chart 4">
          <a:extLst>
            <a:ext uri="{FF2B5EF4-FFF2-40B4-BE49-F238E27FC236}">
              <a16:creationId xmlns:a16="http://schemas.microsoft.com/office/drawing/2014/main" id="{83784C7C-BAA4-64D2-CAA2-5E907913298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15</xdr:col>
      <xdr:colOff>0</xdr:colOff>
      <xdr:row>29</xdr:row>
      <xdr:rowOff>7620</xdr:rowOff>
    </xdr:from>
    <xdr:to>
      <xdr:col>24</xdr:col>
      <xdr:colOff>0</xdr:colOff>
      <xdr:row>46</xdr:row>
      <xdr:rowOff>160020</xdr:rowOff>
    </xdr:to>
    <xdr:graphicFrame macro="">
      <xdr:nvGraphicFramePr>
        <xdr:cNvPr id="1018771" name="Chart 5">
          <a:extLst>
            <a:ext uri="{FF2B5EF4-FFF2-40B4-BE49-F238E27FC236}">
              <a16:creationId xmlns:a16="http://schemas.microsoft.com/office/drawing/2014/main" id="{22E4307F-A6A3-1924-300C-A4D82E93780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1440180</xdr:colOff>
          <xdr:row>4</xdr:row>
          <xdr:rowOff>30480</xdr:rowOff>
        </xdr:from>
        <xdr:to>
          <xdr:col>1</xdr:col>
          <xdr:colOff>662940</xdr:colOff>
          <xdr:row>5</xdr:row>
          <xdr:rowOff>137160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Iterate Tax Rates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1424940</xdr:colOff>
          <xdr:row>4</xdr:row>
          <xdr:rowOff>30480</xdr:rowOff>
        </xdr:from>
        <xdr:to>
          <xdr:col>1</xdr:col>
          <xdr:colOff>647700</xdr:colOff>
          <xdr:row>5</xdr:row>
          <xdr:rowOff>137160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Iterate Tax Rates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8656320" cy="6073140"/>
    <xdr:graphicFrame macro="">
      <xdr:nvGraphicFramePr>
        <xdr:cNvPr id="2" name="Chart 1">
          <a:extLst>
            <a:ext uri="{FF2B5EF4-FFF2-40B4-BE49-F238E27FC236}">
              <a16:creationId xmlns:a16="http://schemas.microsoft.com/office/drawing/2014/main" id="{1F6268C4-93DB-8FEF-85E2-F2A47F49CFD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656320" cy="6073140"/>
    <xdr:graphicFrame macro="">
      <xdr:nvGraphicFramePr>
        <xdr:cNvPr id="2" name="Chart 1">
          <a:extLst>
            <a:ext uri="{FF2B5EF4-FFF2-40B4-BE49-F238E27FC236}">
              <a16:creationId xmlns:a16="http://schemas.microsoft.com/office/drawing/2014/main" id="{6D6F6A57-9038-2EDD-2883-6300E38F6E0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8656320" cy="6073140"/>
    <xdr:graphicFrame macro="">
      <xdr:nvGraphicFramePr>
        <xdr:cNvPr id="2" name="Chart 1">
          <a:extLst>
            <a:ext uri="{FF2B5EF4-FFF2-40B4-BE49-F238E27FC236}">
              <a16:creationId xmlns:a16="http://schemas.microsoft.com/office/drawing/2014/main" id="{ED7BDED0-BB86-8ACD-AED2-F11AB4EC957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56320" cy="6073140"/>
    <xdr:graphicFrame macro="">
      <xdr:nvGraphicFramePr>
        <xdr:cNvPr id="2" name="Chart 1">
          <a:extLst>
            <a:ext uri="{FF2B5EF4-FFF2-40B4-BE49-F238E27FC236}">
              <a16:creationId xmlns:a16="http://schemas.microsoft.com/office/drawing/2014/main" id="{1297A246-DF37-D2BA-4DE6-EDC04431BCD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56320" cy="6073140"/>
    <xdr:graphicFrame macro="">
      <xdr:nvGraphicFramePr>
        <xdr:cNvPr id="2" name="Chart 1">
          <a:extLst>
            <a:ext uri="{FF2B5EF4-FFF2-40B4-BE49-F238E27FC236}">
              <a16:creationId xmlns:a16="http://schemas.microsoft.com/office/drawing/2014/main" id="{929795FA-EBB9-0DF7-7D26-3691E0B2F1D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56320" cy="6073140"/>
    <xdr:graphicFrame macro="">
      <xdr:nvGraphicFramePr>
        <xdr:cNvPr id="2" name="Chart 1">
          <a:extLst>
            <a:ext uri="{FF2B5EF4-FFF2-40B4-BE49-F238E27FC236}">
              <a16:creationId xmlns:a16="http://schemas.microsoft.com/office/drawing/2014/main" id="{B89132E7-882A-11D3-B32D-4BCA17E1CD1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059D1-C8C5-455A-A4D1-18FC00ABE8A4}">
  <sheetPr codeName="Sheet1"/>
  <dimension ref="A1:D219"/>
  <sheetViews>
    <sheetView tabSelected="1" zoomScaleNormal="100" workbookViewId="0">
      <selection activeCell="B17" sqref="B17"/>
    </sheetView>
  </sheetViews>
  <sheetFormatPr defaultRowHeight="13.2" x14ac:dyDescent="0.25"/>
  <cols>
    <col min="1" max="1" width="10.33203125" customWidth="1"/>
  </cols>
  <sheetData>
    <row r="1" spans="1:2" ht="17.399999999999999" x14ac:dyDescent="0.3">
      <c r="A1" s="13" t="s">
        <v>711</v>
      </c>
    </row>
    <row r="2" spans="1:2" ht="12.75" customHeight="1" x14ac:dyDescent="0.25"/>
    <row r="3" spans="1:2" ht="12.75" customHeight="1" x14ac:dyDescent="0.25">
      <c r="A3" s="15" t="s">
        <v>213</v>
      </c>
      <c r="B3" s="26"/>
    </row>
    <row r="4" spans="1:2" ht="12.75" customHeight="1" x14ac:dyDescent="0.25">
      <c r="A4" s="15"/>
      <c r="B4" t="s">
        <v>708</v>
      </c>
    </row>
    <row r="5" spans="1:2" ht="12.75" customHeight="1" x14ac:dyDescent="0.25">
      <c r="A5" s="15"/>
      <c r="B5" s="26"/>
    </row>
    <row r="6" spans="1:2" ht="12.75" customHeight="1" x14ac:dyDescent="0.25">
      <c r="A6" s="15"/>
      <c r="B6" s="26" t="s">
        <v>214</v>
      </c>
    </row>
    <row r="7" spans="1:2" ht="12.75" customHeight="1" x14ac:dyDescent="0.25">
      <c r="A7" s="15"/>
      <c r="B7" s="26" t="s">
        <v>215</v>
      </c>
    </row>
    <row r="8" spans="1:2" ht="12.75" customHeight="1" x14ac:dyDescent="0.25">
      <c r="A8" s="15"/>
    </row>
    <row r="9" spans="1:2" ht="12.75" customHeight="1" x14ac:dyDescent="0.25">
      <c r="A9" s="15"/>
      <c r="B9" s="26" t="s">
        <v>216</v>
      </c>
    </row>
    <row r="10" spans="1:2" ht="12.75" customHeight="1" x14ac:dyDescent="0.25">
      <c r="A10" s="15"/>
      <c r="B10" s="26" t="s">
        <v>217</v>
      </c>
    </row>
    <row r="11" spans="1:2" ht="12.75" customHeight="1" x14ac:dyDescent="0.25">
      <c r="A11" s="15"/>
    </row>
    <row r="12" spans="1:2" ht="12.75" customHeight="1" x14ac:dyDescent="0.25">
      <c r="A12" s="15"/>
      <c r="B12" t="s">
        <v>464</v>
      </c>
    </row>
    <row r="13" spans="1:2" ht="12.75" customHeight="1" x14ac:dyDescent="0.25">
      <c r="A13" s="15"/>
    </row>
    <row r="14" spans="1:2" ht="12.75" customHeight="1" x14ac:dyDescent="0.25">
      <c r="A14" s="15"/>
      <c r="B14" t="s">
        <v>218</v>
      </c>
    </row>
    <row r="15" spans="1:2" ht="12.75" customHeight="1" x14ac:dyDescent="0.25">
      <c r="A15" s="15"/>
      <c r="B15" t="s">
        <v>707</v>
      </c>
    </row>
    <row r="16" spans="1:2" ht="12.75" customHeight="1" x14ac:dyDescent="0.25">
      <c r="A16" s="15"/>
      <c r="B16" t="s">
        <v>713</v>
      </c>
    </row>
    <row r="17" spans="1:2" ht="12.75" customHeight="1" x14ac:dyDescent="0.25">
      <c r="A17" s="15"/>
    </row>
    <row r="18" spans="1:2" ht="12.75" customHeight="1" x14ac:dyDescent="0.25">
      <c r="A18" s="15" t="s">
        <v>219</v>
      </c>
    </row>
    <row r="19" spans="1:2" ht="12.75" customHeight="1" x14ac:dyDescent="0.25">
      <c r="A19" s="15"/>
    </row>
    <row r="20" spans="1:2" ht="12.75" customHeight="1" x14ac:dyDescent="0.25">
      <c r="B20" t="s">
        <v>712</v>
      </c>
    </row>
    <row r="21" spans="1:2" ht="12.75" customHeight="1" x14ac:dyDescent="0.25"/>
    <row r="22" spans="1:2" ht="12.75" customHeight="1" x14ac:dyDescent="0.25">
      <c r="A22" s="15" t="s">
        <v>181</v>
      </c>
    </row>
    <row r="23" spans="1:2" ht="12.75" customHeight="1" x14ac:dyDescent="0.25"/>
    <row r="24" spans="1:2" ht="12.75" customHeight="1" x14ac:dyDescent="0.25">
      <c r="B24" t="s">
        <v>183</v>
      </c>
    </row>
    <row r="25" spans="1:2" ht="12.75" customHeight="1" x14ac:dyDescent="0.25">
      <c r="B25" t="s">
        <v>509</v>
      </c>
    </row>
    <row r="26" spans="1:2" ht="12.75" customHeight="1" x14ac:dyDescent="0.25">
      <c r="B26" t="s">
        <v>510</v>
      </c>
    </row>
    <row r="27" spans="1:2" ht="12.75" customHeight="1" x14ac:dyDescent="0.25">
      <c r="B27" t="s">
        <v>511</v>
      </c>
    </row>
    <row r="28" spans="1:2" ht="12.75" customHeight="1" x14ac:dyDescent="0.25">
      <c r="B28" t="s">
        <v>182</v>
      </c>
    </row>
    <row r="29" spans="1:2" ht="12.75" customHeight="1" x14ac:dyDescent="0.25">
      <c r="B29" t="s">
        <v>512</v>
      </c>
    </row>
    <row r="30" spans="1:2" ht="12.75" customHeight="1" x14ac:dyDescent="0.25">
      <c r="B30" t="s">
        <v>246</v>
      </c>
    </row>
    <row r="31" spans="1:2" ht="12.75" customHeight="1" x14ac:dyDescent="0.25"/>
    <row r="32" spans="1:2" ht="12.75" customHeight="1" x14ac:dyDescent="0.25">
      <c r="A32" s="15" t="s">
        <v>146</v>
      </c>
    </row>
    <row r="33" spans="1:2" ht="12.75" customHeight="1" x14ac:dyDescent="0.25"/>
    <row r="34" spans="1:2" ht="12.75" customHeight="1" x14ac:dyDescent="0.25">
      <c r="A34" s="8"/>
      <c r="B34" t="s">
        <v>299</v>
      </c>
    </row>
    <row r="35" spans="1:2" ht="12.75" customHeight="1" x14ac:dyDescent="0.25"/>
    <row r="36" spans="1:2" ht="12.75" customHeight="1" x14ac:dyDescent="0.25">
      <c r="B36" t="s">
        <v>292</v>
      </c>
    </row>
    <row r="37" spans="1:2" ht="12.75" customHeight="1" x14ac:dyDescent="0.25">
      <c r="B37" t="s">
        <v>145</v>
      </c>
    </row>
    <row r="38" spans="1:2" ht="12.75" customHeight="1" x14ac:dyDescent="0.25">
      <c r="B38" t="s">
        <v>291</v>
      </c>
    </row>
    <row r="39" spans="1:2" ht="12.75" customHeight="1" x14ac:dyDescent="0.25">
      <c r="B39" t="s">
        <v>341</v>
      </c>
    </row>
    <row r="40" spans="1:2" ht="12.75" customHeight="1" x14ac:dyDescent="0.25">
      <c r="B40" t="s">
        <v>513</v>
      </c>
    </row>
    <row r="41" spans="1:2" ht="12.75" customHeight="1" x14ac:dyDescent="0.25">
      <c r="B41" t="s">
        <v>514</v>
      </c>
    </row>
    <row r="42" spans="1:2" ht="12.75" customHeight="1" x14ac:dyDescent="0.25">
      <c r="B42" t="s">
        <v>515</v>
      </c>
    </row>
    <row r="43" spans="1:2" ht="12.75" customHeight="1" x14ac:dyDescent="0.25">
      <c r="B43" t="s">
        <v>270</v>
      </c>
    </row>
    <row r="44" spans="1:2" ht="12.75" customHeight="1" x14ac:dyDescent="0.25">
      <c r="B44" t="s">
        <v>293</v>
      </c>
    </row>
    <row r="45" spans="1:2" ht="12.75" customHeight="1" x14ac:dyDescent="0.25">
      <c r="B45" t="s">
        <v>294</v>
      </c>
    </row>
    <row r="46" spans="1:2" ht="12.75" customHeight="1" x14ac:dyDescent="0.25">
      <c r="B46" t="s">
        <v>340</v>
      </c>
    </row>
    <row r="47" spans="1:2" ht="12.75" customHeight="1" x14ac:dyDescent="0.25">
      <c r="B47" t="s">
        <v>516</v>
      </c>
    </row>
    <row r="48" spans="1:2" ht="12.75" customHeight="1" x14ac:dyDescent="0.25"/>
    <row r="49" spans="1:3" ht="12.75" customHeight="1" x14ac:dyDescent="0.25">
      <c r="A49" s="15" t="s">
        <v>296</v>
      </c>
    </row>
    <row r="50" spans="1:3" ht="12.75" customHeight="1" x14ac:dyDescent="0.25">
      <c r="A50" s="15"/>
    </row>
    <row r="51" spans="1:3" ht="12.75" customHeight="1" x14ac:dyDescent="0.25">
      <c r="A51" s="15"/>
      <c r="B51" t="s">
        <v>247</v>
      </c>
    </row>
    <row r="52" spans="1:3" ht="12.75" customHeight="1" x14ac:dyDescent="0.25">
      <c r="A52" s="15"/>
      <c r="C52" t="s">
        <v>517</v>
      </c>
    </row>
    <row r="53" spans="1:3" ht="12.75" customHeight="1" x14ac:dyDescent="0.25">
      <c r="A53" s="15"/>
      <c r="C53" t="s">
        <v>555</v>
      </c>
    </row>
    <row r="54" spans="1:3" ht="12.75" customHeight="1" x14ac:dyDescent="0.25">
      <c r="A54" s="15"/>
      <c r="C54" t="s">
        <v>556</v>
      </c>
    </row>
    <row r="55" spans="1:3" ht="12.75" customHeight="1" x14ac:dyDescent="0.25">
      <c r="A55" s="15"/>
      <c r="C55" t="s">
        <v>519</v>
      </c>
    </row>
    <row r="56" spans="1:3" ht="12.75" customHeight="1" x14ac:dyDescent="0.25">
      <c r="A56" s="15"/>
      <c r="C56" t="s">
        <v>518</v>
      </c>
    </row>
    <row r="57" spans="1:3" ht="12.75" customHeight="1" x14ac:dyDescent="0.25">
      <c r="A57" s="15"/>
      <c r="C57" t="s">
        <v>248</v>
      </c>
    </row>
    <row r="58" spans="1:3" ht="12.75" customHeight="1" x14ac:dyDescent="0.25">
      <c r="A58" s="15"/>
      <c r="C58" t="s">
        <v>520</v>
      </c>
    </row>
    <row r="59" spans="1:3" ht="12.75" customHeight="1" x14ac:dyDescent="0.25">
      <c r="A59" s="15"/>
      <c r="B59" t="s">
        <v>249</v>
      </c>
    </row>
    <row r="60" spans="1:3" ht="12.75" customHeight="1" x14ac:dyDescent="0.25">
      <c r="A60" s="15"/>
      <c r="C60" t="s">
        <v>250</v>
      </c>
    </row>
    <row r="61" spans="1:3" ht="12.75" customHeight="1" x14ac:dyDescent="0.25">
      <c r="A61" s="15"/>
      <c r="C61" t="s">
        <v>251</v>
      </c>
    </row>
    <row r="62" spans="1:3" ht="12.75" customHeight="1" x14ac:dyDescent="0.25">
      <c r="A62" s="15"/>
      <c r="C62" t="s">
        <v>521</v>
      </c>
    </row>
    <row r="63" spans="1:3" ht="12.75" customHeight="1" x14ac:dyDescent="0.25">
      <c r="A63" s="15"/>
      <c r="C63" t="s">
        <v>522</v>
      </c>
    </row>
    <row r="64" spans="1:3" ht="12.75" customHeight="1" x14ac:dyDescent="0.25">
      <c r="A64" s="15"/>
      <c r="C64" t="s">
        <v>252</v>
      </c>
    </row>
    <row r="65" spans="1:4" ht="12.75" customHeight="1" x14ac:dyDescent="0.25">
      <c r="A65" s="15"/>
      <c r="C65" t="s">
        <v>523</v>
      </c>
    </row>
    <row r="66" spans="1:4" ht="12.75" customHeight="1" x14ac:dyDescent="0.25">
      <c r="A66" s="15"/>
      <c r="C66" t="s">
        <v>524</v>
      </c>
    </row>
    <row r="67" spans="1:4" ht="12.75" customHeight="1" x14ac:dyDescent="0.25">
      <c r="A67" s="15"/>
      <c r="C67" t="s">
        <v>409</v>
      </c>
    </row>
    <row r="68" spans="1:4" ht="12.75" customHeight="1" x14ac:dyDescent="0.25">
      <c r="A68" s="15"/>
      <c r="C68" t="s">
        <v>410</v>
      </c>
    </row>
    <row r="69" spans="1:4" ht="12.75" customHeight="1" x14ac:dyDescent="0.25">
      <c r="A69" s="15"/>
      <c r="C69" t="s">
        <v>323</v>
      </c>
    </row>
    <row r="70" spans="1:4" ht="12.75" customHeight="1" x14ac:dyDescent="0.25">
      <c r="A70" s="15"/>
      <c r="C70" t="s">
        <v>373</v>
      </c>
    </row>
    <row r="71" spans="1:4" ht="12.75" customHeight="1" x14ac:dyDescent="0.25">
      <c r="A71" s="15"/>
      <c r="B71" t="s">
        <v>297</v>
      </c>
    </row>
    <row r="72" spans="1:4" ht="12.75" customHeight="1" x14ac:dyDescent="0.25">
      <c r="A72" s="15"/>
      <c r="C72" t="s">
        <v>325</v>
      </c>
    </row>
    <row r="73" spans="1:4" ht="12.75" customHeight="1" x14ac:dyDescent="0.25">
      <c r="A73" s="15"/>
      <c r="C73" t="s">
        <v>324</v>
      </c>
    </row>
    <row r="74" spans="1:4" ht="12.75" customHeight="1" x14ac:dyDescent="0.25">
      <c r="A74" s="15"/>
      <c r="D74" t="s">
        <v>411</v>
      </c>
    </row>
    <row r="75" spans="1:4" ht="12.75" customHeight="1" x14ac:dyDescent="0.25">
      <c r="A75" s="15"/>
      <c r="C75" t="s">
        <v>412</v>
      </c>
    </row>
    <row r="76" spans="1:4" ht="12.75" customHeight="1" x14ac:dyDescent="0.25">
      <c r="A76" s="15"/>
      <c r="C76" t="s">
        <v>253</v>
      </c>
    </row>
    <row r="77" spans="1:4" ht="12.75" customHeight="1" x14ac:dyDescent="0.25">
      <c r="A77" s="15"/>
      <c r="D77" t="s">
        <v>254</v>
      </c>
    </row>
    <row r="78" spans="1:4" ht="12.75" customHeight="1" x14ac:dyDescent="0.25">
      <c r="D78" t="s">
        <v>255</v>
      </c>
    </row>
    <row r="79" spans="1:4" ht="12.75" customHeight="1" x14ac:dyDescent="0.25">
      <c r="D79" t="s">
        <v>396</v>
      </c>
    </row>
    <row r="80" spans="1:4" ht="12.75" customHeight="1" x14ac:dyDescent="0.25"/>
    <row r="81" spans="1:2" ht="12.75" customHeight="1" x14ac:dyDescent="0.25">
      <c r="A81" s="8"/>
      <c r="B81" t="s">
        <v>299</v>
      </c>
    </row>
    <row r="82" spans="1:2" ht="12.75" customHeight="1" x14ac:dyDescent="0.25">
      <c r="B82" t="s">
        <v>271</v>
      </c>
    </row>
    <row r="83" spans="1:2" ht="12.75" customHeight="1" x14ac:dyDescent="0.25">
      <c r="A83" s="27"/>
      <c r="B83" t="s">
        <v>272</v>
      </c>
    </row>
    <row r="84" spans="1:2" ht="12.75" customHeight="1" x14ac:dyDescent="0.25">
      <c r="A84" s="62"/>
      <c r="B84" t="s">
        <v>298</v>
      </c>
    </row>
    <row r="85" spans="1:2" ht="12.75" customHeight="1" x14ac:dyDescent="0.25"/>
    <row r="86" spans="1:2" ht="12.75" customHeight="1" x14ac:dyDescent="0.25"/>
    <row r="87" spans="1:2" ht="12.75" customHeight="1" x14ac:dyDescent="0.25"/>
    <row r="88" spans="1:2" ht="12.75" customHeight="1" x14ac:dyDescent="0.25">
      <c r="A88" s="15" t="s">
        <v>263</v>
      </c>
    </row>
    <row r="89" spans="1:2" ht="12.75" customHeight="1" x14ac:dyDescent="0.25">
      <c r="A89" s="15"/>
    </row>
    <row r="90" spans="1:2" ht="12.75" customHeight="1" x14ac:dyDescent="0.25">
      <c r="A90" s="15"/>
      <c r="B90" t="s">
        <v>256</v>
      </c>
    </row>
    <row r="91" spans="1:2" ht="12.75" customHeight="1" x14ac:dyDescent="0.25">
      <c r="A91" s="15"/>
      <c r="B91" t="s">
        <v>413</v>
      </c>
    </row>
    <row r="92" spans="1:2" ht="12.75" customHeight="1" x14ac:dyDescent="0.25">
      <c r="A92" s="15"/>
      <c r="B92" t="s">
        <v>525</v>
      </c>
    </row>
    <row r="93" spans="1:2" ht="12.75" customHeight="1" x14ac:dyDescent="0.25">
      <c r="A93" s="15"/>
      <c r="B93" t="s">
        <v>526</v>
      </c>
    </row>
    <row r="94" spans="1:2" ht="12.75" customHeight="1" x14ac:dyDescent="0.25">
      <c r="A94" s="15"/>
      <c r="B94" t="s">
        <v>527</v>
      </c>
    </row>
    <row r="95" spans="1:2" ht="12.75" customHeight="1" x14ac:dyDescent="0.25">
      <c r="A95" s="15"/>
      <c r="B95" t="s">
        <v>528</v>
      </c>
    </row>
    <row r="96" spans="1:2" ht="12.75" customHeight="1" x14ac:dyDescent="0.25">
      <c r="A96" s="15"/>
      <c r="B96" t="s">
        <v>376</v>
      </c>
    </row>
    <row r="97" spans="1:3" ht="12.75" customHeight="1" x14ac:dyDescent="0.25">
      <c r="A97" s="15"/>
      <c r="B97" t="s">
        <v>374</v>
      </c>
    </row>
    <row r="98" spans="1:3" ht="12.75" customHeight="1" x14ac:dyDescent="0.25">
      <c r="A98" s="15"/>
      <c r="B98" t="s">
        <v>375</v>
      </c>
    </row>
    <row r="99" spans="1:3" ht="12.75" customHeight="1" x14ac:dyDescent="0.25">
      <c r="A99" s="15"/>
      <c r="B99" t="s">
        <v>257</v>
      </c>
    </row>
    <row r="100" spans="1:3" ht="12.75" customHeight="1" x14ac:dyDescent="0.25">
      <c r="A100" s="15"/>
      <c r="C100" t="s">
        <v>258</v>
      </c>
    </row>
    <row r="101" spans="1:3" ht="12.75" customHeight="1" x14ac:dyDescent="0.25">
      <c r="A101" s="15"/>
      <c r="C101" t="s">
        <v>414</v>
      </c>
    </row>
    <row r="102" spans="1:3" ht="12.75" customHeight="1" x14ac:dyDescent="0.25">
      <c r="A102" s="15"/>
      <c r="C102" t="s">
        <v>529</v>
      </c>
    </row>
    <row r="103" spans="1:3" ht="12.75" customHeight="1" x14ac:dyDescent="0.25">
      <c r="A103" s="15"/>
      <c r="B103" t="s">
        <v>476</v>
      </c>
    </row>
    <row r="104" spans="1:3" ht="12.75" customHeight="1" x14ac:dyDescent="0.25">
      <c r="A104" s="15"/>
      <c r="B104" t="s">
        <v>300</v>
      </c>
    </row>
    <row r="105" spans="1:3" ht="12.75" customHeight="1" x14ac:dyDescent="0.25">
      <c r="A105" s="15"/>
      <c r="B105" t="s">
        <v>259</v>
      </c>
    </row>
    <row r="106" spans="1:3" ht="12.75" customHeight="1" x14ac:dyDescent="0.25">
      <c r="A106" s="15"/>
      <c r="B106" t="s">
        <v>260</v>
      </c>
    </row>
    <row r="107" spans="1:3" ht="12.75" customHeight="1" x14ac:dyDescent="0.25">
      <c r="A107" s="15"/>
      <c r="B107" t="s">
        <v>261</v>
      </c>
    </row>
    <row r="108" spans="1:3" ht="12.75" customHeight="1" x14ac:dyDescent="0.25">
      <c r="A108" s="15"/>
      <c r="B108" t="s">
        <v>702</v>
      </c>
    </row>
    <row r="109" spans="1:3" ht="12.75" customHeight="1" x14ac:dyDescent="0.25">
      <c r="A109" s="15"/>
      <c r="B109" t="s">
        <v>377</v>
      </c>
    </row>
    <row r="110" spans="1:3" ht="12.75" customHeight="1" x14ac:dyDescent="0.25">
      <c r="A110" s="15"/>
      <c r="B110" t="s">
        <v>262</v>
      </c>
    </row>
    <row r="111" spans="1:3" ht="12.75" customHeight="1" x14ac:dyDescent="0.25">
      <c r="A111" s="15"/>
      <c r="B111" t="s">
        <v>326</v>
      </c>
    </row>
    <row r="112" spans="1:3" ht="12.75" customHeight="1" x14ac:dyDescent="0.25">
      <c r="A112" s="15"/>
      <c r="B112" t="s">
        <v>327</v>
      </c>
    </row>
    <row r="113" spans="1:4" ht="12.75" customHeight="1" x14ac:dyDescent="0.25">
      <c r="A113" s="15"/>
      <c r="B113" t="s">
        <v>415</v>
      </c>
    </row>
    <row r="114" spans="1:4" ht="12.75" customHeight="1" x14ac:dyDescent="0.25">
      <c r="A114" s="15"/>
    </row>
    <row r="115" spans="1:4" ht="12.75" customHeight="1" x14ac:dyDescent="0.25">
      <c r="A115" s="15" t="s">
        <v>264</v>
      </c>
    </row>
    <row r="116" spans="1:4" ht="12.75" customHeight="1" x14ac:dyDescent="0.25">
      <c r="A116" s="15"/>
      <c r="B116" t="s">
        <v>397</v>
      </c>
    </row>
    <row r="117" spans="1:4" ht="12.75" customHeight="1" x14ac:dyDescent="0.25">
      <c r="A117" s="15"/>
      <c r="B117" t="s">
        <v>265</v>
      </c>
    </row>
    <row r="118" spans="1:4" ht="12.75" customHeight="1" x14ac:dyDescent="0.25">
      <c r="A118" s="15"/>
      <c r="B118" t="s">
        <v>402</v>
      </c>
    </row>
    <row r="119" spans="1:4" ht="12.75" customHeight="1" x14ac:dyDescent="0.25">
      <c r="A119" s="15"/>
      <c r="B119" t="s">
        <v>404</v>
      </c>
    </row>
    <row r="120" spans="1:4" ht="12.75" customHeight="1" x14ac:dyDescent="0.25">
      <c r="A120" s="15"/>
      <c r="B120" t="s">
        <v>403</v>
      </c>
    </row>
    <row r="121" spans="1:4" ht="12.75" customHeight="1" x14ac:dyDescent="0.25">
      <c r="A121" s="15"/>
      <c r="B121" t="s">
        <v>585</v>
      </c>
    </row>
    <row r="122" spans="1:4" ht="12.75" customHeight="1" x14ac:dyDescent="0.25"/>
    <row r="123" spans="1:4" ht="12.75" customHeight="1" x14ac:dyDescent="0.25">
      <c r="A123" s="15" t="s">
        <v>490</v>
      </c>
    </row>
    <row r="124" spans="1:4" ht="12.75" customHeight="1" x14ac:dyDescent="0.25">
      <c r="A124" s="86" t="s">
        <v>557</v>
      </c>
      <c r="B124" t="s">
        <v>163</v>
      </c>
    </row>
    <row r="125" spans="1:4" ht="12.75" customHeight="1" x14ac:dyDescent="0.25">
      <c r="C125" t="s">
        <v>491</v>
      </c>
    </row>
    <row r="126" spans="1:4" ht="12.75" customHeight="1" x14ac:dyDescent="0.25">
      <c r="D126" t="s">
        <v>492</v>
      </c>
    </row>
    <row r="127" spans="1:4" ht="12.75" customHeight="1" x14ac:dyDescent="0.25">
      <c r="D127" t="s">
        <v>493</v>
      </c>
    </row>
    <row r="128" spans="1:4" ht="12.75" customHeight="1" x14ac:dyDescent="0.25">
      <c r="D128" t="s">
        <v>494</v>
      </c>
    </row>
    <row r="129" spans="1:4" ht="12.75" customHeight="1" x14ac:dyDescent="0.25">
      <c r="D129" t="s">
        <v>496</v>
      </c>
    </row>
    <row r="130" spans="1:4" ht="12.75" customHeight="1" x14ac:dyDescent="0.25">
      <c r="D130" t="s">
        <v>495</v>
      </c>
    </row>
    <row r="131" spans="1:4" ht="12.75" customHeight="1" x14ac:dyDescent="0.25">
      <c r="C131" t="s">
        <v>497</v>
      </c>
    </row>
    <row r="132" spans="1:4" ht="12.75" customHeight="1" x14ac:dyDescent="0.25">
      <c r="D132" t="s">
        <v>498</v>
      </c>
    </row>
    <row r="133" spans="1:4" ht="12.75" customHeight="1" x14ac:dyDescent="0.25">
      <c r="C133" t="s">
        <v>507</v>
      </c>
    </row>
    <row r="134" spans="1:4" ht="12.75" customHeight="1" x14ac:dyDescent="0.25">
      <c r="B134" t="s">
        <v>211</v>
      </c>
    </row>
    <row r="135" spans="1:4" ht="12.75" customHeight="1" x14ac:dyDescent="0.25">
      <c r="C135" t="s">
        <v>508</v>
      </c>
    </row>
    <row r="136" spans="1:4" ht="12.75" customHeight="1" x14ac:dyDescent="0.25"/>
    <row r="137" spans="1:4" ht="12.75" customHeight="1" x14ac:dyDescent="0.25">
      <c r="A137" s="15" t="s">
        <v>564</v>
      </c>
    </row>
    <row r="138" spans="1:4" ht="12.75" customHeight="1" x14ac:dyDescent="0.25">
      <c r="A138" s="86" t="s">
        <v>575</v>
      </c>
      <c r="B138" t="s">
        <v>163</v>
      </c>
    </row>
    <row r="139" spans="1:4" ht="12.75" customHeight="1" x14ac:dyDescent="0.25">
      <c r="C139" t="s">
        <v>579</v>
      </c>
    </row>
    <row r="140" spans="1:4" ht="12.75" customHeight="1" x14ac:dyDescent="0.25">
      <c r="C140" t="s">
        <v>576</v>
      </c>
    </row>
    <row r="141" spans="1:4" ht="12.75" customHeight="1" x14ac:dyDescent="0.25">
      <c r="C141" t="s">
        <v>577</v>
      </c>
    </row>
    <row r="142" spans="1:4" ht="12.75" customHeight="1" x14ac:dyDescent="0.25">
      <c r="C142" t="s">
        <v>578</v>
      </c>
    </row>
    <row r="143" spans="1:4" ht="12.75" customHeight="1" x14ac:dyDescent="0.25"/>
    <row r="144" spans="1:4" ht="12.75" customHeight="1" x14ac:dyDescent="0.25">
      <c r="A144" s="15" t="s">
        <v>586</v>
      </c>
    </row>
    <row r="145" spans="1:3" ht="12.75" customHeight="1" x14ac:dyDescent="0.25">
      <c r="A145" s="86" t="s">
        <v>595</v>
      </c>
      <c r="B145" t="s">
        <v>163</v>
      </c>
    </row>
    <row r="146" spans="1:3" ht="12.75" customHeight="1" x14ac:dyDescent="0.25">
      <c r="C146" t="s">
        <v>589</v>
      </c>
    </row>
    <row r="147" spans="1:3" ht="12.75" customHeight="1" x14ac:dyDescent="0.25">
      <c r="C147" t="s">
        <v>590</v>
      </c>
    </row>
    <row r="148" spans="1:3" ht="12.75" customHeight="1" x14ac:dyDescent="0.25">
      <c r="C148" t="s">
        <v>591</v>
      </c>
    </row>
    <row r="149" spans="1:3" ht="12.75" customHeight="1" x14ac:dyDescent="0.25">
      <c r="B149" t="s">
        <v>211</v>
      </c>
    </row>
    <row r="150" spans="1:3" ht="12.75" customHeight="1" x14ac:dyDescent="0.25">
      <c r="C150" t="s">
        <v>587</v>
      </c>
    </row>
    <row r="151" spans="1:3" ht="12.75" customHeight="1" x14ac:dyDescent="0.25">
      <c r="C151" t="s">
        <v>588</v>
      </c>
    </row>
    <row r="152" spans="1:3" ht="12.75" customHeight="1" x14ac:dyDescent="0.25"/>
    <row r="153" spans="1:3" ht="12.75" customHeight="1" x14ac:dyDescent="0.25">
      <c r="A153" s="15" t="s">
        <v>597</v>
      </c>
    </row>
    <row r="154" spans="1:3" ht="12.75" customHeight="1" x14ac:dyDescent="0.25">
      <c r="A154" s="86" t="s">
        <v>611</v>
      </c>
      <c r="B154" t="s">
        <v>163</v>
      </c>
    </row>
    <row r="155" spans="1:3" ht="12.75" customHeight="1" x14ac:dyDescent="0.25">
      <c r="C155" t="s">
        <v>599</v>
      </c>
    </row>
    <row r="156" spans="1:3" ht="12.75" customHeight="1" x14ac:dyDescent="0.25">
      <c r="C156" t="s">
        <v>600</v>
      </c>
    </row>
    <row r="157" spans="1:3" ht="12.75" customHeight="1" x14ac:dyDescent="0.25">
      <c r="C157" t="s">
        <v>603</v>
      </c>
    </row>
    <row r="158" spans="1:3" ht="12.75" customHeight="1" x14ac:dyDescent="0.25">
      <c r="C158" t="s">
        <v>604</v>
      </c>
    </row>
    <row r="159" spans="1:3" ht="12.75" customHeight="1" x14ac:dyDescent="0.25">
      <c r="B159" t="s">
        <v>211</v>
      </c>
    </row>
    <row r="160" spans="1:3" ht="12.75" customHeight="1" x14ac:dyDescent="0.25">
      <c r="C160" t="s">
        <v>598</v>
      </c>
    </row>
    <row r="161" spans="1:3" ht="12.75" customHeight="1" x14ac:dyDescent="0.25">
      <c r="C161" t="s">
        <v>609</v>
      </c>
    </row>
    <row r="162" spans="1:3" ht="12.75" customHeight="1" x14ac:dyDescent="0.25"/>
    <row r="163" spans="1:3" ht="12.75" customHeight="1" x14ac:dyDescent="0.25">
      <c r="A163" s="15" t="s">
        <v>620</v>
      </c>
    </row>
    <row r="164" spans="1:3" ht="12.75" customHeight="1" x14ac:dyDescent="0.25">
      <c r="A164" s="86" t="s">
        <v>625</v>
      </c>
      <c r="B164" t="s">
        <v>163</v>
      </c>
    </row>
    <row r="165" spans="1:3" ht="12.75" customHeight="1" x14ac:dyDescent="0.25">
      <c r="A165" s="86"/>
      <c r="C165" t="s">
        <v>623</v>
      </c>
    </row>
    <row r="166" spans="1:3" ht="12.75" customHeight="1" x14ac:dyDescent="0.25">
      <c r="A166" s="86"/>
      <c r="C166" t="s">
        <v>624</v>
      </c>
    </row>
    <row r="167" spans="1:3" ht="12.75" customHeight="1" x14ac:dyDescent="0.25">
      <c r="A167" s="86"/>
    </row>
    <row r="168" spans="1:3" ht="12.75" customHeight="1" x14ac:dyDescent="0.25">
      <c r="A168" s="86" t="s">
        <v>669</v>
      </c>
    </row>
    <row r="169" spans="1:3" ht="12.75" customHeight="1" x14ac:dyDescent="0.25">
      <c r="A169" s="86" t="s">
        <v>626</v>
      </c>
      <c r="B169" t="s">
        <v>163</v>
      </c>
    </row>
    <row r="170" spans="1:3" ht="12.75" customHeight="1" x14ac:dyDescent="0.25">
      <c r="A170" s="86"/>
      <c r="C170" t="s">
        <v>675</v>
      </c>
    </row>
    <row r="171" spans="1:3" ht="12.75" customHeight="1" x14ac:dyDescent="0.25">
      <c r="A171" s="86"/>
      <c r="C171" t="s">
        <v>670</v>
      </c>
    </row>
    <row r="172" spans="1:3" ht="12.75" customHeight="1" x14ac:dyDescent="0.25">
      <c r="A172" s="86"/>
      <c r="C172" t="s">
        <v>664</v>
      </c>
    </row>
    <row r="173" spans="1:3" ht="12.75" customHeight="1" x14ac:dyDescent="0.25">
      <c r="A173" s="86"/>
      <c r="C173" t="s">
        <v>665</v>
      </c>
    </row>
    <row r="174" spans="1:3" ht="12.75" customHeight="1" x14ac:dyDescent="0.25">
      <c r="A174" s="86"/>
      <c r="C174" t="s">
        <v>666</v>
      </c>
    </row>
    <row r="175" spans="1:3" ht="12.75" customHeight="1" x14ac:dyDescent="0.25">
      <c r="A175" s="86"/>
      <c r="C175" t="s">
        <v>667</v>
      </c>
    </row>
    <row r="176" spans="1:3" ht="12.75" customHeight="1" x14ac:dyDescent="0.25">
      <c r="A176" s="86"/>
      <c r="C176" t="s">
        <v>674</v>
      </c>
    </row>
    <row r="177" spans="1:3" ht="12.75" customHeight="1" x14ac:dyDescent="0.25">
      <c r="A177" s="86"/>
      <c r="C177" t="s">
        <v>668</v>
      </c>
    </row>
    <row r="178" spans="1:3" ht="12.75" customHeight="1" x14ac:dyDescent="0.25">
      <c r="A178" s="86"/>
      <c r="C178" t="s">
        <v>671</v>
      </c>
    </row>
    <row r="179" spans="1:3" ht="12.75" customHeight="1" x14ac:dyDescent="0.25">
      <c r="A179" s="86"/>
      <c r="B179" t="s">
        <v>211</v>
      </c>
    </row>
    <row r="180" spans="1:3" ht="12.75" customHeight="1" x14ac:dyDescent="0.25">
      <c r="A180" s="86"/>
      <c r="C180" t="s">
        <v>627</v>
      </c>
    </row>
    <row r="181" spans="1:3" ht="12.75" customHeight="1" x14ac:dyDescent="0.25">
      <c r="A181" s="86"/>
    </row>
    <row r="182" spans="1:3" ht="12.75" customHeight="1" x14ac:dyDescent="0.25">
      <c r="A182" s="86" t="s">
        <v>694</v>
      </c>
    </row>
    <row r="183" spans="1:3" ht="12.75" customHeight="1" x14ac:dyDescent="0.25">
      <c r="A183" s="86" t="s">
        <v>693</v>
      </c>
      <c r="B183" t="s">
        <v>163</v>
      </c>
    </row>
    <row r="184" spans="1:3" ht="12.75" customHeight="1" x14ac:dyDescent="0.25">
      <c r="A184" s="86"/>
      <c r="C184" t="s">
        <v>691</v>
      </c>
    </row>
    <row r="185" spans="1:3" ht="12.75" customHeight="1" x14ac:dyDescent="0.25">
      <c r="A185" s="86"/>
      <c r="C185" t="s">
        <v>692</v>
      </c>
    </row>
    <row r="186" spans="1:3" ht="12.75" customHeight="1" x14ac:dyDescent="0.25">
      <c r="A186" s="86"/>
      <c r="C186" t="s">
        <v>701</v>
      </c>
    </row>
    <row r="187" spans="1:3" ht="12.75" customHeight="1" x14ac:dyDescent="0.25">
      <c r="A187" s="86"/>
    </row>
    <row r="188" spans="1:3" ht="12.75" customHeight="1" x14ac:dyDescent="0.25">
      <c r="A188" s="86" t="s">
        <v>703</v>
      </c>
    </row>
    <row r="189" spans="1:3" ht="12.75" customHeight="1" x14ac:dyDescent="0.25">
      <c r="A189" s="86" t="s">
        <v>704</v>
      </c>
    </row>
    <row r="190" spans="1:3" ht="12.75" customHeight="1" x14ac:dyDescent="0.25">
      <c r="A190" s="86"/>
      <c r="C190" t="s">
        <v>705</v>
      </c>
    </row>
    <row r="191" spans="1:3" ht="12.75" customHeight="1" x14ac:dyDescent="0.25">
      <c r="A191" s="86"/>
    </row>
    <row r="192" spans="1:3" ht="12.75" customHeight="1" x14ac:dyDescent="0.25">
      <c r="A192" s="86" t="s">
        <v>709</v>
      </c>
    </row>
    <row r="193" spans="1:3" ht="12.75" customHeight="1" x14ac:dyDescent="0.25">
      <c r="A193" s="103">
        <v>45673</v>
      </c>
      <c r="B193" t="s">
        <v>163</v>
      </c>
    </row>
    <row r="194" spans="1:3" ht="12.75" customHeight="1" x14ac:dyDescent="0.25">
      <c r="A194" s="86"/>
      <c r="C194" t="s">
        <v>710</v>
      </c>
    </row>
    <row r="195" spans="1:3" ht="12.75" customHeight="1" x14ac:dyDescent="0.25"/>
    <row r="196" spans="1:3" ht="12.75" customHeight="1" x14ac:dyDescent="0.25"/>
    <row r="197" spans="1:3" ht="12.75" customHeight="1" x14ac:dyDescent="0.25"/>
    <row r="198" spans="1:3" ht="12.75" customHeight="1" x14ac:dyDescent="0.25"/>
    <row r="199" spans="1:3" ht="12.75" customHeight="1" x14ac:dyDescent="0.25"/>
    <row r="200" spans="1:3" ht="12.75" customHeight="1" x14ac:dyDescent="0.25"/>
    <row r="201" spans="1:3" ht="12.75" customHeight="1" x14ac:dyDescent="0.25"/>
    <row r="202" spans="1:3" ht="12.75" customHeight="1" x14ac:dyDescent="0.25">
      <c r="A202" s="15" t="s">
        <v>147</v>
      </c>
    </row>
    <row r="203" spans="1:3" ht="12.75" customHeight="1" x14ac:dyDescent="0.25"/>
    <row r="204" spans="1:3" ht="12.75" customHeight="1" x14ac:dyDescent="0.25">
      <c r="B204" t="s">
        <v>384</v>
      </c>
    </row>
    <row r="205" spans="1:3" ht="12.75" customHeight="1" x14ac:dyDescent="0.25">
      <c r="B205" t="s">
        <v>198</v>
      </c>
    </row>
    <row r="206" spans="1:3" ht="12.75" customHeight="1" x14ac:dyDescent="0.25">
      <c r="B206" t="s">
        <v>405</v>
      </c>
    </row>
    <row r="207" spans="1:3" ht="12.75" customHeight="1" x14ac:dyDescent="0.25">
      <c r="B207" t="s">
        <v>563</v>
      </c>
    </row>
    <row r="208" spans="1:3"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63D2AA-BC78-42AD-8BAF-97F03DF8C287}">
  <sheetPr codeName="Sheet4">
    <pageSetUpPr fitToPage="1"/>
  </sheetPr>
  <dimension ref="A1:BW101"/>
  <sheetViews>
    <sheetView zoomScale="85" zoomScaleNormal="85" workbookViewId="0">
      <selection activeCell="D68" sqref="D68"/>
    </sheetView>
  </sheetViews>
  <sheetFormatPr defaultRowHeight="13.2" x14ac:dyDescent="0.25"/>
  <cols>
    <col min="1" max="1" width="2.6640625" customWidth="1"/>
    <col min="2" max="2" width="30.44140625" customWidth="1"/>
    <col min="5" max="5" width="11.109375" customWidth="1"/>
    <col min="6" max="6" width="4.33203125" customWidth="1"/>
    <col min="7" max="7" width="9.109375" customWidth="1"/>
    <col min="11" max="12" width="9.109375" customWidth="1"/>
    <col min="21" max="22" width="9.109375" customWidth="1"/>
    <col min="24" max="24" width="9.109375" customWidth="1"/>
    <col min="25" max="25" width="4.109375" customWidth="1"/>
    <col min="31" max="31" width="32.33203125" customWidth="1"/>
    <col min="59" max="75" width="10.44140625" customWidth="1"/>
  </cols>
  <sheetData>
    <row r="1" spans="1:75" ht="13.8" x14ac:dyDescent="0.25">
      <c r="A1" s="39"/>
      <c r="B1" s="31" t="s">
        <v>283</v>
      </c>
      <c r="C1" s="32"/>
      <c r="D1" s="32"/>
      <c r="E1" s="33"/>
      <c r="F1" s="32"/>
      <c r="G1" s="31" t="s">
        <v>283</v>
      </c>
      <c r="H1" s="32"/>
      <c r="I1" s="32"/>
      <c r="J1" s="32"/>
      <c r="K1" s="32"/>
      <c r="L1" s="33"/>
      <c r="M1" s="32"/>
      <c r="N1" s="31" t="s">
        <v>284</v>
      </c>
      <c r="O1" s="32"/>
      <c r="P1" s="32"/>
      <c r="Q1" s="32"/>
      <c r="R1" s="32"/>
      <c r="S1" s="39"/>
      <c r="T1" s="70" t="s">
        <v>339</v>
      </c>
      <c r="U1" s="40"/>
      <c r="V1" s="39"/>
      <c r="W1" s="70" t="s">
        <v>338</v>
      </c>
      <c r="X1" s="40"/>
      <c r="Y1" s="40"/>
      <c r="AF1" t="s">
        <v>382</v>
      </c>
      <c r="AH1" t="s">
        <v>383</v>
      </c>
      <c r="AJ1" t="s">
        <v>385</v>
      </c>
      <c r="AN1" t="s">
        <v>380</v>
      </c>
    </row>
    <row r="2" spans="1:75" ht="17.399999999999999" x14ac:dyDescent="0.3">
      <c r="A2" s="41"/>
      <c r="B2" s="79"/>
      <c r="C2" s="77" t="s">
        <v>279</v>
      </c>
      <c r="D2" s="77" t="s">
        <v>280</v>
      </c>
      <c r="E2" s="80" t="s">
        <v>77</v>
      </c>
      <c r="F2" s="42" t="s">
        <v>109</v>
      </c>
      <c r="G2" s="41"/>
      <c r="H2" s="43"/>
      <c r="I2" s="43"/>
      <c r="J2" s="77" t="s">
        <v>279</v>
      </c>
      <c r="K2" s="77" t="s">
        <v>280</v>
      </c>
      <c r="L2" s="44"/>
      <c r="M2" s="43"/>
      <c r="N2" s="36"/>
      <c r="O2" s="37"/>
      <c r="P2" s="37"/>
      <c r="Q2" s="37"/>
      <c r="R2" s="37"/>
      <c r="S2" s="71" t="s">
        <v>279</v>
      </c>
      <c r="T2" s="34" t="s">
        <v>280</v>
      </c>
      <c r="U2" s="35" t="s">
        <v>281</v>
      </c>
      <c r="V2" s="71" t="s">
        <v>279</v>
      </c>
      <c r="W2" s="34" t="s">
        <v>280</v>
      </c>
      <c r="X2" s="35" t="s">
        <v>281</v>
      </c>
      <c r="Y2" s="44"/>
      <c r="AF2" t="s">
        <v>279</v>
      </c>
      <c r="AG2" t="s">
        <v>280</v>
      </c>
      <c r="AN2" t="s">
        <v>381</v>
      </c>
      <c r="BG2" s="19" t="s">
        <v>70</v>
      </c>
      <c r="BH2" s="19"/>
      <c r="BI2" s="19"/>
      <c r="BJ2" s="19"/>
      <c r="BK2" s="19"/>
      <c r="BL2" s="19"/>
      <c r="BM2" s="19"/>
      <c r="BN2" s="19"/>
      <c r="BO2" s="19"/>
      <c r="BP2" s="19"/>
      <c r="BQ2" s="19"/>
      <c r="BR2" s="19"/>
      <c r="BS2" s="19" t="s">
        <v>71</v>
      </c>
      <c r="BT2" s="19"/>
      <c r="BU2" s="19"/>
      <c r="BV2" s="19"/>
      <c r="BW2" s="19"/>
    </row>
    <row r="3" spans="1:75" x14ac:dyDescent="0.25">
      <c r="A3" s="41"/>
      <c r="B3" s="56" t="s">
        <v>88</v>
      </c>
      <c r="C3" s="57"/>
      <c r="D3" s="57"/>
      <c r="E3" s="58"/>
      <c r="F3" s="42" t="s">
        <v>109</v>
      </c>
      <c r="G3" s="56" t="s">
        <v>60</v>
      </c>
      <c r="H3" s="78"/>
      <c r="I3" s="78"/>
      <c r="J3" s="57"/>
      <c r="K3" s="57"/>
      <c r="L3" s="58"/>
      <c r="M3" s="42" t="s">
        <v>109</v>
      </c>
      <c r="N3" s="73"/>
      <c r="O3" s="57"/>
      <c r="P3" s="57"/>
      <c r="Q3" s="57"/>
      <c r="R3" s="57"/>
      <c r="S3" s="60"/>
      <c r="T3" s="57"/>
      <c r="U3" s="57"/>
      <c r="V3" s="57"/>
      <c r="W3" s="57"/>
      <c r="X3" s="58"/>
      <c r="Y3" s="44"/>
      <c r="AE3" t="s">
        <v>88</v>
      </c>
      <c r="AN3" t="s">
        <v>280</v>
      </c>
      <c r="AP3" t="s">
        <v>148</v>
      </c>
      <c r="AQ3" t="s">
        <v>149</v>
      </c>
      <c r="AR3" t="s">
        <v>151</v>
      </c>
      <c r="AS3" t="s">
        <v>150</v>
      </c>
      <c r="AT3" t="s">
        <v>152</v>
      </c>
      <c r="AU3" t="s">
        <v>153</v>
      </c>
      <c r="AV3" t="s">
        <v>154</v>
      </c>
      <c r="AW3" t="s">
        <v>155</v>
      </c>
      <c r="AX3" t="s">
        <v>44</v>
      </c>
      <c r="AY3" t="s">
        <v>156</v>
      </c>
      <c r="AZ3" t="s">
        <v>157</v>
      </c>
      <c r="BA3" t="s">
        <v>158</v>
      </c>
      <c r="BB3" t="s">
        <v>159</v>
      </c>
      <c r="BC3" t="s">
        <v>558</v>
      </c>
      <c r="BD3" t="s">
        <v>559</v>
      </c>
      <c r="BE3" t="s">
        <v>560</v>
      </c>
      <c r="BG3" s="2"/>
      <c r="BH3" s="2"/>
      <c r="BI3" s="2"/>
      <c r="BJ3" s="2"/>
      <c r="BK3" s="2"/>
      <c r="BL3" s="2"/>
      <c r="BM3" s="2"/>
      <c r="BN3" s="2"/>
      <c r="BO3" s="2"/>
      <c r="BP3" s="2"/>
      <c r="BQ3" s="2"/>
      <c r="BR3" s="2"/>
      <c r="BS3" s="2"/>
      <c r="BT3" s="2"/>
      <c r="BU3" s="2"/>
      <c r="BV3" s="2"/>
      <c r="BW3" s="2"/>
    </row>
    <row r="4" spans="1:75" x14ac:dyDescent="0.25">
      <c r="A4" s="41"/>
      <c r="B4" s="50" t="s">
        <v>395</v>
      </c>
      <c r="C4" s="8">
        <v>2017</v>
      </c>
      <c r="D4" s="82" t="s">
        <v>380</v>
      </c>
      <c r="E4" s="51" t="s">
        <v>394</v>
      </c>
      <c r="F4" s="42" t="s">
        <v>109</v>
      </c>
      <c r="G4" s="50" t="s">
        <v>8</v>
      </c>
      <c r="J4" s="8">
        <v>0</v>
      </c>
      <c r="K4" s="8">
        <v>0</v>
      </c>
      <c r="L4" s="51" t="s">
        <v>89</v>
      </c>
      <c r="M4" s="42" t="s">
        <v>109</v>
      </c>
      <c r="N4" s="50" t="s">
        <v>424</v>
      </c>
      <c r="S4" s="4" t="e">
        <f ca="1">Person1!B98</f>
        <v>#NAME?</v>
      </c>
      <c r="T4" s="4" t="e">
        <f ca="1">Person2!B98</f>
        <v>#NAME?</v>
      </c>
      <c r="U4" s="4" t="e">
        <f ca="1">T4+IF($C$30=1,0,S4)</f>
        <v>#NAME?</v>
      </c>
      <c r="V4" s="4" t="e">
        <f ca="1">Person1!C98</f>
        <v>#NAME?</v>
      </c>
      <c r="W4" s="4" t="e">
        <f ca="1">Person2!C98</f>
        <v>#NAME?</v>
      </c>
      <c r="X4" s="72" t="e">
        <f ca="1">W4+IF($C$30=1,0,V4)</f>
        <v>#NAME?</v>
      </c>
      <c r="Y4" s="44"/>
      <c r="Z4" s="4"/>
      <c r="AE4" t="s">
        <v>56</v>
      </c>
      <c r="AJ4">
        <f>C4</f>
        <v>2017</v>
      </c>
      <c r="AN4" t="s">
        <v>281</v>
      </c>
      <c r="BG4" s="2"/>
      <c r="BH4" s="2"/>
      <c r="BI4" s="2"/>
      <c r="BJ4" s="2"/>
      <c r="BK4" s="2"/>
      <c r="BL4" s="2"/>
      <c r="BM4" s="2"/>
      <c r="BN4" s="2"/>
      <c r="BO4" s="2"/>
      <c r="BP4" s="2"/>
      <c r="BQ4" s="2"/>
      <c r="BR4" s="2"/>
      <c r="BS4" s="2"/>
      <c r="BT4" s="2"/>
      <c r="BU4" s="2"/>
      <c r="BV4" s="2"/>
      <c r="BW4" s="2"/>
    </row>
    <row r="5" spans="1:75" x14ac:dyDescent="0.25">
      <c r="A5" s="41"/>
      <c r="B5" s="50" t="s">
        <v>160</v>
      </c>
      <c r="C5" s="8" t="s">
        <v>44</v>
      </c>
      <c r="E5" s="51" t="s">
        <v>364</v>
      </c>
      <c r="F5" s="42" t="s">
        <v>109</v>
      </c>
      <c r="G5" s="50" t="s">
        <v>61</v>
      </c>
      <c r="J5" s="8">
        <v>0</v>
      </c>
      <c r="K5" s="8">
        <v>0</v>
      </c>
      <c r="L5" s="51"/>
      <c r="M5" s="42" t="s">
        <v>109</v>
      </c>
      <c r="N5" s="50" t="s">
        <v>425</v>
      </c>
      <c r="S5" s="4">
        <f ca="1">Person1!B99</f>
        <v>0</v>
      </c>
      <c r="T5" s="4" t="e">
        <f ca="1">Person2!B99</f>
        <v>#NAME?</v>
      </c>
      <c r="U5" s="4" t="e">
        <f ca="1">T5+S5</f>
        <v>#NAME?</v>
      </c>
      <c r="V5" s="4">
        <f ca="1">Person1!C99</f>
        <v>0</v>
      </c>
      <c r="W5" s="4" t="e">
        <f ca="1">Person2!C99</f>
        <v>#NAME?</v>
      </c>
      <c r="X5" s="72" t="e">
        <f ca="1">W5+V5</f>
        <v>#NAME?</v>
      </c>
      <c r="Y5" s="44"/>
      <c r="Z5" s="4"/>
      <c r="AE5" t="s">
        <v>160</v>
      </c>
      <c r="AJ5" t="str">
        <f t="shared" ref="AJ5:AK7" si="0">C5</f>
        <v>Alberta</v>
      </c>
      <c r="BG5" s="2" t="s">
        <v>1</v>
      </c>
      <c r="BH5" s="2" t="s">
        <v>4</v>
      </c>
      <c r="BI5" s="2" t="s">
        <v>32</v>
      </c>
      <c r="BJ5" s="2" t="s">
        <v>33</v>
      </c>
      <c r="BK5" s="2" t="s">
        <v>25</v>
      </c>
      <c r="BL5" s="2" t="s">
        <v>8</v>
      </c>
      <c r="BM5" s="2" t="s">
        <v>22</v>
      </c>
      <c r="BN5" s="2" t="s">
        <v>11</v>
      </c>
      <c r="BO5" s="2" t="s">
        <v>29</v>
      </c>
      <c r="BP5" s="2" t="s">
        <v>459</v>
      </c>
      <c r="BQ5" s="2" t="s">
        <v>379</v>
      </c>
      <c r="BR5" s="2"/>
      <c r="BS5" s="2" t="s">
        <v>1</v>
      </c>
      <c r="BT5" s="2" t="s">
        <v>8</v>
      </c>
      <c r="BU5" s="2" t="s">
        <v>22</v>
      </c>
      <c r="BV5" s="2" t="s">
        <v>29</v>
      </c>
      <c r="BW5" s="2" t="s">
        <v>11</v>
      </c>
    </row>
    <row r="6" spans="1:75" x14ac:dyDescent="0.25">
      <c r="A6" s="41"/>
      <c r="B6" s="50" t="s">
        <v>164</v>
      </c>
      <c r="C6" s="8">
        <v>1</v>
      </c>
      <c r="E6" s="51" t="s">
        <v>166</v>
      </c>
      <c r="F6" s="42" t="s">
        <v>109</v>
      </c>
      <c r="G6" s="50" t="s">
        <v>29</v>
      </c>
      <c r="J6" s="8">
        <v>0</v>
      </c>
      <c r="K6" s="8">
        <v>0</v>
      </c>
      <c r="L6" s="51"/>
      <c r="M6" s="42" t="s">
        <v>109</v>
      </c>
      <c r="N6" s="50" t="s">
        <v>426</v>
      </c>
      <c r="S6" s="45" t="str">
        <f ca="1">Person1!B101</f>
        <v>None</v>
      </c>
      <c r="T6" s="45" t="str">
        <f ca="1">Person2!B101</f>
        <v>None</v>
      </c>
      <c r="X6" s="51"/>
      <c r="Y6" s="44"/>
      <c r="AE6" t="s">
        <v>164</v>
      </c>
      <c r="AJ6">
        <f t="shared" si="0"/>
        <v>1</v>
      </c>
      <c r="BH6" s="4"/>
      <c r="BI6" s="4"/>
      <c r="BJ6" s="4"/>
      <c r="BK6" s="4"/>
      <c r="BL6" s="4"/>
      <c r="BM6" s="4"/>
      <c r="BN6" s="4"/>
      <c r="BO6" s="4"/>
      <c r="BP6" s="88" t="s">
        <v>429</v>
      </c>
      <c r="BQ6" s="4"/>
      <c r="BT6" s="4"/>
      <c r="BU6" s="4"/>
      <c r="BV6" s="4"/>
      <c r="BW6" s="4"/>
    </row>
    <row r="7" spans="1:75" x14ac:dyDescent="0.25">
      <c r="A7" s="41"/>
      <c r="B7" s="50" t="s">
        <v>144</v>
      </c>
      <c r="C7" s="8" t="s">
        <v>136</v>
      </c>
      <c r="D7" s="8" t="s">
        <v>210</v>
      </c>
      <c r="E7" s="51" t="s">
        <v>266</v>
      </c>
      <c r="F7" s="42" t="s">
        <v>109</v>
      </c>
      <c r="G7" s="50" t="s">
        <v>39</v>
      </c>
      <c r="J7" s="8">
        <v>0</v>
      </c>
      <c r="K7" s="8">
        <v>0</v>
      </c>
      <c r="L7" s="51"/>
      <c r="M7" s="42" t="s">
        <v>109</v>
      </c>
      <c r="N7" s="104" t="s">
        <v>427</v>
      </c>
      <c r="O7" s="105"/>
      <c r="P7" s="105"/>
      <c r="Q7" s="105"/>
      <c r="R7" s="105"/>
      <c r="S7" s="4">
        <f ca="1">AT42</f>
        <v>0</v>
      </c>
      <c r="T7" s="4">
        <f ca="1">AU42</f>
        <v>0</v>
      </c>
      <c r="U7" s="4"/>
      <c r="V7" s="4">
        <f ca="1">AW42</f>
        <v>0</v>
      </c>
      <c r="W7" s="4">
        <f ca="1">AX42</f>
        <v>0</v>
      </c>
      <c r="X7" s="51"/>
      <c r="Y7" s="44"/>
      <c r="AE7" t="s">
        <v>144</v>
      </c>
      <c r="AJ7" t="str">
        <f t="shared" si="0"/>
        <v>22 year old</v>
      </c>
      <c r="AK7" t="str">
        <f t="shared" si="0"/>
        <v>22 year old #2</v>
      </c>
      <c r="AN7" t="s">
        <v>286</v>
      </c>
      <c r="BG7" s="4">
        <f>CHOOSE($AN$8,Person2!FX7,Both!T7)</f>
        <v>2017</v>
      </c>
      <c r="BH7" s="18">
        <f>CHOOSE($AN$8,Person2!FY7,Both!U7)</f>
        <v>40</v>
      </c>
      <c r="BI7" s="18">
        <f>CHOOSE($AN$8,Person2!FZ7,Both!V7)</f>
        <v>0</v>
      </c>
      <c r="BJ7" s="18">
        <f>CHOOSE($AN$8,Person2!GA7,Both!W7)</f>
        <v>0</v>
      </c>
      <c r="BK7" s="18">
        <f>CHOOSE($AN$8,Person2!GB7,Both!X7)</f>
        <v>0</v>
      </c>
      <c r="BL7" s="18">
        <f>CHOOSE($AN$8,Person2!GC7,Both!Y7)</f>
        <v>0</v>
      </c>
      <c r="BM7" s="18">
        <f>CHOOSE($AN$8,Person2!GD7,Both!Z7)</f>
        <v>0</v>
      </c>
      <c r="BN7" s="18">
        <f ca="1">CHOOSE($AN$8,Person2!GE7,Both!AA7)</f>
        <v>0</v>
      </c>
      <c r="BO7" s="18">
        <f ca="1">CHOOSE($AN$8,Person2!GF7,Both!AB7)</f>
        <v>0</v>
      </c>
      <c r="BP7" s="18" t="e">
        <f ca="1">CHOOSE($AN$8,Person2!GG7,Both!AC7)</f>
        <v>#NAME?</v>
      </c>
      <c r="BQ7" s="18" t="e">
        <f ca="1">CHOOSE($AN$8,Person2!GH7,Both!AD7)</f>
        <v>#NAME?</v>
      </c>
      <c r="BR7" s="4"/>
      <c r="BS7" s="4">
        <f>CHOOSE($AN$8,Person2!GJ7,Both!AF7)</f>
        <v>2017</v>
      </c>
      <c r="BT7" s="18">
        <f>CHOOSE($AN$8,Person2!GK7,Both!AG7)</f>
        <v>0</v>
      </c>
      <c r="BU7" s="18">
        <f>CHOOSE($AN$8,Person2!GL7,Both!AH7)</f>
        <v>0</v>
      </c>
      <c r="BV7" s="18">
        <f>CHOOSE($AN$8,Person2!GM7,Both!AI7)</f>
        <v>0</v>
      </c>
      <c r="BW7" s="18">
        <f>CHOOSE($AN$8,Person2!GN7,Both!AJ7)</f>
        <v>0</v>
      </c>
    </row>
    <row r="8" spans="1:75" x14ac:dyDescent="0.25">
      <c r="A8" s="41"/>
      <c r="B8" s="50" t="s">
        <v>78</v>
      </c>
      <c r="C8" s="8">
        <v>22</v>
      </c>
      <c r="D8" s="8">
        <v>22</v>
      </c>
      <c r="E8" s="51"/>
      <c r="F8" s="42" t="s">
        <v>109</v>
      </c>
      <c r="G8" s="52" t="s">
        <v>62</v>
      </c>
      <c r="H8" s="54"/>
      <c r="I8" s="54"/>
      <c r="J8" s="53">
        <v>0</v>
      </c>
      <c r="K8" s="53">
        <v>0</v>
      </c>
      <c r="L8" s="55" t="s">
        <v>358</v>
      </c>
      <c r="M8" s="42" t="s">
        <v>109</v>
      </c>
      <c r="N8" s="52" t="s">
        <v>428</v>
      </c>
      <c r="O8" s="54"/>
      <c r="P8" s="65" t="str">
        <f ca="1">AP12</f>
        <v/>
      </c>
      <c r="Q8" s="65"/>
      <c r="R8" s="65"/>
      <c r="S8" s="65"/>
      <c r="T8" s="65"/>
      <c r="U8" s="65"/>
      <c r="V8" s="65"/>
      <c r="W8" s="54"/>
      <c r="X8" s="55"/>
      <c r="Y8" s="44"/>
      <c r="AE8" t="s">
        <v>78</v>
      </c>
      <c r="AG8">
        <v>1</v>
      </c>
      <c r="AI8">
        <v>22</v>
      </c>
      <c r="AJ8">
        <f t="shared" ref="AJ8:AJ47" si="1">IF(AND($D$4="Off",AF8=1),AH8,C8)</f>
        <v>22</v>
      </c>
      <c r="AK8">
        <f t="shared" ref="AK8:AK47" si="2">IF(AND($D$4="Off",AG8=1),AI8,D8)</f>
        <v>22</v>
      </c>
      <c r="AN8">
        <f>MATCH(G29,AN3:AN4,0)</f>
        <v>1</v>
      </c>
      <c r="BG8" s="4">
        <f>CHOOSE($AN$8,Person2!FX8,Both!T8)</f>
        <v>2018</v>
      </c>
      <c r="BH8" s="18">
        <f>CHOOSE($AN$8,Person2!FY8,Both!U8)</f>
        <v>40.196078431372548</v>
      </c>
      <c r="BI8" s="18">
        <f>CHOOSE($AN$8,Person2!FZ8,Both!V8)</f>
        <v>0</v>
      </c>
      <c r="BJ8" s="18">
        <f>CHOOSE($AN$8,Person2!GA8,Both!W8)</f>
        <v>0</v>
      </c>
      <c r="BK8" s="18">
        <f>CHOOSE($AN$8,Person2!GB8,Both!X8)</f>
        <v>0</v>
      </c>
      <c r="BL8" s="18">
        <f ca="1">CHOOSE($AN$8,Person2!GC8,Both!Y8)</f>
        <v>0</v>
      </c>
      <c r="BM8" s="18">
        <f ca="1">CHOOSE($AN$8,Person2!GD8,Both!Z8)</f>
        <v>0</v>
      </c>
      <c r="BN8" s="18">
        <f ca="1">CHOOSE($AN$8,Person2!GE8,Both!AA8)</f>
        <v>0</v>
      </c>
      <c r="BO8" s="18">
        <f ca="1">CHOOSE($AN$8,Person2!GF8,Both!AB8)</f>
        <v>0</v>
      </c>
      <c r="BP8" s="18" t="e">
        <f ca="1">CHOOSE($AN$8,Person2!GG8,Both!AC8)</f>
        <v>#NAME?</v>
      </c>
      <c r="BQ8" s="18" t="e">
        <f ca="1">CHOOSE($AN$8,Person2!GH8,Both!AD8)</f>
        <v>#NAME?</v>
      </c>
      <c r="BR8" s="4"/>
      <c r="BS8" s="4">
        <f>CHOOSE($AN$8,Person2!GJ8,Both!AF8)</f>
        <v>2018</v>
      </c>
      <c r="BT8" s="18">
        <f ca="1">CHOOSE($AN$8,Person2!GK8,Both!AG8)</f>
        <v>11.319296055570549</v>
      </c>
      <c r="BU8" s="18">
        <f ca="1">CHOOSE($AN$8,Person2!GL8,Both!AH8)</f>
        <v>2.3529411764705883</v>
      </c>
      <c r="BV8" s="18">
        <f ca="1">CHOOSE($AN$8,Person2!GM8,Both!AI8)</f>
        <v>1.3433210784313725</v>
      </c>
      <c r="BW8" s="18">
        <f ca="1">CHOOSE($AN$8,Person2!GN8,Both!AJ8)</f>
        <v>0</v>
      </c>
    </row>
    <row r="9" spans="1:75" x14ac:dyDescent="0.25">
      <c r="A9" s="41"/>
      <c r="B9" s="50" t="s">
        <v>14</v>
      </c>
      <c r="C9" s="8">
        <v>60</v>
      </c>
      <c r="D9" s="8">
        <v>60</v>
      </c>
      <c r="E9" s="51"/>
      <c r="F9" s="42" t="s">
        <v>109</v>
      </c>
      <c r="G9" s="46" t="s">
        <v>279</v>
      </c>
      <c r="H9" s="43"/>
      <c r="I9" s="43"/>
      <c r="J9" s="43"/>
      <c r="K9" s="43"/>
      <c r="L9" s="43"/>
      <c r="M9" s="43"/>
      <c r="N9" s="43"/>
      <c r="O9" s="43"/>
      <c r="P9" s="43"/>
      <c r="Q9" s="43"/>
      <c r="R9" s="43"/>
      <c r="S9" s="43"/>
      <c r="T9" s="43"/>
      <c r="U9" s="43"/>
      <c r="V9" s="43"/>
      <c r="W9" s="43"/>
      <c r="X9" s="43"/>
      <c r="Y9" s="44"/>
      <c r="AE9" t="s">
        <v>14</v>
      </c>
      <c r="AG9">
        <v>1</v>
      </c>
      <c r="AI9">
        <v>99</v>
      </c>
      <c r="AJ9">
        <f t="shared" si="1"/>
        <v>60</v>
      </c>
      <c r="AK9">
        <f t="shared" si="2"/>
        <v>60</v>
      </c>
      <c r="BG9" s="4">
        <f>CHOOSE($AN$8,Person2!FX9,Both!T9)</f>
        <v>2019</v>
      </c>
      <c r="BH9" s="18">
        <f>CHOOSE($AN$8,Person2!FY9,Both!U9)</f>
        <v>40.393118031526342</v>
      </c>
      <c r="BI9" s="18">
        <f>CHOOSE($AN$8,Person2!FZ9,Both!V9)</f>
        <v>0</v>
      </c>
      <c r="BJ9" s="18">
        <f>CHOOSE($AN$8,Person2!GA9,Both!W9)</f>
        <v>0</v>
      </c>
      <c r="BK9" s="18">
        <f>CHOOSE($AN$8,Person2!GB9,Both!X9)</f>
        <v>0</v>
      </c>
      <c r="BL9" s="18">
        <f ca="1">CHOOSE($AN$8,Person2!GC9,Both!Y9)</f>
        <v>0</v>
      </c>
      <c r="BM9" s="18">
        <f ca="1">CHOOSE($AN$8,Person2!GD9,Both!Z9)</f>
        <v>0</v>
      </c>
      <c r="BN9" s="18">
        <f ca="1">CHOOSE($AN$8,Person2!GE9,Both!AA9)</f>
        <v>0</v>
      </c>
      <c r="BO9" s="18">
        <f ca="1">CHOOSE($AN$8,Person2!GF9,Both!AB9)</f>
        <v>0</v>
      </c>
      <c r="BP9" s="18" t="e">
        <f ca="1">CHOOSE($AN$8,Person2!GG9,Both!AC9)</f>
        <v>#NAME?</v>
      </c>
      <c r="BQ9" s="18" t="e">
        <f ca="1">CHOOSE($AN$8,Person2!GH9,Both!AD9)</f>
        <v>#NAME?</v>
      </c>
      <c r="BR9" s="4"/>
      <c r="BS9" s="4">
        <f>CHOOSE($AN$8,Person2!GJ9,Both!AF9)</f>
        <v>2019</v>
      </c>
      <c r="BT9" s="18">
        <f ca="1">CHOOSE($AN$8,Person2!GK9,Both!AG9)</f>
        <v>23.379048146608667</v>
      </c>
      <c r="BU9" s="18">
        <f ca="1">CHOOSE($AN$8,Person2!GL9,Both!AH9)</f>
        <v>4.786620530565167</v>
      </c>
      <c r="BV9" s="18">
        <f ca="1">CHOOSE($AN$8,Person2!GM9,Both!AI9)</f>
        <v>2.8323907871972298</v>
      </c>
      <c r="BW9" s="18">
        <f ca="1">CHOOSE($AN$8,Person2!GN9,Both!AJ9)</f>
        <v>0</v>
      </c>
    </row>
    <row r="10" spans="1:75" x14ac:dyDescent="0.25">
      <c r="A10" s="41"/>
      <c r="B10" s="50" t="s">
        <v>15</v>
      </c>
      <c r="C10" s="8">
        <v>80</v>
      </c>
      <c r="D10" s="8">
        <v>85</v>
      </c>
      <c r="E10" s="51"/>
      <c r="F10" s="42" t="s">
        <v>109</v>
      </c>
      <c r="Y10" s="44"/>
      <c r="AE10" t="s">
        <v>15</v>
      </c>
      <c r="AG10">
        <v>1</v>
      </c>
      <c r="AI10">
        <v>99</v>
      </c>
      <c r="AJ10">
        <f t="shared" si="1"/>
        <v>80</v>
      </c>
      <c r="AK10">
        <f t="shared" si="2"/>
        <v>85</v>
      </c>
      <c r="BG10" s="4">
        <f>CHOOSE($AN$8,Person2!FX10,Both!T10)</f>
        <v>2020</v>
      </c>
      <c r="BH10" s="18">
        <f>CHOOSE($AN$8,Person2!FY10,Both!U10)</f>
        <v>40.591123512073032</v>
      </c>
      <c r="BI10" s="18">
        <f>CHOOSE($AN$8,Person2!FZ10,Both!V10)</f>
        <v>0</v>
      </c>
      <c r="BJ10" s="18">
        <f>CHOOSE($AN$8,Person2!GA10,Both!W10)</f>
        <v>0</v>
      </c>
      <c r="BK10" s="18">
        <f>CHOOSE($AN$8,Person2!GB10,Both!X10)</f>
        <v>0</v>
      </c>
      <c r="BL10" s="18">
        <f ca="1">CHOOSE($AN$8,Person2!GC10,Both!Y10)</f>
        <v>0</v>
      </c>
      <c r="BM10" s="18">
        <f ca="1">CHOOSE($AN$8,Person2!GD10,Both!Z10)</f>
        <v>0</v>
      </c>
      <c r="BN10" s="18">
        <f ca="1">CHOOSE($AN$8,Person2!GE10,Both!AA10)</f>
        <v>0</v>
      </c>
      <c r="BO10" s="18">
        <f ca="1">CHOOSE($AN$8,Person2!GF10,Both!AB10)</f>
        <v>0</v>
      </c>
      <c r="BP10" s="18" t="e">
        <f ca="1">CHOOSE($AN$8,Person2!GG10,Both!AC10)</f>
        <v>#NAME?</v>
      </c>
      <c r="BQ10" s="18" t="e">
        <f ca="1">CHOOSE($AN$8,Person2!GH10,Both!AD10)</f>
        <v>#NAME?</v>
      </c>
      <c r="BR10" s="4"/>
      <c r="BS10" s="4">
        <f>CHOOSE($AN$8,Person2!GJ10,Both!AF10)</f>
        <v>2020</v>
      </c>
      <c r="BT10" s="18">
        <f ca="1">CHOOSE($AN$8,Person2!GK10,Both!AG10)</f>
        <v>34.002469057357921</v>
      </c>
      <c r="BU10" s="18">
        <f ca="1">CHOOSE($AN$8,Person2!GL10,Both!AH10)</f>
        <v>7.3034692539068695</v>
      </c>
      <c r="BV10" s="18">
        <f ca="1">CHOOSE($AN$8,Person2!GM10,Both!AI10)</f>
        <v>4.4720778525510534</v>
      </c>
      <c r="BW10" s="18">
        <f ca="1">CHOOSE($AN$8,Person2!GN10,Both!AJ10)</f>
        <v>0</v>
      </c>
    </row>
    <row r="11" spans="1:75" x14ac:dyDescent="0.25">
      <c r="A11" s="41"/>
      <c r="B11" s="59" t="s">
        <v>82</v>
      </c>
      <c r="C11" s="60"/>
      <c r="D11" s="60"/>
      <c r="E11" s="61"/>
      <c r="F11" s="42" t="s">
        <v>109</v>
      </c>
      <c r="Y11" s="44"/>
      <c r="AE11" t="s">
        <v>82</v>
      </c>
      <c r="AJ11">
        <f t="shared" si="1"/>
        <v>0</v>
      </c>
      <c r="AK11">
        <f t="shared" si="2"/>
        <v>0</v>
      </c>
      <c r="AN11" t="s">
        <v>290</v>
      </c>
      <c r="BG11" s="4">
        <f>CHOOSE($AN$8,Person2!FX11,Both!T11)</f>
        <v>2021</v>
      </c>
      <c r="BH11" s="18">
        <f>CHOOSE($AN$8,Person2!FY11,Both!U11)</f>
        <v>40.790099607720443</v>
      </c>
      <c r="BI11" s="18">
        <f>CHOOSE($AN$8,Person2!FZ11,Both!V11)</f>
        <v>0</v>
      </c>
      <c r="BJ11" s="18">
        <f>CHOOSE($AN$8,Person2!GA11,Both!W11)</f>
        <v>0</v>
      </c>
      <c r="BK11" s="18">
        <f>CHOOSE($AN$8,Person2!GB11,Both!X11)</f>
        <v>0</v>
      </c>
      <c r="BL11" s="18">
        <f ca="1">CHOOSE($AN$8,Person2!GC11,Both!Y11)</f>
        <v>0</v>
      </c>
      <c r="BM11" s="18">
        <f ca="1">CHOOSE($AN$8,Person2!GD11,Both!Z11)</f>
        <v>0</v>
      </c>
      <c r="BN11" s="18">
        <f ca="1">CHOOSE($AN$8,Person2!GE11,Both!AA11)</f>
        <v>0</v>
      </c>
      <c r="BO11" s="18">
        <f ca="1">CHOOSE($AN$8,Person2!GF11,Both!AB11)</f>
        <v>0</v>
      </c>
      <c r="BP11" s="18" t="e">
        <f ca="1">CHOOSE($AN$8,Person2!GG11,Both!AC11)</f>
        <v>#NAME?</v>
      </c>
      <c r="BQ11" s="18" t="e">
        <f ca="1">CHOOSE($AN$8,Person2!GH11,Both!AD11)</f>
        <v>#NAME?</v>
      </c>
      <c r="BR11" s="4"/>
      <c r="BS11" s="4">
        <f>CHOOSE($AN$8,Person2!GJ11,Both!AF11)</f>
        <v>2021</v>
      </c>
      <c r="BT11" s="18">
        <f ca="1">CHOOSE($AN$8,Person2!GK11,Both!AG11)</f>
        <v>44.522668924204645</v>
      </c>
      <c r="BU11" s="18">
        <f ca="1">CHOOSE($AN$8,Person2!GL11,Both!AH11)</f>
        <v>9.9059903209084261</v>
      </c>
      <c r="BV11" s="18">
        <f ca="1">CHOOSE($AN$8,Person2!GM11,Both!AI11)</f>
        <v>6.2673958511058041</v>
      </c>
      <c r="BW11" s="18">
        <f ca="1">CHOOSE($AN$8,Person2!GN11,Both!AJ11)</f>
        <v>0</v>
      </c>
    </row>
    <row r="12" spans="1:75" x14ac:dyDescent="0.25">
      <c r="A12" s="41"/>
      <c r="B12" s="50" t="s">
        <v>10</v>
      </c>
      <c r="C12" s="47">
        <v>0.02</v>
      </c>
      <c r="D12" s="47">
        <v>0.02</v>
      </c>
      <c r="E12" s="51" t="s">
        <v>361</v>
      </c>
      <c r="F12" s="42" t="s">
        <v>109</v>
      </c>
      <c r="Y12" s="44"/>
      <c r="AE12" t="s">
        <v>10</v>
      </c>
      <c r="AJ12">
        <f t="shared" si="1"/>
        <v>0.02</v>
      </c>
      <c r="AK12">
        <f t="shared" si="2"/>
        <v>0.02</v>
      </c>
      <c r="AO12" t="e">
        <f ca="1">MATCH(1,AO16:AO25,0)</f>
        <v>#N/A</v>
      </c>
      <c r="AP12" t="str">
        <f ca="1">IF(ISERROR(AO12),"",OFFSET(AP16,AO12-1,0))</f>
        <v/>
      </c>
      <c r="BG12" s="4">
        <f>CHOOSE($AN$8,Person2!FX12,Both!T12)</f>
        <v>2022</v>
      </c>
      <c r="BH12" s="18">
        <f>CHOOSE($AN$8,Person2!FY12,Both!U12)</f>
        <v>40.990051076385733</v>
      </c>
      <c r="BI12" s="18">
        <f>CHOOSE($AN$8,Person2!FZ12,Both!V12)</f>
        <v>0</v>
      </c>
      <c r="BJ12" s="18">
        <f>CHOOSE($AN$8,Person2!GA12,Both!W12)</f>
        <v>0</v>
      </c>
      <c r="BK12" s="18">
        <f>CHOOSE($AN$8,Person2!GB12,Both!X12)</f>
        <v>0</v>
      </c>
      <c r="BL12" s="18">
        <f ca="1">CHOOSE($AN$8,Person2!GC12,Both!Y12)</f>
        <v>0</v>
      </c>
      <c r="BM12" s="18">
        <f ca="1">CHOOSE($AN$8,Person2!GD12,Both!Z12)</f>
        <v>0</v>
      </c>
      <c r="BN12" s="18">
        <f ca="1">CHOOSE($AN$8,Person2!GE12,Both!AA12)</f>
        <v>0</v>
      </c>
      <c r="BO12" s="18">
        <f ca="1">CHOOSE($AN$8,Person2!GF12,Both!AB12)</f>
        <v>0</v>
      </c>
      <c r="BP12" s="18" t="e">
        <f ca="1">CHOOSE($AN$8,Person2!GG12,Both!AC12)</f>
        <v>#NAME?</v>
      </c>
      <c r="BQ12" s="18" t="e">
        <f ca="1">CHOOSE($AN$8,Person2!GH12,Both!AD12)</f>
        <v>#NAME?</v>
      </c>
      <c r="BR12" s="4"/>
      <c r="BS12" s="4">
        <f>CHOOSE($AN$8,Person2!GJ12,Both!AF12)</f>
        <v>2022</v>
      </c>
      <c r="BT12" s="18">
        <f ca="1">CHOOSE($AN$8,Person2!GK12,Both!AG12)</f>
        <v>55.422212062622783</v>
      </c>
      <c r="BU12" s="18">
        <f ca="1">CHOOSE($AN$8,Person2!GL12,Both!AH12)</f>
        <v>12.596760601389287</v>
      </c>
      <c r="BV12" s="18">
        <f ca="1">CHOOSE($AN$8,Person2!GM12,Both!AI12)</f>
        <v>8.2235075017769432</v>
      </c>
      <c r="BW12" s="18">
        <f ca="1">CHOOSE($AN$8,Person2!GN12,Both!AJ12)</f>
        <v>0</v>
      </c>
    </row>
    <row r="13" spans="1:75" x14ac:dyDescent="0.25">
      <c r="A13" s="41"/>
      <c r="B13" s="50" t="s">
        <v>23</v>
      </c>
      <c r="C13" s="47">
        <v>0.03</v>
      </c>
      <c r="D13" s="47">
        <v>2.5000000000000001E-2</v>
      </c>
      <c r="E13" s="51" t="s">
        <v>85</v>
      </c>
      <c r="F13" s="42" t="s">
        <v>109</v>
      </c>
      <c r="Y13" s="44"/>
      <c r="AE13" t="s">
        <v>23</v>
      </c>
      <c r="AJ13">
        <f t="shared" si="1"/>
        <v>0.03</v>
      </c>
      <c r="AK13">
        <f t="shared" si="2"/>
        <v>2.5000000000000001E-2</v>
      </c>
      <c r="BG13" s="4">
        <f>CHOOSE($AN$8,Person2!FX13,Both!T13)</f>
        <v>2023</v>
      </c>
      <c r="BH13" s="18">
        <f>CHOOSE($AN$8,Person2!FY13,Both!U13)</f>
        <v>41.190982699309181</v>
      </c>
      <c r="BI13" s="18">
        <f>CHOOSE($AN$8,Person2!FZ13,Both!V13)</f>
        <v>0</v>
      </c>
      <c r="BJ13" s="18">
        <f>CHOOSE($AN$8,Person2!GA13,Both!W13)</f>
        <v>0</v>
      </c>
      <c r="BK13" s="18">
        <f>CHOOSE($AN$8,Person2!GB13,Both!X13)</f>
        <v>0</v>
      </c>
      <c r="BL13" s="18">
        <f ca="1">CHOOSE($AN$8,Person2!GC13,Both!Y13)</f>
        <v>0</v>
      </c>
      <c r="BM13" s="18">
        <f ca="1">CHOOSE($AN$8,Person2!GD13,Both!Z13)</f>
        <v>0</v>
      </c>
      <c r="BN13" s="18">
        <f ca="1">CHOOSE($AN$8,Person2!GE13,Both!AA13)</f>
        <v>0</v>
      </c>
      <c r="BO13" s="18">
        <f ca="1">CHOOSE($AN$8,Person2!GF13,Both!AB13)</f>
        <v>0</v>
      </c>
      <c r="BP13" s="18" t="e">
        <f ca="1">CHOOSE($AN$8,Person2!GG13,Both!AC13)</f>
        <v>#NAME?</v>
      </c>
      <c r="BQ13" s="18" t="e">
        <f ca="1">CHOOSE($AN$8,Person2!GH13,Both!AD13)</f>
        <v>#NAME?</v>
      </c>
      <c r="BR13" s="4"/>
      <c r="BS13" s="4">
        <f>CHOOSE($AN$8,Person2!GJ13,Both!AF13)</f>
        <v>2023</v>
      </c>
      <c r="BT13" s="18">
        <f ca="1">CHOOSE($AN$8,Person2!GK13,Both!AG13)</f>
        <v>66.712826423268496</v>
      </c>
      <c r="BU13" s="18">
        <f ca="1">CHOOSE($AN$8,Person2!GL13,Both!AH13)</f>
        <v>15.378433035335188</v>
      </c>
      <c r="BV13" s="18">
        <f ca="1">CHOOSE($AN$8,Person2!GM13,Both!AI13)</f>
        <v>10.345729083652596</v>
      </c>
      <c r="BW13" s="18">
        <f ca="1">CHOOSE($AN$8,Person2!GN13,Both!AJ13)</f>
        <v>0</v>
      </c>
    </row>
    <row r="14" spans="1:75" x14ac:dyDescent="0.25">
      <c r="A14" s="41"/>
      <c r="B14" s="50" t="s">
        <v>57</v>
      </c>
      <c r="C14" s="47">
        <v>0.05</v>
      </c>
      <c r="D14" s="47">
        <v>0.05</v>
      </c>
      <c r="E14" s="51" t="s">
        <v>86</v>
      </c>
      <c r="F14" s="42" t="s">
        <v>109</v>
      </c>
      <c r="Y14" s="44"/>
      <c r="AE14" t="s">
        <v>57</v>
      </c>
      <c r="AJ14">
        <f t="shared" si="1"/>
        <v>0.05</v>
      </c>
      <c r="AK14">
        <f t="shared" si="2"/>
        <v>0.05</v>
      </c>
      <c r="BG14" s="4">
        <f>CHOOSE($AN$8,Person2!FX14,Both!T14)</f>
        <v>2024</v>
      </c>
      <c r="BH14" s="18">
        <f>CHOOSE($AN$8,Person2!FY14,Both!U14)</f>
        <v>41.392899281168546</v>
      </c>
      <c r="BI14" s="18">
        <f>CHOOSE($AN$8,Person2!FZ14,Both!V14)</f>
        <v>0</v>
      </c>
      <c r="BJ14" s="18">
        <f>CHOOSE($AN$8,Person2!GA14,Both!W14)</f>
        <v>0</v>
      </c>
      <c r="BK14" s="18">
        <f>CHOOSE($AN$8,Person2!GB14,Both!X14)</f>
        <v>0</v>
      </c>
      <c r="BL14" s="18">
        <f ca="1">CHOOSE($AN$8,Person2!GC14,Both!Y14)</f>
        <v>0</v>
      </c>
      <c r="BM14" s="18">
        <f ca="1">CHOOSE($AN$8,Person2!GD14,Both!Z14)</f>
        <v>0</v>
      </c>
      <c r="BN14" s="18">
        <f ca="1">CHOOSE($AN$8,Person2!GE14,Both!AA14)</f>
        <v>0</v>
      </c>
      <c r="BO14" s="18">
        <f ca="1">CHOOSE($AN$8,Person2!GF14,Both!AB14)</f>
        <v>0</v>
      </c>
      <c r="BP14" s="18" t="e">
        <f ca="1">CHOOSE($AN$8,Person2!GG14,Both!AC14)</f>
        <v>#NAME?</v>
      </c>
      <c r="BQ14" s="18" t="e">
        <f ca="1">CHOOSE($AN$8,Person2!GH14,Both!AD14)</f>
        <v>#NAME?</v>
      </c>
      <c r="BR14" s="4"/>
      <c r="BS14" s="4">
        <f>CHOOSE($AN$8,Person2!GJ14,Both!AF14)</f>
        <v>2024</v>
      </c>
      <c r="BT14" s="18">
        <f ca="1">CHOOSE($AN$8,Person2!GK14,Both!AG14)</f>
        <v>78.406589930059667</v>
      </c>
      <c r="BU14" s="18">
        <f ca="1">CHOOSE($AN$8,Person2!GL14,Both!AH14)</f>
        <v>18.253738871627942</v>
      </c>
      <c r="BV14" s="18">
        <f ca="1">CHOOSE($AN$8,Person2!GM14,Both!AI14)</f>
        <v>12.639534983502243</v>
      </c>
      <c r="BW14" s="18">
        <f ca="1">CHOOSE($AN$8,Person2!GN14,Both!AJ14)</f>
        <v>0</v>
      </c>
    </row>
    <row r="15" spans="1:75" x14ac:dyDescent="0.25">
      <c r="A15" s="41"/>
      <c r="B15" s="50" t="s">
        <v>58</v>
      </c>
      <c r="C15" s="48">
        <v>0.4</v>
      </c>
      <c r="D15" s="48">
        <v>0</v>
      </c>
      <c r="E15" s="51" t="s">
        <v>228</v>
      </c>
      <c r="F15" s="42" t="s">
        <v>109</v>
      </c>
      <c r="Y15" s="44"/>
      <c r="AE15" t="s">
        <v>58</v>
      </c>
      <c r="AJ15">
        <f t="shared" si="1"/>
        <v>0.4</v>
      </c>
      <c r="AK15">
        <f t="shared" si="2"/>
        <v>0</v>
      </c>
      <c r="AN15" t="s">
        <v>287</v>
      </c>
      <c r="AO15" t="s">
        <v>51</v>
      </c>
      <c r="AP15" t="s">
        <v>288</v>
      </c>
      <c r="BG15" s="4">
        <f>CHOOSE($AN$8,Person2!FX15,Both!T15)</f>
        <v>2025</v>
      </c>
      <c r="BH15" s="18">
        <f>CHOOSE($AN$8,Person2!FY15,Both!U15)</f>
        <v>41.595805650193874</v>
      </c>
      <c r="BI15" s="18">
        <f>CHOOSE($AN$8,Person2!FZ15,Both!V15)</f>
        <v>0</v>
      </c>
      <c r="BJ15" s="18">
        <f>CHOOSE($AN$8,Person2!GA15,Both!W15)</f>
        <v>0</v>
      </c>
      <c r="BK15" s="18">
        <f>CHOOSE($AN$8,Person2!GB15,Both!X15)</f>
        <v>0</v>
      </c>
      <c r="BL15" s="18">
        <f ca="1">CHOOSE($AN$8,Person2!GC15,Both!Y15)</f>
        <v>0</v>
      </c>
      <c r="BM15" s="18">
        <f ca="1">CHOOSE($AN$8,Person2!GD15,Both!Z15)</f>
        <v>0</v>
      </c>
      <c r="BN15" s="18">
        <f ca="1">CHOOSE($AN$8,Person2!GE15,Both!AA15)</f>
        <v>0</v>
      </c>
      <c r="BO15" s="18">
        <f ca="1">CHOOSE($AN$8,Person2!GF15,Both!AB15)</f>
        <v>0</v>
      </c>
      <c r="BP15" s="18" t="e">
        <f ca="1">CHOOSE($AN$8,Person2!GG15,Both!AC15)</f>
        <v>#NAME?</v>
      </c>
      <c r="BQ15" s="18" t="e">
        <f ca="1">CHOOSE($AN$8,Person2!GH15,Both!AD15)</f>
        <v>#NAME?</v>
      </c>
      <c r="BR15" s="4"/>
      <c r="BS15" s="4">
        <f>CHOOSE($AN$8,Person2!GJ15,Both!AF15)</f>
        <v>2025</v>
      </c>
      <c r="BT15" s="18">
        <f ca="1">CHOOSE($AN$8,Person2!GK15,Both!AG15)</f>
        <v>90.515940820098123</v>
      </c>
      <c r="BU15" s="18">
        <f ca="1">CHOOSE($AN$8,Person2!GL15,Both!AH15)</f>
        <v>21.225489972626907</v>
      </c>
      <c r="BV15" s="18">
        <f ca="1">CHOOSE($AN$8,Person2!GM15,Both!AI15)</f>
        <v>15.110562376744101</v>
      </c>
      <c r="BW15" s="18">
        <f ca="1">CHOOSE($AN$8,Person2!GN15,Both!AJ15)</f>
        <v>0</v>
      </c>
    </row>
    <row r="16" spans="1:75" x14ac:dyDescent="0.25">
      <c r="A16" s="41"/>
      <c r="B16" s="50" t="s">
        <v>227</v>
      </c>
      <c r="C16" s="48">
        <v>0.1</v>
      </c>
      <c r="D16" s="48">
        <v>0.4</v>
      </c>
      <c r="E16" s="51" t="s">
        <v>229</v>
      </c>
      <c r="F16" s="42" t="s">
        <v>109</v>
      </c>
      <c r="Y16" s="44"/>
      <c r="AE16" t="s">
        <v>227</v>
      </c>
      <c r="AJ16">
        <f t="shared" si="1"/>
        <v>0.1</v>
      </c>
      <c r="AK16">
        <f t="shared" si="2"/>
        <v>0.4</v>
      </c>
      <c r="AN16">
        <v>1</v>
      </c>
      <c r="AO16" s="88" t="e">
        <f ca="1">IF(OR(ABS(AX16-AY16)&gt;500,ABS(AZ16-BA16)&gt;500),1,0)</f>
        <v>#NAME?</v>
      </c>
      <c r="AP16" t="s">
        <v>289</v>
      </c>
      <c r="AX16">
        <f>SUM(P1_EstTR)</f>
        <v>1767039.8101506073</v>
      </c>
      <c r="AY16" t="e">
        <f ca="1">SUM(P1_ActTR)</f>
        <v>#NAME?</v>
      </c>
      <c r="AZ16">
        <f>SUM(P2_EstTR)</f>
        <v>2766506.1680782218</v>
      </c>
      <c r="BA16" t="e">
        <f ca="1">SUM(P2_ActTR)</f>
        <v>#NAME?</v>
      </c>
      <c r="BG16" s="4">
        <f>CHOOSE($AN$8,Person2!FX16,Both!T16)</f>
        <v>2026</v>
      </c>
      <c r="BH16" s="18">
        <f>CHOOSE($AN$8,Person2!FY16,Both!U16)</f>
        <v>41.799706658283057</v>
      </c>
      <c r="BI16" s="18">
        <f>CHOOSE($AN$8,Person2!FZ16,Both!V16)</f>
        <v>0</v>
      </c>
      <c r="BJ16" s="18">
        <f>CHOOSE($AN$8,Person2!GA16,Both!W16)</f>
        <v>0</v>
      </c>
      <c r="BK16" s="18">
        <f>CHOOSE($AN$8,Person2!GB16,Both!X16)</f>
        <v>0</v>
      </c>
      <c r="BL16" s="18">
        <f ca="1">CHOOSE($AN$8,Person2!GC16,Both!Y16)</f>
        <v>0</v>
      </c>
      <c r="BM16" s="18">
        <f ca="1">CHOOSE($AN$8,Person2!GD16,Both!Z16)</f>
        <v>0</v>
      </c>
      <c r="BN16" s="18">
        <f ca="1">CHOOSE($AN$8,Person2!GE16,Both!AA16)</f>
        <v>0</v>
      </c>
      <c r="BO16" s="18">
        <f ca="1">CHOOSE($AN$8,Person2!GF16,Both!AB16)</f>
        <v>0</v>
      </c>
      <c r="BP16" s="18" t="e">
        <f ca="1">CHOOSE($AN$8,Person2!GG16,Both!AC16)</f>
        <v>#NAME?</v>
      </c>
      <c r="BQ16" s="18" t="e">
        <f ca="1">CHOOSE($AN$8,Person2!GH16,Both!AD16)</f>
        <v>#NAME?</v>
      </c>
      <c r="BR16" s="4"/>
      <c r="BS16" s="4">
        <f>CHOOSE($AN$8,Person2!GJ16,Both!AF16)</f>
        <v>2026</v>
      </c>
      <c r="BT16" s="18">
        <f ca="1">CHOOSE($AN$8,Person2!GK16,Both!AG16)</f>
        <v>103.05368828815071</v>
      </c>
      <c r="BU16" s="18">
        <f ca="1">CHOOSE($AN$8,Person2!GL16,Both!AH16)</f>
        <v>24.296581186539104</v>
      </c>
      <c r="BV16" s="18">
        <f ca="1">CHOOSE($AN$8,Person2!GM16,Both!AI16)</f>
        <v>17.764616045803916</v>
      </c>
      <c r="BW16" s="18">
        <f ca="1">CHOOSE($AN$8,Person2!GN16,Both!AJ16)</f>
        <v>0</v>
      </c>
    </row>
    <row r="17" spans="1:75" x14ac:dyDescent="0.25">
      <c r="A17" s="41"/>
      <c r="B17" s="59" t="s">
        <v>79</v>
      </c>
      <c r="C17" s="60"/>
      <c r="D17" s="60"/>
      <c r="E17" s="61"/>
      <c r="F17" s="42" t="s">
        <v>109</v>
      </c>
      <c r="Y17" s="44"/>
      <c r="AE17" t="s">
        <v>79</v>
      </c>
      <c r="AJ17">
        <f t="shared" si="1"/>
        <v>0</v>
      </c>
      <c r="AK17">
        <f t="shared" si="2"/>
        <v>0</v>
      </c>
      <c r="AN17">
        <v>2</v>
      </c>
      <c r="AO17">
        <f>IF(AND(AX17=1,AY17&gt;=AZ17),1,0)</f>
        <v>0</v>
      </c>
      <c r="AP17" t="s">
        <v>335</v>
      </c>
      <c r="AX17">
        <f>C30</f>
        <v>1</v>
      </c>
      <c r="AY17">
        <f>C74</f>
        <v>2075</v>
      </c>
      <c r="AZ17">
        <f>D74</f>
        <v>2080</v>
      </c>
      <c r="BG17" s="4">
        <f>CHOOSE($AN$8,Person2!FX17,Both!T17)</f>
        <v>2027</v>
      </c>
      <c r="BH17" s="18">
        <f>CHOOSE($AN$8,Person2!FY17,Both!U17)</f>
        <v>42.004607181117777</v>
      </c>
      <c r="BI17" s="18">
        <f>CHOOSE($AN$8,Person2!FZ17,Both!V17)</f>
        <v>0</v>
      </c>
      <c r="BJ17" s="18">
        <f>CHOOSE($AN$8,Person2!GA17,Both!W17)</f>
        <v>0</v>
      </c>
      <c r="BK17" s="18">
        <f>CHOOSE($AN$8,Person2!GB17,Both!X17)</f>
        <v>0</v>
      </c>
      <c r="BL17" s="18">
        <f ca="1">CHOOSE($AN$8,Person2!GC17,Both!Y17)</f>
        <v>0</v>
      </c>
      <c r="BM17" s="18">
        <f ca="1">CHOOSE($AN$8,Person2!GD17,Both!Z17)</f>
        <v>0</v>
      </c>
      <c r="BN17" s="18">
        <f ca="1">CHOOSE($AN$8,Person2!GE17,Both!AA17)</f>
        <v>0</v>
      </c>
      <c r="BO17" s="18">
        <f ca="1">CHOOSE($AN$8,Person2!GF17,Both!AB17)</f>
        <v>0</v>
      </c>
      <c r="BP17" s="18" t="e">
        <f ca="1">CHOOSE($AN$8,Person2!GG17,Both!AC17)</f>
        <v>#NAME?</v>
      </c>
      <c r="BQ17" s="18" t="e">
        <f ca="1">CHOOSE($AN$8,Person2!GH17,Both!AD17)</f>
        <v>#NAME?</v>
      </c>
      <c r="BR17" s="4"/>
      <c r="BS17" s="4">
        <f>CHOOSE($AN$8,Person2!GJ17,Both!AF17)</f>
        <v>2027</v>
      </c>
      <c r="BT17" s="18">
        <f ca="1">CHOOSE($AN$8,Person2!GK17,Both!AG17)</f>
        <v>116.03302344465042</v>
      </c>
      <c r="BU17" s="18">
        <f ca="1">CHOOSE($AN$8,Person2!GL17,Both!AH17)</f>
        <v>27.469992789571613</v>
      </c>
      <c r="BV17" s="18">
        <f ca="1">CHOOSE($AN$8,Person2!GM17,Both!AI17)</f>
        <v>20.607673339912992</v>
      </c>
      <c r="BW17" s="18">
        <f ca="1">CHOOSE($AN$8,Person2!GN17,Both!AJ17)</f>
        <v>0</v>
      </c>
    </row>
    <row r="18" spans="1:75" x14ac:dyDescent="0.25">
      <c r="A18" s="41"/>
      <c r="B18" s="50" t="s">
        <v>59</v>
      </c>
      <c r="C18" s="8">
        <v>80000</v>
      </c>
      <c r="D18" s="8">
        <v>40000</v>
      </c>
      <c r="E18" s="51" t="s">
        <v>362</v>
      </c>
      <c r="F18" s="42" t="s">
        <v>109</v>
      </c>
      <c r="Y18" s="44"/>
      <c r="AE18" t="s">
        <v>59</v>
      </c>
      <c r="AG18">
        <v>1</v>
      </c>
      <c r="AI18">
        <v>0</v>
      </c>
      <c r="AJ18">
        <f t="shared" si="1"/>
        <v>80000</v>
      </c>
      <c r="AK18">
        <f t="shared" si="2"/>
        <v>40000</v>
      </c>
      <c r="AN18">
        <v>3</v>
      </c>
      <c r="AO18">
        <f ca="1">IF(OR(AZ18=1,BA18=1),1,0)</f>
        <v>0</v>
      </c>
      <c r="AP18" t="str">
        <f ca="1">"There is an income shortfall for "&amp;BB18</f>
        <v xml:space="preserve">There is an income shortfall for </v>
      </c>
      <c r="AX18" t="str">
        <f ca="1">S6</f>
        <v>None</v>
      </c>
      <c r="AY18" t="str">
        <f ca="1">T6</f>
        <v>None</v>
      </c>
      <c r="AZ18">
        <f ca="1">IF(AX18&lt;&gt;"none",1,0)</f>
        <v>0</v>
      </c>
      <c r="BA18">
        <f ca="1">IF(AY18&lt;&gt;"none",1,0)</f>
        <v>0</v>
      </c>
      <c r="BB18" t="str">
        <f ca="1">IF(AZ18=1,IF(BA18=1,"Person1 and Person2","Person1"),IF(BA18=1,"Person2",""))</f>
        <v/>
      </c>
      <c r="BG18" s="4">
        <f>CHOOSE($AN$8,Person2!FX18,Both!T18)</f>
        <v>2028</v>
      </c>
      <c r="BH18" s="18">
        <f>CHOOSE($AN$8,Person2!FY18,Both!U18)</f>
        <v>42.210512118280114</v>
      </c>
      <c r="BI18" s="18">
        <f>CHOOSE($AN$8,Person2!FZ18,Both!V18)</f>
        <v>0</v>
      </c>
      <c r="BJ18" s="18">
        <f>CHOOSE($AN$8,Person2!GA18,Both!W18)</f>
        <v>0</v>
      </c>
      <c r="BK18" s="18">
        <f>CHOOSE($AN$8,Person2!GB18,Both!X18)</f>
        <v>0</v>
      </c>
      <c r="BL18" s="18">
        <f ca="1">CHOOSE($AN$8,Person2!GC18,Both!Y18)</f>
        <v>0</v>
      </c>
      <c r="BM18" s="18">
        <f ca="1">CHOOSE($AN$8,Person2!GD18,Both!Z18)</f>
        <v>0</v>
      </c>
      <c r="BN18" s="18">
        <f ca="1">CHOOSE($AN$8,Person2!GE18,Both!AA18)</f>
        <v>0</v>
      </c>
      <c r="BO18" s="18">
        <f ca="1">CHOOSE($AN$8,Person2!GF18,Both!AB18)</f>
        <v>0</v>
      </c>
      <c r="BP18" s="18" t="e">
        <f ca="1">CHOOSE($AN$8,Person2!GG18,Both!AC18)</f>
        <v>#NAME?</v>
      </c>
      <c r="BQ18" s="18" t="e">
        <f ca="1">CHOOSE($AN$8,Person2!GH18,Both!AD18)</f>
        <v>#NAME?</v>
      </c>
      <c r="BR18" s="4"/>
      <c r="BS18" s="4">
        <f>CHOOSE($AN$8,Person2!GJ18,Both!AF18)</f>
        <v>2028</v>
      </c>
      <c r="BT18" s="18">
        <f ca="1">CHOOSE($AN$8,Person2!GK18,Both!AG18)</f>
        <v>129.46753059644402</v>
      </c>
      <c r="BU18" s="18">
        <f ca="1">CHOOSE($AN$8,Person2!GL18,Both!AH18)</f>
        <v>30.748792999918887</v>
      </c>
      <c r="BV18" s="18">
        <f ca="1">CHOOSE($AN$8,Person2!GM18,Both!AI18)</f>
        <v>23.645889280512684</v>
      </c>
      <c r="BW18" s="18">
        <f ca="1">CHOOSE($AN$8,Person2!GN18,Both!AJ18)</f>
        <v>0</v>
      </c>
    </row>
    <row r="19" spans="1:75" x14ac:dyDescent="0.25">
      <c r="A19" s="41"/>
      <c r="B19" s="50" t="s">
        <v>180</v>
      </c>
      <c r="C19" s="48">
        <v>0</v>
      </c>
      <c r="D19" s="48">
        <v>0.06</v>
      </c>
      <c r="E19" s="51" t="s">
        <v>406</v>
      </c>
      <c r="F19" s="42" t="s">
        <v>109</v>
      </c>
      <c r="Y19" s="44"/>
      <c r="AE19" t="s">
        <v>180</v>
      </c>
      <c r="AG19">
        <v>1</v>
      </c>
      <c r="AI19">
        <v>0</v>
      </c>
      <c r="AJ19">
        <f t="shared" si="1"/>
        <v>0</v>
      </c>
      <c r="AK19">
        <f t="shared" si="2"/>
        <v>0.06</v>
      </c>
      <c r="AN19">
        <v>4</v>
      </c>
      <c r="AO19">
        <v>0</v>
      </c>
      <c r="BG19" s="4">
        <f>CHOOSE($AN$8,Person2!FX19,Both!T19)</f>
        <v>2029</v>
      </c>
      <c r="BH19" s="18">
        <f>CHOOSE($AN$8,Person2!FY19,Both!U19)</f>
        <v>42.417426393369723</v>
      </c>
      <c r="BI19" s="18">
        <f>CHOOSE($AN$8,Person2!FZ19,Both!V19)</f>
        <v>0</v>
      </c>
      <c r="BJ19" s="18">
        <f>CHOOSE($AN$8,Person2!GA19,Both!W19)</f>
        <v>0</v>
      </c>
      <c r="BK19" s="18">
        <f>CHOOSE($AN$8,Person2!GB19,Both!X19)</f>
        <v>0</v>
      </c>
      <c r="BL19" s="18">
        <f ca="1">CHOOSE($AN$8,Person2!GC19,Both!Y19)</f>
        <v>0</v>
      </c>
      <c r="BM19" s="18">
        <f ca="1">CHOOSE($AN$8,Person2!GD19,Both!Z19)</f>
        <v>0</v>
      </c>
      <c r="BN19" s="18">
        <f ca="1">CHOOSE($AN$8,Person2!GE19,Both!AA19)</f>
        <v>0</v>
      </c>
      <c r="BO19" s="18">
        <f ca="1">CHOOSE($AN$8,Person2!GF19,Both!AB19)</f>
        <v>0</v>
      </c>
      <c r="BP19" s="18" t="e">
        <f ca="1">CHOOSE($AN$8,Person2!GG19,Both!AC19)</f>
        <v>#NAME?</v>
      </c>
      <c r="BQ19" s="18" t="e">
        <f ca="1">CHOOSE($AN$8,Person2!GH19,Both!AD19)</f>
        <v>#NAME?</v>
      </c>
      <c r="BR19" s="4"/>
      <c r="BS19" s="4">
        <f>CHOOSE($AN$8,Person2!GJ19,Both!AF19)</f>
        <v>2029</v>
      </c>
      <c r="BT19" s="18">
        <f ca="1">CHOOSE($AN$8,Person2!GK19,Both!AG19)</f>
        <v>143.37119885978234</v>
      </c>
      <c r="BU19" s="18">
        <f ca="1">CHOOSE($AN$8,Person2!GL19,Both!AH19)</f>
        <v>34.13614056569768</v>
      </c>
      <c r="BV19" s="18">
        <f ca="1">CHOOSE($AN$8,Person2!GM19,Both!AI19)</f>
        <v>26.885601816554562</v>
      </c>
      <c r="BW19" s="18">
        <f ca="1">CHOOSE($AN$8,Person2!GN19,Both!AJ19)</f>
        <v>0</v>
      </c>
    </row>
    <row r="20" spans="1:75" x14ac:dyDescent="0.25">
      <c r="A20" s="41"/>
      <c r="B20" s="50" t="s">
        <v>53</v>
      </c>
      <c r="C20" s="8">
        <v>5000</v>
      </c>
      <c r="D20" s="8">
        <v>0</v>
      </c>
      <c r="E20" s="51" t="s">
        <v>418</v>
      </c>
      <c r="F20" s="42" t="s">
        <v>109</v>
      </c>
      <c r="Y20" s="44"/>
      <c r="AE20" t="s">
        <v>53</v>
      </c>
      <c r="AG20">
        <v>1</v>
      </c>
      <c r="AI20">
        <v>0</v>
      </c>
      <c r="AJ20">
        <f t="shared" si="1"/>
        <v>5000</v>
      </c>
      <c r="AK20">
        <f t="shared" si="2"/>
        <v>0</v>
      </c>
      <c r="AN20">
        <v>5</v>
      </c>
      <c r="AO20">
        <v>0</v>
      </c>
      <c r="BG20" s="4">
        <f>CHOOSE($AN$8,Person2!FX20,Both!T20)</f>
        <v>2030</v>
      </c>
      <c r="BH20" s="18">
        <f>CHOOSE($AN$8,Person2!FY20,Both!U20)</f>
        <v>42.625354954121534</v>
      </c>
      <c r="BI20" s="18">
        <f>CHOOSE($AN$8,Person2!FZ20,Both!V20)</f>
        <v>0</v>
      </c>
      <c r="BJ20" s="18">
        <f>CHOOSE($AN$8,Person2!GA20,Both!W20)</f>
        <v>0</v>
      </c>
      <c r="BK20" s="18">
        <f>CHOOSE($AN$8,Person2!GB20,Both!X20)</f>
        <v>0</v>
      </c>
      <c r="BL20" s="18">
        <f ca="1">CHOOSE($AN$8,Person2!GC20,Both!Y20)</f>
        <v>0</v>
      </c>
      <c r="BM20" s="18">
        <f ca="1">CHOOSE($AN$8,Person2!GD20,Both!Z20)</f>
        <v>0</v>
      </c>
      <c r="BN20" s="18">
        <f ca="1">CHOOSE($AN$8,Person2!GE20,Both!AA20)</f>
        <v>0</v>
      </c>
      <c r="BO20" s="18">
        <f ca="1">CHOOSE($AN$8,Person2!GF20,Both!AB20)</f>
        <v>0</v>
      </c>
      <c r="BP20" s="18" t="e">
        <f ca="1">CHOOSE($AN$8,Person2!GG20,Both!AC20)</f>
        <v>#NAME?</v>
      </c>
      <c r="BQ20" s="18" t="e">
        <f ca="1">CHOOSE($AN$8,Person2!GH20,Both!AD20)</f>
        <v>#NAME?</v>
      </c>
      <c r="BR20" s="4"/>
      <c r="BS20" s="4">
        <f>CHOOSE($AN$8,Person2!GJ20,Both!AF20)</f>
        <v>2030</v>
      </c>
      <c r="BT20" s="18">
        <f ca="1">CHOOSE($AN$8,Person2!GK20,Both!AG20)</f>
        <v>157.75843411532969</v>
      </c>
      <c r="BU20" s="18">
        <f ca="1">CHOOSE($AN$8,Person2!GL20,Both!AH20)</f>
        <v>37.635287429004663</v>
      </c>
      <c r="BV20" s="18">
        <f ca="1">CHOOSE($AN$8,Person2!GM20,Both!AI20)</f>
        <v>30.333337234111784</v>
      </c>
      <c r="BW20" s="18">
        <f ca="1">CHOOSE($AN$8,Person2!GN20,Both!AJ20)</f>
        <v>0</v>
      </c>
    </row>
    <row r="21" spans="1:75" x14ac:dyDescent="0.25">
      <c r="A21" s="41"/>
      <c r="B21" s="50" t="s">
        <v>370</v>
      </c>
      <c r="C21" s="48">
        <v>0.5</v>
      </c>
      <c r="D21" s="48">
        <v>0</v>
      </c>
      <c r="E21" s="51" t="s">
        <v>371</v>
      </c>
      <c r="F21" s="42" t="s">
        <v>109</v>
      </c>
      <c r="Y21" s="44"/>
      <c r="AE21" t="s">
        <v>370</v>
      </c>
      <c r="AF21">
        <v>1</v>
      </c>
      <c r="AG21">
        <v>1</v>
      </c>
      <c r="AH21">
        <v>0</v>
      </c>
      <c r="AI21">
        <v>0</v>
      </c>
      <c r="AJ21">
        <f t="shared" si="1"/>
        <v>0.5</v>
      </c>
      <c r="AK21">
        <f t="shared" si="2"/>
        <v>0</v>
      </c>
      <c r="AN21">
        <v>6</v>
      </c>
      <c r="AO21">
        <v>0</v>
      </c>
      <c r="BG21" s="4">
        <f>CHOOSE($AN$8,Person2!FX21,Both!T21)</f>
        <v>2031</v>
      </c>
      <c r="BH21" s="18">
        <f>CHOOSE($AN$8,Person2!FY21,Both!U21)</f>
        <v>42.83430277252409</v>
      </c>
      <c r="BI21" s="18">
        <f>CHOOSE($AN$8,Person2!FZ21,Both!V21)</f>
        <v>0</v>
      </c>
      <c r="BJ21" s="18">
        <f>CHOOSE($AN$8,Person2!GA21,Both!W21)</f>
        <v>0</v>
      </c>
      <c r="BK21" s="18">
        <f>CHOOSE($AN$8,Person2!GB21,Both!X21)</f>
        <v>0</v>
      </c>
      <c r="BL21" s="18">
        <f ca="1">CHOOSE($AN$8,Person2!GC21,Both!Y21)</f>
        <v>0</v>
      </c>
      <c r="BM21" s="18">
        <f ca="1">CHOOSE($AN$8,Person2!GD21,Both!Z21)</f>
        <v>0</v>
      </c>
      <c r="BN21" s="18">
        <f ca="1">CHOOSE($AN$8,Person2!GE21,Both!AA21)</f>
        <v>0</v>
      </c>
      <c r="BO21" s="18">
        <f ca="1">CHOOSE($AN$8,Person2!GF21,Both!AB21)</f>
        <v>0</v>
      </c>
      <c r="BP21" s="18" t="e">
        <f ca="1">CHOOSE($AN$8,Person2!GG21,Both!AC21)</f>
        <v>#NAME?</v>
      </c>
      <c r="BQ21" s="18" t="e">
        <f ca="1">CHOOSE($AN$8,Person2!GH21,Both!AD21)</f>
        <v>#NAME?</v>
      </c>
      <c r="BR21" s="4"/>
      <c r="BS21" s="4">
        <f>CHOOSE($AN$8,Person2!GJ21,Both!AF21)</f>
        <v>2031</v>
      </c>
      <c r="BT21" s="18">
        <f ca="1">CHOOSE($AN$8,Person2!GK21,Both!AG21)</f>
        <v>172.64407131525653</v>
      </c>
      <c r="BU21" s="18">
        <f ca="1">CHOOSE($AN$8,Person2!GL21,Both!AH21)</f>
        <v>41.249581468335471</v>
      </c>
      <c r="BV21" s="18">
        <f ca="1">CHOOSE($AN$8,Person2!GM21,Both!AI21)</f>
        <v>33.995815724846878</v>
      </c>
      <c r="BW21" s="18">
        <f ca="1">CHOOSE($AN$8,Person2!GN21,Both!AJ21)</f>
        <v>0</v>
      </c>
    </row>
    <row r="22" spans="1:75" x14ac:dyDescent="0.25">
      <c r="A22" s="41"/>
      <c r="B22" s="50" t="s">
        <v>174</v>
      </c>
      <c r="C22" s="8">
        <v>0</v>
      </c>
      <c r="D22" s="8">
        <v>0</v>
      </c>
      <c r="E22" s="51" t="s">
        <v>177</v>
      </c>
      <c r="F22" s="42" t="s">
        <v>109</v>
      </c>
      <c r="Y22" s="44"/>
      <c r="AE22" t="s">
        <v>174</v>
      </c>
      <c r="AJ22">
        <f t="shared" si="1"/>
        <v>0</v>
      </c>
      <c r="AK22">
        <f t="shared" si="2"/>
        <v>0</v>
      </c>
      <c r="AN22">
        <v>7</v>
      </c>
      <c r="AO22">
        <v>0</v>
      </c>
      <c r="BG22" s="4">
        <f>CHOOSE($AN$8,Person2!FX22,Both!T22)</f>
        <v>2032</v>
      </c>
      <c r="BH22" s="18">
        <f>CHOOSE($AN$8,Person2!FY22,Both!U22)</f>
        <v>43.044274844938421</v>
      </c>
      <c r="BI22" s="18">
        <f>CHOOSE($AN$8,Person2!FZ22,Both!V22)</f>
        <v>0</v>
      </c>
      <c r="BJ22" s="18">
        <f>CHOOSE($AN$8,Person2!GA22,Both!W22)</f>
        <v>0</v>
      </c>
      <c r="BK22" s="18">
        <f>CHOOSE($AN$8,Person2!GB22,Both!X22)</f>
        <v>0</v>
      </c>
      <c r="BL22" s="18">
        <f ca="1">CHOOSE($AN$8,Person2!GC22,Both!Y22)</f>
        <v>0</v>
      </c>
      <c r="BM22" s="18">
        <f ca="1">CHOOSE($AN$8,Person2!GD22,Both!Z22)</f>
        <v>0</v>
      </c>
      <c r="BN22" s="18">
        <f ca="1">CHOOSE($AN$8,Person2!GE22,Both!AA22)</f>
        <v>0</v>
      </c>
      <c r="BO22" s="18">
        <f ca="1">CHOOSE($AN$8,Person2!GF22,Both!AB22)</f>
        <v>0</v>
      </c>
      <c r="BP22" s="18" t="e">
        <f ca="1">CHOOSE($AN$8,Person2!GG22,Both!AC22)</f>
        <v>#NAME?</v>
      </c>
      <c r="BQ22" s="18" t="e">
        <f ca="1">CHOOSE($AN$8,Person2!GH22,Both!AD22)</f>
        <v>#NAME?</v>
      </c>
      <c r="BR22" s="4"/>
      <c r="BS22" s="4">
        <f>CHOOSE($AN$8,Person2!GJ22,Both!AF22)</f>
        <v>2032</v>
      </c>
      <c r="BT22" s="18">
        <f ca="1">CHOOSE($AN$8,Person2!GK22,Both!AG22)</f>
        <v>188.04338715277459</v>
      </c>
      <c r="BU22" s="18">
        <f ca="1">CHOOSE($AN$8,Person2!GL22,Both!AH22)</f>
        <v>44.98246932167028</v>
      </c>
      <c r="BV22" s="18">
        <f ca="1">CHOOSE($AN$8,Person2!GM22,Both!AI22)</f>
        <v>37.879957118014609</v>
      </c>
      <c r="BW22" s="18">
        <f ca="1">CHOOSE($AN$8,Person2!GN22,Both!AJ22)</f>
        <v>0</v>
      </c>
    </row>
    <row r="23" spans="1:75" x14ac:dyDescent="0.25">
      <c r="A23" s="41"/>
      <c r="B23" s="50" t="s">
        <v>175</v>
      </c>
      <c r="C23" s="8">
        <v>0</v>
      </c>
      <c r="D23" s="8">
        <v>0</v>
      </c>
      <c r="E23" s="51" t="s">
        <v>176</v>
      </c>
      <c r="F23" s="42" t="s">
        <v>109</v>
      </c>
      <c r="Y23" s="44"/>
      <c r="AE23" t="s">
        <v>175</v>
      </c>
      <c r="AJ23">
        <f t="shared" si="1"/>
        <v>0</v>
      </c>
      <c r="AK23">
        <f t="shared" si="2"/>
        <v>0</v>
      </c>
      <c r="AN23">
        <v>8</v>
      </c>
      <c r="AO23">
        <v>0</v>
      </c>
      <c r="BG23" s="4">
        <f>CHOOSE($AN$8,Person2!FX23,Both!T23)</f>
        <v>2033</v>
      </c>
      <c r="BH23" s="18">
        <f>CHOOSE($AN$8,Person2!FY23,Both!U23)</f>
        <v>43.255276192217536</v>
      </c>
      <c r="BI23" s="18">
        <f>CHOOSE($AN$8,Person2!FZ23,Both!V23)</f>
        <v>0</v>
      </c>
      <c r="BJ23" s="18">
        <f>CHOOSE($AN$8,Person2!GA23,Both!W23)</f>
        <v>0</v>
      </c>
      <c r="BK23" s="18">
        <f>CHOOSE($AN$8,Person2!GB23,Both!X23)</f>
        <v>0</v>
      </c>
      <c r="BL23" s="18">
        <f ca="1">CHOOSE($AN$8,Person2!GC23,Both!Y23)</f>
        <v>0</v>
      </c>
      <c r="BM23" s="18">
        <f ca="1">CHOOSE($AN$8,Person2!GD23,Both!Z23)</f>
        <v>0</v>
      </c>
      <c r="BN23" s="18">
        <f ca="1">CHOOSE($AN$8,Person2!GE23,Both!AA23)</f>
        <v>0</v>
      </c>
      <c r="BO23" s="18">
        <f ca="1">CHOOSE($AN$8,Person2!GF23,Both!AB23)</f>
        <v>0</v>
      </c>
      <c r="BP23" s="18" t="e">
        <f ca="1">CHOOSE($AN$8,Person2!GG23,Both!AC23)</f>
        <v>#NAME?</v>
      </c>
      <c r="BQ23" s="18" t="e">
        <f ca="1">CHOOSE($AN$8,Person2!GH23,Both!AD23)</f>
        <v>#NAME?</v>
      </c>
      <c r="BR23" s="4"/>
      <c r="BS23" s="4">
        <f>CHOOSE($AN$8,Person2!GJ23,Both!AF23)</f>
        <v>2033</v>
      </c>
      <c r="BT23" s="18">
        <f ca="1">CHOOSE($AN$8,Person2!GK23,Both!AG23)</f>
        <v>203.97211310477999</v>
      </c>
      <c r="BU23" s="18">
        <f ca="1">CHOOSE($AN$8,Person2!GL23,Both!AH23)</f>
        <v>48.837499292598132</v>
      </c>
      <c r="BV23" s="18">
        <f ca="1">CHOOSE($AN$8,Person2!GM23,Both!AI23)</f>
        <v>41.99288678081632</v>
      </c>
      <c r="BW23" s="18">
        <f ca="1">CHOOSE($AN$8,Person2!GN23,Both!AJ23)</f>
        <v>0</v>
      </c>
    </row>
    <row r="24" spans="1:75" x14ac:dyDescent="0.25">
      <c r="A24" s="41"/>
      <c r="B24" s="59" t="s">
        <v>481</v>
      </c>
      <c r="C24" s="60"/>
      <c r="D24" s="60"/>
      <c r="E24" s="61"/>
      <c r="F24" s="42" t="s">
        <v>109</v>
      </c>
      <c r="Y24" s="44"/>
      <c r="AE24" t="s">
        <v>91</v>
      </c>
      <c r="AJ24">
        <f t="shared" si="1"/>
        <v>0</v>
      </c>
      <c r="AK24">
        <f t="shared" si="2"/>
        <v>0</v>
      </c>
      <c r="AN24">
        <v>9</v>
      </c>
      <c r="AO24">
        <v>0</v>
      </c>
      <c r="BG24" s="4">
        <f>CHOOSE($AN$8,Person2!FX24,Both!T24)</f>
        <v>2034</v>
      </c>
      <c r="BH24" s="18">
        <f>CHOOSE($AN$8,Person2!FY24,Both!U24)</f>
        <v>43.467311859826424</v>
      </c>
      <c r="BI24" s="18">
        <f>CHOOSE($AN$8,Person2!FZ24,Both!V24)</f>
        <v>0</v>
      </c>
      <c r="BJ24" s="18">
        <f>CHOOSE($AN$8,Person2!GA24,Both!W24)</f>
        <v>0</v>
      </c>
      <c r="BK24" s="18">
        <f>CHOOSE($AN$8,Person2!GB24,Both!X24)</f>
        <v>0</v>
      </c>
      <c r="BL24" s="18">
        <f ca="1">CHOOSE($AN$8,Person2!GC24,Both!Y24)</f>
        <v>0</v>
      </c>
      <c r="BM24" s="18">
        <f ca="1">CHOOSE($AN$8,Person2!GD24,Both!Z24)</f>
        <v>0</v>
      </c>
      <c r="BN24" s="18">
        <f ca="1">CHOOSE($AN$8,Person2!GE24,Both!AA24)</f>
        <v>0</v>
      </c>
      <c r="BO24" s="18">
        <f ca="1">CHOOSE($AN$8,Person2!GF24,Both!AB24)</f>
        <v>0</v>
      </c>
      <c r="BP24" s="18" t="e">
        <f ca="1">CHOOSE($AN$8,Person2!GG24,Both!AC24)</f>
        <v>#NAME?</v>
      </c>
      <c r="BQ24" s="18" t="e">
        <f ca="1">CHOOSE($AN$8,Person2!GH24,Both!AD24)</f>
        <v>#NAME?</v>
      </c>
      <c r="BR24" s="4"/>
      <c r="BS24" s="4">
        <f>CHOOSE($AN$8,Person2!GJ24,Both!AF24)</f>
        <v>2034</v>
      </c>
      <c r="BT24" s="18">
        <f ca="1">CHOOSE($AN$8,Person2!GK24,Both!AG24)</f>
        <v>220.44644885858187</v>
      </c>
      <c r="BU24" s="18">
        <f ca="1">CHOOSE($AN$8,Person2!GL24,Both!AH24)</f>
        <v>52.818324341922647</v>
      </c>
      <c r="BV24" s="18">
        <f ca="1">CHOOSE($AN$8,Person2!GM24,Both!AI24)</f>
        <v>46.341941692063216</v>
      </c>
      <c r="BW24" s="18">
        <f ca="1">CHOOSE($AN$8,Person2!GN24,Both!AJ24)</f>
        <v>0</v>
      </c>
    </row>
    <row r="25" spans="1:75" x14ac:dyDescent="0.25">
      <c r="A25" s="41"/>
      <c r="B25" s="50" t="s">
        <v>477</v>
      </c>
      <c r="C25" s="8">
        <v>50000</v>
      </c>
      <c r="D25" s="8">
        <v>25000</v>
      </c>
      <c r="E25" s="51" t="s">
        <v>486</v>
      </c>
      <c r="F25" s="42" t="s">
        <v>109</v>
      </c>
      <c r="Y25" s="44"/>
      <c r="AE25" t="s">
        <v>477</v>
      </c>
      <c r="AG25">
        <v>1</v>
      </c>
      <c r="AI25">
        <v>0</v>
      </c>
      <c r="AJ25">
        <f t="shared" si="1"/>
        <v>50000</v>
      </c>
      <c r="AK25">
        <f t="shared" si="2"/>
        <v>25000</v>
      </c>
      <c r="AN25">
        <v>10</v>
      </c>
      <c r="AO25">
        <v>0</v>
      </c>
      <c r="BG25" s="4">
        <f>CHOOSE($AN$8,Person2!FX25,Both!T25)</f>
        <v>2035</v>
      </c>
      <c r="BH25" s="18">
        <f>CHOOSE($AN$8,Person2!FY25,Both!U25)</f>
        <v>43.680386917962828</v>
      </c>
      <c r="BI25" s="18">
        <f>CHOOSE($AN$8,Person2!FZ25,Both!V25)</f>
        <v>0</v>
      </c>
      <c r="BJ25" s="18">
        <f>CHOOSE($AN$8,Person2!GA25,Both!W25)</f>
        <v>0</v>
      </c>
      <c r="BK25" s="18">
        <f>CHOOSE($AN$8,Person2!GB25,Both!X25)</f>
        <v>0</v>
      </c>
      <c r="BL25" s="18">
        <f ca="1">CHOOSE($AN$8,Person2!GC25,Both!Y25)</f>
        <v>0</v>
      </c>
      <c r="BM25" s="18">
        <f ca="1">CHOOSE($AN$8,Person2!GD25,Both!Z25)</f>
        <v>0</v>
      </c>
      <c r="BN25" s="18">
        <f ca="1">CHOOSE($AN$8,Person2!GE25,Both!AA25)</f>
        <v>0</v>
      </c>
      <c r="BO25" s="18">
        <f ca="1">CHOOSE($AN$8,Person2!GF25,Both!AB25)</f>
        <v>0</v>
      </c>
      <c r="BP25" s="18" t="e">
        <f ca="1">CHOOSE($AN$8,Person2!GG25,Both!AC25)</f>
        <v>#NAME?</v>
      </c>
      <c r="BQ25" s="18" t="e">
        <f ca="1">CHOOSE($AN$8,Person2!GH25,Both!AD25)</f>
        <v>#NAME?</v>
      </c>
      <c r="BR25" s="4"/>
      <c r="BS25" s="4">
        <f>CHOOSE($AN$8,Person2!GJ25,Both!AF25)</f>
        <v>2035</v>
      </c>
      <c r="BT25" s="18">
        <f ca="1">CHOOSE($AN$8,Person2!GK25,Both!AG25)</f>
        <v>237.48307613401801</v>
      </c>
      <c r="BU25" s="18">
        <f ca="1">CHOOSE($AN$8,Person2!GL25,Both!AH25)</f>
        <v>56.928705167263097</v>
      </c>
      <c r="BV25" s="18">
        <f ca="1">CHOOSE($AN$8,Person2!GM25,Both!AI25)</f>
        <v>50.934676694252424</v>
      </c>
      <c r="BW25" s="18">
        <f ca="1">CHOOSE($AN$8,Person2!GN25,Both!AJ25)</f>
        <v>0</v>
      </c>
    </row>
    <row r="26" spans="1:75" x14ac:dyDescent="0.25">
      <c r="A26" s="41"/>
      <c r="B26" s="50" t="s">
        <v>484</v>
      </c>
      <c r="C26" s="47">
        <v>0</v>
      </c>
      <c r="D26" s="47">
        <v>0</v>
      </c>
      <c r="E26" s="51" t="s">
        <v>487</v>
      </c>
      <c r="F26" s="42" t="s">
        <v>109</v>
      </c>
      <c r="Y26" s="44"/>
      <c r="AE26" t="s">
        <v>484</v>
      </c>
      <c r="AG26">
        <v>1</v>
      </c>
      <c r="AI26">
        <v>0</v>
      </c>
      <c r="AJ26">
        <f t="shared" si="1"/>
        <v>0</v>
      </c>
      <c r="AK26">
        <f t="shared" si="2"/>
        <v>0</v>
      </c>
      <c r="BG26" s="4">
        <f>CHOOSE($AN$8,Person2!FX26,Both!T26)</f>
        <v>2036</v>
      </c>
      <c r="BH26" s="18">
        <f>CHOOSE($AN$8,Person2!FY26,Both!U26)</f>
        <v>43.89450646167834</v>
      </c>
      <c r="BI26" s="18">
        <f>CHOOSE($AN$8,Person2!FZ26,Both!V26)</f>
        <v>0</v>
      </c>
      <c r="BJ26" s="18">
        <f>CHOOSE($AN$8,Person2!GA26,Both!W26)</f>
        <v>0</v>
      </c>
      <c r="BK26" s="18">
        <f>CHOOSE($AN$8,Person2!GB26,Both!X26)</f>
        <v>0</v>
      </c>
      <c r="BL26" s="18">
        <f ca="1">CHOOSE($AN$8,Person2!GC26,Both!Y26)</f>
        <v>0</v>
      </c>
      <c r="BM26" s="18">
        <f ca="1">CHOOSE($AN$8,Person2!GD26,Both!Z26)</f>
        <v>0</v>
      </c>
      <c r="BN26" s="18">
        <f ca="1">CHOOSE($AN$8,Person2!GE26,Both!AA26)</f>
        <v>0</v>
      </c>
      <c r="BO26" s="18">
        <f ca="1">CHOOSE($AN$8,Person2!GF26,Both!AB26)</f>
        <v>0</v>
      </c>
      <c r="BP26" s="18" t="e">
        <f ca="1">CHOOSE($AN$8,Person2!GG26,Both!AC26)</f>
        <v>#NAME?</v>
      </c>
      <c r="BQ26" s="18" t="e">
        <f ca="1">CHOOSE($AN$8,Person2!GH26,Both!AD26)</f>
        <v>#NAME?</v>
      </c>
      <c r="BR26" s="4"/>
      <c r="BS26" s="4">
        <f>CHOOSE($AN$8,Person2!GJ26,Both!AF26)</f>
        <v>2036</v>
      </c>
      <c r="BT26" s="18">
        <f ca="1">CHOOSE($AN$8,Person2!GK26,Both!AG26)</f>
        <v>255.0991729125918</v>
      </c>
      <c r="BU26" s="18">
        <f ca="1">CHOOSE($AN$8,Person2!GL26,Both!AH26)</f>
        <v>61.172513373239234</v>
      </c>
      <c r="BV26" s="18">
        <f ca="1">CHOOSE($AN$8,Person2!GM26,Both!AI26)</f>
        <v>55.778870929309136</v>
      </c>
      <c r="BW26" s="18">
        <f ca="1">CHOOSE($AN$8,Person2!GN26,Both!AJ26)</f>
        <v>0</v>
      </c>
    </row>
    <row r="27" spans="1:75" x14ac:dyDescent="0.25">
      <c r="A27" s="41"/>
      <c r="B27" s="50" t="s">
        <v>482</v>
      </c>
      <c r="C27" s="8">
        <v>50000</v>
      </c>
      <c r="D27" s="8">
        <v>25000</v>
      </c>
      <c r="E27" s="51" t="s">
        <v>488</v>
      </c>
      <c r="F27" s="42" t="s">
        <v>109</v>
      </c>
      <c r="Y27" s="44"/>
      <c r="AE27" t="s">
        <v>482</v>
      </c>
      <c r="AG27">
        <v>1</v>
      </c>
      <c r="AI27">
        <v>0</v>
      </c>
      <c r="AJ27">
        <f t="shared" si="1"/>
        <v>50000</v>
      </c>
      <c r="AK27">
        <f t="shared" si="2"/>
        <v>25000</v>
      </c>
      <c r="AN27" t="s">
        <v>433</v>
      </c>
      <c r="AP27" s="21"/>
      <c r="BG27" s="4">
        <f>CHOOSE($AN$8,Person2!FX27,Both!T27)</f>
        <v>2037</v>
      </c>
      <c r="BH27" s="18">
        <f>CHOOSE($AN$8,Person2!FY27,Both!U27)</f>
        <v>44.109675611000291</v>
      </c>
      <c r="BI27" s="18">
        <f>CHOOSE($AN$8,Person2!FZ27,Both!V27)</f>
        <v>0</v>
      </c>
      <c r="BJ27" s="18">
        <f>CHOOSE($AN$8,Person2!GA27,Both!W27)</f>
        <v>0</v>
      </c>
      <c r="BK27" s="18">
        <f>CHOOSE($AN$8,Person2!GB27,Both!X27)</f>
        <v>0</v>
      </c>
      <c r="BL27" s="18">
        <f ca="1">CHOOSE($AN$8,Person2!GC27,Both!Y27)</f>
        <v>0</v>
      </c>
      <c r="BM27" s="18">
        <f ca="1">CHOOSE($AN$8,Person2!GD27,Both!Z27)</f>
        <v>0</v>
      </c>
      <c r="BN27" s="18">
        <f ca="1">CHOOSE($AN$8,Person2!GE27,Both!AA27)</f>
        <v>0</v>
      </c>
      <c r="BO27" s="18">
        <f ca="1">CHOOSE($AN$8,Person2!GF27,Both!AB27)</f>
        <v>0</v>
      </c>
      <c r="BP27" s="18" t="e">
        <f ca="1">CHOOSE($AN$8,Person2!GG27,Both!AC27)</f>
        <v>#NAME?</v>
      </c>
      <c r="BQ27" s="18" t="e">
        <f ca="1">CHOOSE($AN$8,Person2!GH27,Both!AD27)</f>
        <v>#NAME?</v>
      </c>
      <c r="BR27" s="4"/>
      <c r="BS27" s="4">
        <f>CHOOSE($AN$8,Person2!GJ27,Both!AF27)</f>
        <v>2037</v>
      </c>
      <c r="BT27" s="18">
        <f ca="1">CHOOSE($AN$8,Person2!GK27,Both!AG27)</f>
        <v>273.31242808560501</v>
      </c>
      <c r="BU27" s="18">
        <f ca="1">CHOOSE($AN$8,Person2!GL27,Both!AH27)</f>
        <v>65.553734734903813</v>
      </c>
      <c r="BV27" s="18">
        <f ca="1">CHOOSE($AN$8,Person2!GM27,Both!AI27)</f>
        <v>60.882534463402536</v>
      </c>
      <c r="BW27" s="18">
        <f ca="1">CHOOSE($AN$8,Person2!GN27,Both!AJ27)</f>
        <v>0</v>
      </c>
    </row>
    <row r="28" spans="1:75" x14ac:dyDescent="0.25">
      <c r="A28" s="41"/>
      <c r="B28" s="50" t="s">
        <v>483</v>
      </c>
      <c r="C28" s="47">
        <v>0</v>
      </c>
      <c r="D28" s="47">
        <v>0</v>
      </c>
      <c r="E28" s="51" t="s">
        <v>485</v>
      </c>
      <c r="F28" s="42" t="s">
        <v>109</v>
      </c>
      <c r="Y28" s="44"/>
      <c r="AE28" t="s">
        <v>483</v>
      </c>
      <c r="AG28">
        <v>1</v>
      </c>
      <c r="AI28">
        <v>0</v>
      </c>
      <c r="AJ28">
        <f t="shared" si="1"/>
        <v>0</v>
      </c>
      <c r="AK28">
        <f t="shared" si="2"/>
        <v>0</v>
      </c>
      <c r="AO28">
        <f>MATCH(N7,AO31:AO40,0)</f>
        <v>1</v>
      </c>
      <c r="AP28">
        <f>IF(ISERROR(AO28),1,AO28)</f>
        <v>1</v>
      </c>
      <c r="BG28" s="4">
        <f>CHOOSE($AN$8,Person2!FX28,Both!T28)</f>
        <v>2038</v>
      </c>
      <c r="BH28" s="18">
        <f>CHOOSE($AN$8,Person2!FY28,Both!U28)</f>
        <v>44.325899511054203</v>
      </c>
      <c r="BI28" s="18">
        <f>CHOOSE($AN$8,Person2!FZ28,Both!V28)</f>
        <v>0</v>
      </c>
      <c r="BJ28" s="18">
        <f>CHOOSE($AN$8,Person2!GA28,Both!W28)</f>
        <v>0</v>
      </c>
      <c r="BK28" s="18">
        <f>CHOOSE($AN$8,Person2!GB28,Both!X28)</f>
        <v>0</v>
      </c>
      <c r="BL28" s="18">
        <f ca="1">CHOOSE($AN$8,Person2!GC28,Both!Y28)</f>
        <v>0</v>
      </c>
      <c r="BM28" s="18">
        <f ca="1">CHOOSE($AN$8,Person2!GD28,Both!Z28)</f>
        <v>0</v>
      </c>
      <c r="BN28" s="18">
        <f ca="1">CHOOSE($AN$8,Person2!GE28,Both!AA28)</f>
        <v>0</v>
      </c>
      <c r="BO28" s="18">
        <f ca="1">CHOOSE($AN$8,Person2!GF28,Both!AB28)</f>
        <v>0</v>
      </c>
      <c r="BP28" s="18" t="e">
        <f ca="1">CHOOSE($AN$8,Person2!GG28,Both!AC28)</f>
        <v>#NAME?</v>
      </c>
      <c r="BQ28" s="18" t="e">
        <f ca="1">CHOOSE($AN$8,Person2!GH28,Both!AD28)</f>
        <v>#NAME?</v>
      </c>
      <c r="BR28" s="4"/>
      <c r="BS28" s="4">
        <f>CHOOSE($AN$8,Person2!GJ28,Both!AF28)</f>
        <v>2038</v>
      </c>
      <c r="BT28" s="18">
        <f ca="1">CHOOSE($AN$8,Person2!GK28,Both!AG28)</f>
        <v>292.14105653361651</v>
      </c>
      <c r="BU28" s="18">
        <f ca="1">CHOOSE($AN$8,Person2!GL28,Both!AH28)</f>
        <v>70.076472557165701</v>
      </c>
      <c r="BV28" s="18">
        <f ca="1">CHOOSE($AN$8,Person2!GM28,Both!AI28)</f>
        <v>66.253915106402644</v>
      </c>
      <c r="BW28" s="18">
        <f ca="1">CHOOSE($AN$8,Person2!GN28,Both!AJ28)</f>
        <v>0</v>
      </c>
    </row>
    <row r="29" spans="1:75" x14ac:dyDescent="0.25">
      <c r="A29" s="41"/>
      <c r="B29" s="50" t="s">
        <v>706</v>
      </c>
      <c r="D29" s="8">
        <v>40000</v>
      </c>
      <c r="E29" s="51" t="s">
        <v>489</v>
      </c>
      <c r="F29" s="42" t="s">
        <v>109</v>
      </c>
      <c r="G29" s="49" t="s">
        <v>280</v>
      </c>
      <c r="H29" s="43" t="s">
        <v>295</v>
      </c>
      <c r="I29" s="43"/>
      <c r="J29" s="43"/>
      <c r="K29" s="43"/>
      <c r="L29" s="43"/>
      <c r="M29" s="43"/>
      <c r="N29" s="43"/>
      <c r="O29" s="43"/>
      <c r="P29" s="43"/>
      <c r="Q29" s="43"/>
      <c r="R29" s="43"/>
      <c r="S29" s="43"/>
      <c r="T29" s="43"/>
      <c r="U29" s="43"/>
      <c r="V29" s="43"/>
      <c r="W29" s="43"/>
      <c r="X29" s="43"/>
      <c r="Y29" s="44"/>
      <c r="AE29" t="s">
        <v>321</v>
      </c>
      <c r="AG29">
        <v>1</v>
      </c>
      <c r="AI29">
        <v>0</v>
      </c>
      <c r="AJ29">
        <f t="shared" si="1"/>
        <v>0</v>
      </c>
      <c r="AK29">
        <f t="shared" si="2"/>
        <v>40000</v>
      </c>
      <c r="BG29" s="4">
        <f>CHOOSE($AN$8,Person2!FX29,Both!T29)</f>
        <v>2039</v>
      </c>
      <c r="BH29" s="18">
        <f>CHOOSE($AN$8,Person2!FY29,Both!U29)</f>
        <v>44.543183332186814</v>
      </c>
      <c r="BI29" s="18">
        <f>CHOOSE($AN$8,Person2!FZ29,Both!V29)</f>
        <v>0</v>
      </c>
      <c r="BJ29" s="18">
        <f>CHOOSE($AN$8,Person2!GA29,Both!W29)</f>
        <v>0</v>
      </c>
      <c r="BK29" s="18">
        <f>CHOOSE($AN$8,Person2!GB29,Both!X29)</f>
        <v>0</v>
      </c>
      <c r="BL29" s="18">
        <f ca="1">CHOOSE($AN$8,Person2!GC29,Both!Y29)</f>
        <v>0</v>
      </c>
      <c r="BM29" s="18">
        <f ca="1">CHOOSE($AN$8,Person2!GD29,Both!Z29)</f>
        <v>0</v>
      </c>
      <c r="BN29" s="18">
        <f ca="1">CHOOSE($AN$8,Person2!GE29,Both!AA29)</f>
        <v>0</v>
      </c>
      <c r="BO29" s="18">
        <f ca="1">CHOOSE($AN$8,Person2!GF29,Both!AB29)</f>
        <v>0</v>
      </c>
      <c r="BP29" s="18" t="e">
        <f ca="1">CHOOSE($AN$8,Person2!GG29,Both!AC29)</f>
        <v>#NAME?</v>
      </c>
      <c r="BQ29" s="18" t="e">
        <f ca="1">CHOOSE($AN$8,Person2!GH29,Both!AD29)</f>
        <v>#NAME?</v>
      </c>
      <c r="BR29" s="4"/>
      <c r="BS29" s="4">
        <f>CHOOSE($AN$8,Person2!GJ29,Both!AF29)</f>
        <v>2039</v>
      </c>
      <c r="BT29" s="18">
        <f ca="1">CHOOSE($AN$8,Person2!GK29,Both!AG29)</f>
        <v>311.60381464991565</v>
      </c>
      <c r="BU29" s="18">
        <f ca="1">CHOOSE($AN$8,Person2!GL29,Both!AH29)</f>
        <v>74.744951133026717</v>
      </c>
      <c r="BV29" s="18">
        <f ca="1">CHOOSE($AN$8,Person2!GM29,Both!AI29)</f>
        <v>71.901505431708301</v>
      </c>
      <c r="BW29" s="18">
        <f ca="1">CHOOSE($AN$8,Person2!GN29,Both!AJ29)</f>
        <v>0</v>
      </c>
    </row>
    <row r="30" spans="1:75" x14ac:dyDescent="0.25">
      <c r="A30" s="41"/>
      <c r="B30" s="50" t="s">
        <v>378</v>
      </c>
      <c r="C30" s="8">
        <v>1</v>
      </c>
      <c r="E30" s="51" t="s">
        <v>458</v>
      </c>
      <c r="F30" s="42" t="s">
        <v>109</v>
      </c>
      <c r="Y30" s="44"/>
      <c r="AE30" t="s">
        <v>378</v>
      </c>
      <c r="AF30">
        <v>1</v>
      </c>
      <c r="AH30">
        <v>0</v>
      </c>
      <c r="AJ30">
        <f t="shared" si="1"/>
        <v>1</v>
      </c>
      <c r="AK30">
        <f t="shared" si="2"/>
        <v>0</v>
      </c>
      <c r="AN30" t="s">
        <v>287</v>
      </c>
      <c r="AO30" t="s">
        <v>432</v>
      </c>
      <c r="AP30" s="21"/>
      <c r="AT30" t="s">
        <v>302</v>
      </c>
      <c r="BG30" s="4">
        <f>CHOOSE($AN$8,Person2!FX30,Both!T30)</f>
        <v>2040</v>
      </c>
      <c r="BH30" s="18">
        <f>CHOOSE($AN$8,Person2!FY30,Both!U30)</f>
        <v>44.761532270089695</v>
      </c>
      <c r="BI30" s="18">
        <f>CHOOSE($AN$8,Person2!FZ30,Both!V30)</f>
        <v>0</v>
      </c>
      <c r="BJ30" s="18">
        <f>CHOOSE($AN$8,Person2!GA30,Both!W30)</f>
        <v>0</v>
      </c>
      <c r="BK30" s="18">
        <f>CHOOSE($AN$8,Person2!GB30,Both!X30)</f>
        <v>0</v>
      </c>
      <c r="BL30" s="18">
        <f ca="1">CHOOSE($AN$8,Person2!GC30,Both!Y30)</f>
        <v>0</v>
      </c>
      <c r="BM30" s="18">
        <f ca="1">CHOOSE($AN$8,Person2!GD30,Both!Z30)</f>
        <v>0</v>
      </c>
      <c r="BN30" s="18">
        <f ca="1">CHOOSE($AN$8,Person2!GE30,Both!AA30)</f>
        <v>0</v>
      </c>
      <c r="BO30" s="18">
        <f ca="1">CHOOSE($AN$8,Person2!GF30,Both!AB30)</f>
        <v>0</v>
      </c>
      <c r="BP30" s="18" t="e">
        <f ca="1">CHOOSE($AN$8,Person2!GG30,Both!AC30)</f>
        <v>#NAME?</v>
      </c>
      <c r="BQ30" s="18" t="e">
        <f ca="1">CHOOSE($AN$8,Person2!GH30,Both!AD30)</f>
        <v>#NAME?</v>
      </c>
      <c r="BR30" s="4"/>
      <c r="BS30" s="4">
        <f>CHOOSE($AN$8,Person2!GJ30,Both!AF30)</f>
        <v>2040</v>
      </c>
      <c r="BT30" s="18">
        <f ca="1">CHOOSE($AN$8,Person2!GK30,Both!AG30)</f>
        <v>331.7200163210768</v>
      </c>
      <c r="BU30" s="18">
        <f ca="1">CHOOSE($AN$8,Person2!GL30,Both!AH30)</f>
        <v>79.563519303538484</v>
      </c>
      <c r="BV30" s="18">
        <f ca="1">CHOOSE($AN$8,Person2!GM30,Both!AI30)</f>
        <v>77.834050002345236</v>
      </c>
      <c r="BW30" s="18">
        <f ca="1">CHOOSE($AN$8,Person2!GN30,Both!AJ30)</f>
        <v>0</v>
      </c>
    </row>
    <row r="31" spans="1:75" x14ac:dyDescent="0.25">
      <c r="A31" s="41"/>
      <c r="B31" s="59" t="s">
        <v>80</v>
      </c>
      <c r="C31" s="60"/>
      <c r="D31" s="60"/>
      <c r="E31" s="61"/>
      <c r="F31" s="42" t="s">
        <v>109</v>
      </c>
      <c r="Y31" s="44"/>
      <c r="AE31" t="s">
        <v>80</v>
      </c>
      <c r="AJ31">
        <f t="shared" si="1"/>
        <v>0</v>
      </c>
      <c r="AK31">
        <f t="shared" si="2"/>
        <v>0</v>
      </c>
      <c r="AN31">
        <v>1</v>
      </c>
      <c r="AO31" s="69" t="s">
        <v>427</v>
      </c>
      <c r="AP31" s="21"/>
      <c r="AT31" s="4">
        <f>Person1!B102</f>
        <v>0</v>
      </c>
      <c r="AU31" s="4">
        <f>Person2!B102</f>
        <v>0</v>
      </c>
      <c r="AV31" s="98"/>
      <c r="AW31" s="4">
        <f>Person1!C102</f>
        <v>0</v>
      </c>
      <c r="AX31" s="4">
        <f>Person2!C102</f>
        <v>0</v>
      </c>
      <c r="AY31" s="98"/>
      <c r="BG31" s="4">
        <f>CHOOSE($AN$8,Person2!FX31,Both!T31)</f>
        <v>2041</v>
      </c>
      <c r="BH31" s="18">
        <f>CHOOSE($AN$8,Person2!FY31,Both!U31)</f>
        <v>44.980951545923467</v>
      </c>
      <c r="BI31" s="18">
        <f>CHOOSE($AN$8,Person2!FZ31,Both!V31)</f>
        <v>0</v>
      </c>
      <c r="BJ31" s="18">
        <f>CHOOSE($AN$8,Person2!GA31,Both!W31)</f>
        <v>0</v>
      </c>
      <c r="BK31" s="18">
        <f>CHOOSE($AN$8,Person2!GB31,Both!X31)</f>
        <v>0</v>
      </c>
      <c r="BL31" s="18">
        <f ca="1">CHOOSE($AN$8,Person2!GC31,Both!Y31)</f>
        <v>0</v>
      </c>
      <c r="BM31" s="18">
        <f ca="1">CHOOSE($AN$8,Person2!GD31,Both!Z31)</f>
        <v>0</v>
      </c>
      <c r="BN31" s="18">
        <f ca="1">CHOOSE($AN$8,Person2!GE31,Both!AA31)</f>
        <v>0</v>
      </c>
      <c r="BO31" s="18">
        <f ca="1">CHOOSE($AN$8,Person2!GF31,Both!AB31)</f>
        <v>0</v>
      </c>
      <c r="BP31" s="18" t="e">
        <f ca="1">CHOOSE($AN$8,Person2!GG31,Both!AC31)</f>
        <v>#NAME?</v>
      </c>
      <c r="BQ31" s="18" t="e">
        <f ca="1">CHOOSE($AN$8,Person2!GH31,Both!AD31)</f>
        <v>#NAME?</v>
      </c>
      <c r="BR31" s="4"/>
      <c r="BS31" s="4">
        <f>CHOOSE($AN$8,Person2!GJ31,Both!AF31)</f>
        <v>2041</v>
      </c>
      <c r="BT31" s="18">
        <f ca="1">CHOOSE($AN$8,Person2!GK31,Both!AG31)</f>
        <v>352.5095493780405</v>
      </c>
      <c r="BU31" s="18">
        <f ca="1">CHOOSE($AN$8,Person2!GL31,Both!AH31)</f>
        <v>84.536654122471376</v>
      </c>
      <c r="BV31" s="18">
        <f ca="1">CHOOSE($AN$8,Person2!GM31,Both!AI31)</f>
        <v>84.060552809406431</v>
      </c>
      <c r="BW31" s="18">
        <f ca="1">CHOOSE($AN$8,Person2!GN31,Both!AJ31)</f>
        <v>0</v>
      </c>
    </row>
    <row r="32" spans="1:75" x14ac:dyDescent="0.25">
      <c r="A32" s="41"/>
      <c r="B32" s="50" t="s">
        <v>63</v>
      </c>
      <c r="C32" s="8">
        <v>30000</v>
      </c>
      <c r="D32" s="8">
        <v>0</v>
      </c>
      <c r="E32" s="51" t="s">
        <v>269</v>
      </c>
      <c r="F32" s="42" t="s">
        <v>109</v>
      </c>
      <c r="Y32" s="44"/>
      <c r="AE32" t="s">
        <v>63</v>
      </c>
      <c r="AG32">
        <v>1</v>
      </c>
      <c r="AI32">
        <v>0</v>
      </c>
      <c r="AJ32">
        <f t="shared" si="1"/>
        <v>30000</v>
      </c>
      <c r="AK32">
        <f t="shared" si="2"/>
        <v>0</v>
      </c>
      <c r="AN32">
        <v>2</v>
      </c>
      <c r="AO32" t="s">
        <v>435</v>
      </c>
      <c r="AP32" s="21"/>
      <c r="AT32" s="4" t="e">
        <f ca="1">Person1!B103</f>
        <v>#NAME?</v>
      </c>
      <c r="AU32" s="4" t="e">
        <f ca="1">Person2!B103</f>
        <v>#NAME?</v>
      </c>
      <c r="AV32" s="98"/>
      <c r="AW32" s="4" t="e">
        <f ca="1">Person1!C103</f>
        <v>#NAME?</v>
      </c>
      <c r="AX32" s="4" t="e">
        <f ca="1">Person2!C103</f>
        <v>#NAME?</v>
      </c>
      <c r="AY32" s="98"/>
      <c r="BG32" s="4">
        <f>CHOOSE($AN$8,Person2!FX32,Both!T32)</f>
        <v>2042</v>
      </c>
      <c r="BH32" s="18">
        <f>CHOOSE($AN$8,Person2!FY32,Both!U32)</f>
        <v>45.201446406442692</v>
      </c>
      <c r="BI32" s="18">
        <f>CHOOSE($AN$8,Person2!FZ32,Both!V32)</f>
        <v>0</v>
      </c>
      <c r="BJ32" s="18">
        <f>CHOOSE($AN$8,Person2!GA32,Both!W32)</f>
        <v>0</v>
      </c>
      <c r="BK32" s="18">
        <f>CHOOSE($AN$8,Person2!GB32,Both!X32)</f>
        <v>0</v>
      </c>
      <c r="BL32" s="18">
        <f ca="1">CHOOSE($AN$8,Person2!GC32,Both!Y32)</f>
        <v>0</v>
      </c>
      <c r="BM32" s="18">
        <f ca="1">CHOOSE($AN$8,Person2!GD32,Both!Z32)</f>
        <v>0</v>
      </c>
      <c r="BN32" s="18">
        <f ca="1">CHOOSE($AN$8,Person2!GE32,Both!AA32)</f>
        <v>0</v>
      </c>
      <c r="BO32" s="18">
        <f ca="1">CHOOSE($AN$8,Person2!GF32,Both!AB32)</f>
        <v>0</v>
      </c>
      <c r="BP32" s="18" t="e">
        <f ca="1">CHOOSE($AN$8,Person2!GG32,Both!AC32)</f>
        <v>#NAME?</v>
      </c>
      <c r="BQ32" s="18" t="e">
        <f ca="1">CHOOSE($AN$8,Person2!GH32,Both!AD32)</f>
        <v>#NAME?</v>
      </c>
      <c r="BR32" s="4"/>
      <c r="BS32" s="4">
        <f>CHOOSE($AN$8,Person2!GJ32,Both!AF32)</f>
        <v>2042</v>
      </c>
      <c r="BT32" s="18">
        <f ca="1">CHOOSE($AN$8,Person2!GK32,Both!AG32)</f>
        <v>373.99289253156871</v>
      </c>
      <c r="BU32" s="18">
        <f ca="1">CHOOSE($AN$8,Person2!GL32,Both!AH32)</f>
        <v>89.66896462877483</v>
      </c>
      <c r="BV32" s="18">
        <f ca="1">CHOOSE($AN$8,Person2!GM32,Both!AI32)</f>
        <v>90.590284929085684</v>
      </c>
      <c r="BW32" s="18">
        <f ca="1">CHOOSE($AN$8,Person2!GN32,Both!AJ32)</f>
        <v>0</v>
      </c>
    </row>
    <row r="33" spans="1:75" x14ac:dyDescent="0.25">
      <c r="A33" s="41"/>
      <c r="B33" s="50" t="s">
        <v>64</v>
      </c>
      <c r="C33" s="8">
        <v>60</v>
      </c>
      <c r="D33" s="8">
        <v>60</v>
      </c>
      <c r="E33" s="51" t="s">
        <v>87</v>
      </c>
      <c r="F33" s="42" t="s">
        <v>109</v>
      </c>
      <c r="Y33" s="44"/>
      <c r="AE33" t="s">
        <v>64</v>
      </c>
      <c r="AJ33">
        <f t="shared" si="1"/>
        <v>60</v>
      </c>
      <c r="AK33">
        <f t="shared" si="2"/>
        <v>60</v>
      </c>
      <c r="AN33">
        <v>3</v>
      </c>
      <c r="AO33" t="s">
        <v>601</v>
      </c>
      <c r="AP33" s="21"/>
      <c r="AT33" s="4" t="e">
        <f ca="1">Person1!B104</f>
        <v>#NAME?</v>
      </c>
      <c r="AU33" s="4" t="e">
        <f ca="1">Person2!B104</f>
        <v>#NAME?</v>
      </c>
      <c r="AV33" s="4"/>
      <c r="AW33" s="4" t="e">
        <f ca="1">Person1!C104</f>
        <v>#NAME?</v>
      </c>
      <c r="AX33" s="4" t="e">
        <f ca="1">Person2!C104</f>
        <v>#NAME?</v>
      </c>
      <c r="AY33" s="4"/>
      <c r="BG33" s="4">
        <f>CHOOSE($AN$8,Person2!FX33,Both!T33)</f>
        <v>2043</v>
      </c>
      <c r="BH33" s="18">
        <f>CHOOSE($AN$8,Person2!FY33,Both!U33)</f>
        <v>45.423022124121331</v>
      </c>
      <c r="BI33" s="18">
        <f>CHOOSE($AN$8,Person2!FZ33,Both!V33)</f>
        <v>0</v>
      </c>
      <c r="BJ33" s="18">
        <f>CHOOSE($AN$8,Person2!GA33,Both!W33)</f>
        <v>0</v>
      </c>
      <c r="BK33" s="18">
        <f>CHOOSE($AN$8,Person2!GB33,Both!X33)</f>
        <v>0</v>
      </c>
      <c r="BL33" s="18">
        <f ca="1">CHOOSE($AN$8,Person2!GC33,Both!Y33)</f>
        <v>0</v>
      </c>
      <c r="BM33" s="18">
        <f ca="1">CHOOSE($AN$8,Person2!GD33,Both!Z33)</f>
        <v>0</v>
      </c>
      <c r="BN33" s="18">
        <f ca="1">CHOOSE($AN$8,Person2!GE33,Both!AA33)</f>
        <v>0</v>
      </c>
      <c r="BO33" s="18">
        <f ca="1">CHOOSE($AN$8,Person2!GF33,Both!AB33)</f>
        <v>0</v>
      </c>
      <c r="BP33" s="18" t="e">
        <f ca="1">CHOOSE($AN$8,Person2!GG33,Both!AC33)</f>
        <v>#NAME?</v>
      </c>
      <c r="BQ33" s="18" t="e">
        <f ca="1">CHOOSE($AN$8,Person2!GH33,Both!AD33)</f>
        <v>#NAME?</v>
      </c>
      <c r="BR33" s="4"/>
      <c r="BS33" s="4">
        <f>CHOOSE($AN$8,Person2!GJ33,Both!AF33)</f>
        <v>2043</v>
      </c>
      <c r="BT33" s="18">
        <f ca="1">CHOOSE($AN$8,Person2!GK33,Both!AG33)</f>
        <v>396.19113280632251</v>
      </c>
      <c r="BU33" s="18">
        <f ca="1">CHOOSE($AN$8,Person2!GL33,Both!AH33)</f>
        <v>94.965195730000119</v>
      </c>
      <c r="BV33" s="18">
        <f ca="1">CHOOSE($AN$8,Person2!GM33,Both!AI33)</f>
        <v>97.432792404738763</v>
      </c>
      <c r="BW33" s="18">
        <f ca="1">CHOOSE($AN$8,Person2!GN33,Both!AJ33)</f>
        <v>0</v>
      </c>
    </row>
    <row r="34" spans="1:75" x14ac:dyDescent="0.25">
      <c r="A34" s="41"/>
      <c r="B34" s="50" t="s">
        <v>200</v>
      </c>
      <c r="C34" s="47">
        <v>0.02</v>
      </c>
      <c r="D34" s="47">
        <v>0.02</v>
      </c>
      <c r="E34" s="51" t="s">
        <v>202</v>
      </c>
      <c r="F34" s="42" t="s">
        <v>109</v>
      </c>
      <c r="Y34" s="44"/>
      <c r="AE34" t="s">
        <v>200</v>
      </c>
      <c r="AJ34">
        <f t="shared" si="1"/>
        <v>0.02</v>
      </c>
      <c r="AK34">
        <f t="shared" si="2"/>
        <v>0.02</v>
      </c>
      <c r="AN34">
        <v>4</v>
      </c>
      <c r="AP34" s="21"/>
      <c r="BG34" s="4">
        <f>CHOOSE($AN$8,Person2!FX34,Both!T34)</f>
        <v>2044</v>
      </c>
      <c r="BH34" s="18">
        <f>CHOOSE($AN$8,Person2!FY34,Both!U34)</f>
        <v>45.645683997278788</v>
      </c>
      <c r="BI34" s="18">
        <f>CHOOSE($AN$8,Person2!FZ34,Both!V34)</f>
        <v>0</v>
      </c>
      <c r="BJ34" s="18">
        <f>CHOOSE($AN$8,Person2!GA34,Both!W34)</f>
        <v>0</v>
      </c>
      <c r="BK34" s="18">
        <f>CHOOSE($AN$8,Person2!GB34,Both!X34)</f>
        <v>0</v>
      </c>
      <c r="BL34" s="18">
        <f ca="1">CHOOSE($AN$8,Person2!GC34,Both!Y34)</f>
        <v>0</v>
      </c>
      <c r="BM34" s="18">
        <f ca="1">CHOOSE($AN$8,Person2!GD34,Both!Z34)</f>
        <v>0</v>
      </c>
      <c r="BN34" s="18">
        <f ca="1">CHOOSE($AN$8,Person2!GE34,Both!AA34)</f>
        <v>0</v>
      </c>
      <c r="BO34" s="18">
        <f ca="1">CHOOSE($AN$8,Person2!GF34,Both!AB34)</f>
        <v>0</v>
      </c>
      <c r="BP34" s="18" t="e">
        <f ca="1">CHOOSE($AN$8,Person2!GG34,Both!AC34)</f>
        <v>#NAME?</v>
      </c>
      <c r="BQ34" s="18" t="e">
        <f ca="1">CHOOSE($AN$8,Person2!GH34,Both!AD34)</f>
        <v>#NAME?</v>
      </c>
      <c r="BR34" s="4"/>
      <c r="BS34" s="4">
        <f>CHOOSE($AN$8,Person2!GJ34,Both!AF34)</f>
        <v>2044</v>
      </c>
      <c r="BT34" s="18">
        <f ca="1">CHOOSE($AN$8,Person2!GK34,Both!AG34)</f>
        <v>419.12598348823371</v>
      </c>
      <c r="BU34" s="18">
        <f ca="1">CHOOSE($AN$8,Person2!GL34,Both!AH34)</f>
        <v>100.43023219994843</v>
      </c>
      <c r="BV34" s="18">
        <f ca="1">CHOOSE($AN$8,Person2!GM34,Both!AI34)</f>
        <v>104.59790436059583</v>
      </c>
      <c r="BW34" s="18">
        <f ca="1">CHOOSE($AN$8,Person2!GN34,Both!AJ34)</f>
        <v>0</v>
      </c>
    </row>
    <row r="35" spans="1:75" x14ac:dyDescent="0.25">
      <c r="A35" s="41"/>
      <c r="B35" s="50" t="s">
        <v>167</v>
      </c>
      <c r="C35" s="47">
        <v>5.0000000000000001E-3</v>
      </c>
      <c r="D35" s="47">
        <v>5.0000000000000001E-3</v>
      </c>
      <c r="E35" s="51" t="s">
        <v>203</v>
      </c>
      <c r="F35" s="42" t="s">
        <v>109</v>
      </c>
      <c r="Y35" s="44"/>
      <c r="AE35" t="s">
        <v>167</v>
      </c>
      <c r="AJ35">
        <f t="shared" si="1"/>
        <v>5.0000000000000001E-3</v>
      </c>
      <c r="AK35">
        <f t="shared" si="2"/>
        <v>5.0000000000000001E-3</v>
      </c>
      <c r="AN35">
        <v>5</v>
      </c>
      <c r="AP35" s="21"/>
      <c r="BG35" s="4">
        <f>CHOOSE($AN$8,Person2!FX35,Both!T35)</f>
        <v>2045</v>
      </c>
      <c r="BH35" s="18">
        <f>CHOOSE($AN$8,Person2!FY35,Both!U35)</f>
        <v>45.869437350206617</v>
      </c>
      <c r="BI35" s="18">
        <f>CHOOSE($AN$8,Person2!FZ35,Both!V35)</f>
        <v>0</v>
      </c>
      <c r="BJ35" s="18">
        <f>CHOOSE($AN$8,Person2!GA35,Both!W35)</f>
        <v>0</v>
      </c>
      <c r="BK35" s="18">
        <f>CHOOSE($AN$8,Person2!GB35,Both!X35)</f>
        <v>0</v>
      </c>
      <c r="BL35" s="18">
        <f ca="1">CHOOSE($AN$8,Person2!GC35,Both!Y35)</f>
        <v>0</v>
      </c>
      <c r="BM35" s="18">
        <f ca="1">CHOOSE($AN$8,Person2!GD35,Both!Z35)</f>
        <v>0</v>
      </c>
      <c r="BN35" s="18">
        <f ca="1">CHOOSE($AN$8,Person2!GE35,Both!AA35)</f>
        <v>0</v>
      </c>
      <c r="BO35" s="18">
        <f ca="1">CHOOSE($AN$8,Person2!GF35,Both!AB35)</f>
        <v>0</v>
      </c>
      <c r="BP35" s="18" t="e">
        <f ca="1">CHOOSE($AN$8,Person2!GG35,Both!AC35)</f>
        <v>#NAME?</v>
      </c>
      <c r="BQ35" s="18" t="e">
        <f ca="1">CHOOSE($AN$8,Person2!GH35,Both!AD35)</f>
        <v>#NAME?</v>
      </c>
      <c r="BR35" s="4"/>
      <c r="BS35" s="4">
        <f>CHOOSE($AN$8,Person2!GJ35,Both!AF35)</f>
        <v>2045</v>
      </c>
      <c r="BT35" s="18">
        <f ca="1">CHOOSE($AN$8,Person2!GK35,Both!AG35)</f>
        <v>442.81980260027331</v>
      </c>
      <c r="BU35" s="18">
        <f ca="1">CHOOSE($AN$8,Person2!GL35,Both!AH35)</f>
        <v>106.06910279390449</v>
      </c>
      <c r="BV35" s="18">
        <f ca="1">CHOOSE($AN$8,Person2!GM35,Both!AI35)</f>
        <v>112.09574135394358</v>
      </c>
      <c r="BW35" s="18">
        <f ca="1">CHOOSE($AN$8,Person2!GN35,Both!AJ35)</f>
        <v>0</v>
      </c>
    </row>
    <row r="36" spans="1:75" x14ac:dyDescent="0.25">
      <c r="A36" s="41"/>
      <c r="B36" s="50" t="s">
        <v>637</v>
      </c>
      <c r="C36" s="8">
        <v>1</v>
      </c>
      <c r="D36" s="8">
        <v>1</v>
      </c>
      <c r="E36" s="51" t="s">
        <v>638</v>
      </c>
      <c r="F36" s="42" t="s">
        <v>109</v>
      </c>
      <c r="Y36" s="44"/>
      <c r="AE36" t="s">
        <v>637</v>
      </c>
      <c r="AJ36">
        <f t="shared" si="1"/>
        <v>1</v>
      </c>
      <c r="AK36">
        <f t="shared" si="2"/>
        <v>1</v>
      </c>
      <c r="AN36">
        <v>6</v>
      </c>
      <c r="AP36" s="21"/>
      <c r="BG36" s="4">
        <f>CHOOSE($AN$8,Person2!FX36,Both!T36)</f>
        <v>2046</v>
      </c>
      <c r="BH36" s="18">
        <f>CHOOSE($AN$8,Person2!FY36,Both!U36)</f>
        <v>46.094287533295862</v>
      </c>
      <c r="BI36" s="18">
        <f>CHOOSE($AN$8,Person2!FZ36,Both!V36)</f>
        <v>0</v>
      </c>
      <c r="BJ36" s="18">
        <f>CHOOSE($AN$8,Person2!GA36,Both!W36)</f>
        <v>0</v>
      </c>
      <c r="BK36" s="18">
        <f>CHOOSE($AN$8,Person2!GB36,Both!X36)</f>
        <v>0</v>
      </c>
      <c r="BL36" s="18">
        <f ca="1">CHOOSE($AN$8,Person2!GC36,Both!Y36)</f>
        <v>0</v>
      </c>
      <c r="BM36" s="18">
        <f ca="1">CHOOSE($AN$8,Person2!GD36,Both!Z36)</f>
        <v>0</v>
      </c>
      <c r="BN36" s="18">
        <f ca="1">CHOOSE($AN$8,Person2!GE36,Both!AA36)</f>
        <v>0</v>
      </c>
      <c r="BO36" s="18">
        <f ca="1">CHOOSE($AN$8,Person2!GF36,Both!AB36)</f>
        <v>0</v>
      </c>
      <c r="BP36" s="18" t="e">
        <f ca="1">CHOOSE($AN$8,Person2!GG36,Both!AC36)</f>
        <v>#NAME?</v>
      </c>
      <c r="BQ36" s="18" t="e">
        <f ca="1">CHOOSE($AN$8,Person2!GH36,Both!AD36)</f>
        <v>#NAME?</v>
      </c>
      <c r="BR36" s="4"/>
      <c r="BS36" s="4">
        <f>CHOOSE($AN$8,Person2!GJ36,Both!AF36)</f>
        <v>2046</v>
      </c>
      <c r="BT36" s="18">
        <f ca="1">CHOOSE($AN$8,Person2!GK36,Both!AG36)</f>
        <v>467.29561192216141</v>
      </c>
      <c r="BU36" s="18">
        <f ca="1">CHOOSE($AN$8,Person2!GL36,Both!AH36)</f>
        <v>111.88698448491382</v>
      </c>
      <c r="BV36" s="18">
        <f ca="1">CHOOSE($AN$8,Person2!GM36,Both!AI36)</f>
        <v>119.93672397279593</v>
      </c>
      <c r="BW36" s="18">
        <f ca="1">CHOOSE($AN$8,Person2!GN36,Both!AJ36)</f>
        <v>0</v>
      </c>
    </row>
    <row r="37" spans="1:75" x14ac:dyDescent="0.25">
      <c r="A37" s="41"/>
      <c r="B37" s="50" t="s">
        <v>344</v>
      </c>
      <c r="C37" s="81">
        <v>0.25</v>
      </c>
      <c r="D37" s="81">
        <v>0</v>
      </c>
      <c r="E37" s="51" t="s">
        <v>359</v>
      </c>
      <c r="F37" s="42" t="s">
        <v>109</v>
      </c>
      <c r="Y37" s="44"/>
      <c r="AE37" t="s">
        <v>344</v>
      </c>
      <c r="AF37">
        <v>1</v>
      </c>
      <c r="AG37">
        <v>1</v>
      </c>
      <c r="AH37">
        <v>0</v>
      </c>
      <c r="AI37">
        <v>0</v>
      </c>
      <c r="AJ37">
        <f t="shared" si="1"/>
        <v>0.25</v>
      </c>
      <c r="AK37">
        <f t="shared" si="2"/>
        <v>0</v>
      </c>
      <c r="AN37">
        <v>7</v>
      </c>
      <c r="AP37" s="21"/>
      <c r="BG37" s="4">
        <f>CHOOSE($AN$8,Person2!FX37,Both!T37)</f>
        <v>2047</v>
      </c>
      <c r="BH37" s="18">
        <f>CHOOSE($AN$8,Person2!FY37,Both!U37)</f>
        <v>46.320239923164955</v>
      </c>
      <c r="BI37" s="18">
        <f>CHOOSE($AN$8,Person2!FZ37,Both!V37)</f>
        <v>0</v>
      </c>
      <c r="BJ37" s="18">
        <f>CHOOSE($AN$8,Person2!GA37,Both!W37)</f>
        <v>0</v>
      </c>
      <c r="BK37" s="18">
        <f>CHOOSE($AN$8,Person2!GB37,Both!X37)</f>
        <v>0</v>
      </c>
      <c r="BL37" s="18">
        <f ca="1">CHOOSE($AN$8,Person2!GC37,Both!Y37)</f>
        <v>0</v>
      </c>
      <c r="BM37" s="18">
        <f ca="1">CHOOSE($AN$8,Person2!GD37,Both!Z37)</f>
        <v>0</v>
      </c>
      <c r="BN37" s="18">
        <f ca="1">CHOOSE($AN$8,Person2!GE37,Both!AA37)</f>
        <v>0</v>
      </c>
      <c r="BO37" s="18">
        <f ca="1">CHOOSE($AN$8,Person2!GF37,Both!AB37)</f>
        <v>0</v>
      </c>
      <c r="BP37" s="18" t="e">
        <f ca="1">CHOOSE($AN$8,Person2!GG37,Both!AC37)</f>
        <v>#NAME?</v>
      </c>
      <c r="BQ37" s="18" t="e">
        <f ca="1">CHOOSE($AN$8,Person2!GH37,Both!AD37)</f>
        <v>#NAME?</v>
      </c>
      <c r="BR37" s="4"/>
      <c r="BS37" s="4">
        <f>CHOOSE($AN$8,Person2!GJ37,Both!AF37)</f>
        <v>2047</v>
      </c>
      <c r="BT37" s="18">
        <f ca="1">CHOOSE($AN$8,Person2!GK37,Both!AG37)</f>
        <v>492.57711657002301</v>
      </c>
      <c r="BU37" s="18">
        <f ca="1">CHOOSE($AN$8,Person2!GL37,Both!AH37)</f>
        <v>117.88920682466402</v>
      </c>
      <c r="BV37" s="18">
        <f ca="1">CHOOSE($AN$8,Person2!GM37,Both!AI37)</f>
        <v>128.13158168627854</v>
      </c>
      <c r="BW37" s="18">
        <f ca="1">CHOOSE($AN$8,Person2!GN37,Both!AJ37)</f>
        <v>0</v>
      </c>
    </row>
    <row r="38" spans="1:75" x14ac:dyDescent="0.25">
      <c r="A38" s="41"/>
      <c r="B38" s="50" t="s">
        <v>345</v>
      </c>
      <c r="D38" s="81">
        <v>0.67</v>
      </c>
      <c r="E38" s="51" t="s">
        <v>360</v>
      </c>
      <c r="F38" s="42" t="s">
        <v>109</v>
      </c>
      <c r="Y38" s="44"/>
      <c r="AE38" t="s">
        <v>345</v>
      </c>
      <c r="AG38">
        <v>1</v>
      </c>
      <c r="AI38">
        <v>0</v>
      </c>
      <c r="AJ38">
        <f t="shared" si="1"/>
        <v>0</v>
      </c>
      <c r="AK38">
        <f t="shared" si="2"/>
        <v>0.67</v>
      </c>
      <c r="AN38">
        <v>8</v>
      </c>
      <c r="BG38" s="4">
        <f>CHOOSE($AN$8,Person2!FX38,Both!T38)</f>
        <v>2048</v>
      </c>
      <c r="BH38" s="18">
        <f>CHOOSE($AN$8,Person2!FY38,Both!U38)</f>
        <v>46.547299922788319</v>
      </c>
      <c r="BI38" s="18">
        <f>CHOOSE($AN$8,Person2!FZ38,Both!V38)</f>
        <v>0</v>
      </c>
      <c r="BJ38" s="18">
        <f>CHOOSE($AN$8,Person2!GA38,Both!W38)</f>
        <v>0</v>
      </c>
      <c r="BK38" s="18">
        <f>CHOOSE($AN$8,Person2!GB38,Both!X38)</f>
        <v>0</v>
      </c>
      <c r="BL38" s="18">
        <f ca="1">CHOOSE($AN$8,Person2!GC38,Both!Y38)</f>
        <v>0</v>
      </c>
      <c r="BM38" s="18">
        <f ca="1">CHOOSE($AN$8,Person2!GD38,Both!Z38)</f>
        <v>0</v>
      </c>
      <c r="BN38" s="18">
        <f ca="1">CHOOSE($AN$8,Person2!GE38,Both!AA38)</f>
        <v>0</v>
      </c>
      <c r="BO38" s="18">
        <f ca="1">CHOOSE($AN$8,Person2!GF38,Both!AB38)</f>
        <v>0</v>
      </c>
      <c r="BP38" s="18" t="e">
        <f ca="1">CHOOSE($AN$8,Person2!GG38,Both!AC38)</f>
        <v>#NAME?</v>
      </c>
      <c r="BQ38" s="18" t="e">
        <f ca="1">CHOOSE($AN$8,Person2!GH38,Both!AD38)</f>
        <v>#NAME?</v>
      </c>
      <c r="BR38" s="4"/>
      <c r="BS38" s="4">
        <f>CHOOSE($AN$8,Person2!GJ38,Both!AF38)</f>
        <v>2048</v>
      </c>
      <c r="BT38" s="18">
        <f ca="1">CHOOSE($AN$8,Person2!GK38,Both!AG38)</f>
        <v>518.6887251524638</v>
      </c>
      <c r="BU38" s="18">
        <f ca="1">CHOOSE($AN$8,Person2!GL38,Both!AH38)</f>
        <v>124.08125643263442</v>
      </c>
      <c r="BV38" s="18">
        <f ca="1">CHOOSE($AN$8,Person2!GM38,Both!AI38)</f>
        <v>136.69136195516424</v>
      </c>
      <c r="BW38" s="18">
        <f ca="1">CHOOSE($AN$8,Person2!GN38,Both!AJ38)</f>
        <v>0</v>
      </c>
    </row>
    <row r="39" spans="1:75" x14ac:dyDescent="0.25">
      <c r="A39" s="41"/>
      <c r="B39" s="50" t="s">
        <v>65</v>
      </c>
      <c r="C39" s="8">
        <v>65</v>
      </c>
      <c r="D39" s="8">
        <v>65</v>
      </c>
      <c r="E39" s="51" t="s">
        <v>651</v>
      </c>
      <c r="F39" s="42" t="s">
        <v>109</v>
      </c>
      <c r="Y39" s="44"/>
      <c r="AE39" t="s">
        <v>65</v>
      </c>
      <c r="AJ39">
        <f t="shared" si="1"/>
        <v>65</v>
      </c>
      <c r="AK39">
        <f t="shared" si="2"/>
        <v>65</v>
      </c>
      <c r="AN39">
        <v>9</v>
      </c>
      <c r="BG39" s="4">
        <f>CHOOSE($AN$8,Person2!FX39,Both!T39)</f>
        <v>2049</v>
      </c>
      <c r="BH39" s="18">
        <f>CHOOSE($AN$8,Person2!FY39,Both!U39)</f>
        <v>46.775472961625496</v>
      </c>
      <c r="BI39" s="18">
        <f>CHOOSE($AN$8,Person2!FZ39,Both!V39)</f>
        <v>0</v>
      </c>
      <c r="BJ39" s="18">
        <f>CHOOSE($AN$8,Person2!GA39,Both!W39)</f>
        <v>0</v>
      </c>
      <c r="BK39" s="18">
        <f>CHOOSE($AN$8,Person2!GB39,Both!X39)</f>
        <v>0</v>
      </c>
      <c r="BL39" s="18">
        <f ca="1">CHOOSE($AN$8,Person2!GC39,Both!Y39)</f>
        <v>0</v>
      </c>
      <c r="BM39" s="18">
        <f ca="1">CHOOSE($AN$8,Person2!GD39,Both!Z39)</f>
        <v>0</v>
      </c>
      <c r="BN39" s="18">
        <f ca="1">CHOOSE($AN$8,Person2!GE39,Both!AA39)</f>
        <v>0</v>
      </c>
      <c r="BO39" s="18">
        <f ca="1">CHOOSE($AN$8,Person2!GF39,Both!AB39)</f>
        <v>0</v>
      </c>
      <c r="BP39" s="18" t="e">
        <f ca="1">CHOOSE($AN$8,Person2!GG39,Both!AC39)</f>
        <v>#NAME?</v>
      </c>
      <c r="BQ39" s="18" t="e">
        <f ca="1">CHOOSE($AN$8,Person2!GH39,Both!AD39)</f>
        <v>#NAME?</v>
      </c>
      <c r="BR39" s="4"/>
      <c r="BS39" s="4">
        <f>CHOOSE($AN$8,Person2!GJ39,Both!AF39)</f>
        <v>2049</v>
      </c>
      <c r="BT39" s="18">
        <f ca="1">CHOOSE($AN$8,Person2!GK39,Both!AG39)</f>
        <v>545.6555705200243</v>
      </c>
      <c r="BU39" s="18">
        <f ca="1">CHOOSE($AN$8,Person2!GL39,Both!AH39)</f>
        <v>130.46878161728768</v>
      </c>
      <c r="BV39" s="18">
        <f ca="1">CHOOSE($AN$8,Person2!GM39,Both!AI39)</f>
        <v>145.62743961021667</v>
      </c>
      <c r="BW39" s="18">
        <f ca="1">CHOOSE($AN$8,Person2!GN39,Both!AJ39)</f>
        <v>0</v>
      </c>
    </row>
    <row r="40" spans="1:75" x14ac:dyDescent="0.25">
      <c r="A40" s="41"/>
      <c r="B40" s="50" t="s">
        <v>267</v>
      </c>
      <c r="C40" s="8">
        <v>12000</v>
      </c>
      <c r="D40" s="8">
        <v>8000</v>
      </c>
      <c r="E40" s="51" t="s">
        <v>649</v>
      </c>
      <c r="F40" s="42" t="s">
        <v>109</v>
      </c>
      <c r="Y40" s="44"/>
      <c r="AE40" t="s">
        <v>267</v>
      </c>
      <c r="AG40">
        <v>1</v>
      </c>
      <c r="AI40">
        <v>0</v>
      </c>
      <c r="AJ40">
        <f t="shared" si="1"/>
        <v>12000</v>
      </c>
      <c r="AK40">
        <f t="shared" si="2"/>
        <v>8000</v>
      </c>
      <c r="AN40">
        <v>10</v>
      </c>
      <c r="BG40" s="4">
        <f>CHOOSE($AN$8,Person2!FX40,Both!T40)</f>
        <v>2050</v>
      </c>
      <c r="BH40" s="18">
        <f>CHOOSE($AN$8,Person2!FY40,Both!U40)</f>
        <v>47.004764495751125</v>
      </c>
      <c r="BI40" s="18">
        <f>CHOOSE($AN$8,Person2!FZ40,Both!V40)</f>
        <v>0</v>
      </c>
      <c r="BJ40" s="18">
        <f>CHOOSE($AN$8,Person2!GA40,Both!W40)</f>
        <v>0</v>
      </c>
      <c r="BK40" s="18">
        <f>CHOOSE($AN$8,Person2!GB40,Both!X40)</f>
        <v>0</v>
      </c>
      <c r="BL40" s="18">
        <f ca="1">CHOOSE($AN$8,Person2!GC40,Both!Y40)</f>
        <v>0</v>
      </c>
      <c r="BM40" s="18">
        <f ca="1">CHOOSE($AN$8,Person2!GD40,Both!Z40)</f>
        <v>0</v>
      </c>
      <c r="BN40" s="18">
        <f ca="1">CHOOSE($AN$8,Person2!GE40,Both!AA40)</f>
        <v>0</v>
      </c>
      <c r="BO40" s="18">
        <f ca="1">CHOOSE($AN$8,Person2!GF40,Both!AB40)</f>
        <v>0</v>
      </c>
      <c r="BP40" s="18" t="e">
        <f ca="1">CHOOSE($AN$8,Person2!GG40,Both!AC40)</f>
        <v>#NAME?</v>
      </c>
      <c r="BQ40" s="18" t="e">
        <f ca="1">CHOOSE($AN$8,Person2!GH40,Both!AD40)</f>
        <v>#NAME?</v>
      </c>
      <c r="BR40" s="4"/>
      <c r="BS40" s="4">
        <f>CHOOSE($AN$8,Person2!GJ40,Both!AF40)</f>
        <v>2050</v>
      </c>
      <c r="BT40" s="18">
        <f ca="1">CHOOSE($AN$8,Person2!GK40,Both!AG40)</f>
        <v>573.50353112547134</v>
      </c>
      <c r="BU40" s="18">
        <f ca="1">CHOOSE($AN$8,Person2!GL40,Both!AH40)</f>
        <v>137.05759713318588</v>
      </c>
      <c r="BV40" s="18">
        <f ca="1">CHOOSE($AN$8,Person2!GM40,Both!AI40)</f>
        <v>154.95152650622236</v>
      </c>
      <c r="BW40" s="18">
        <f ca="1">CHOOSE($AN$8,Person2!GN40,Both!AJ40)</f>
        <v>0</v>
      </c>
    </row>
    <row r="41" spans="1:75" x14ac:dyDescent="0.25">
      <c r="A41" s="41"/>
      <c r="B41" s="50" t="s">
        <v>346</v>
      </c>
      <c r="D41" s="8">
        <v>4000</v>
      </c>
      <c r="E41" s="51" t="s">
        <v>408</v>
      </c>
      <c r="F41" s="42" t="s">
        <v>109</v>
      </c>
      <c r="Y41" s="44"/>
      <c r="AE41" t="s">
        <v>346</v>
      </c>
      <c r="AG41">
        <v>1</v>
      </c>
      <c r="AI41">
        <v>0</v>
      </c>
      <c r="AJ41">
        <f t="shared" si="1"/>
        <v>0</v>
      </c>
      <c r="AK41">
        <f t="shared" si="2"/>
        <v>4000</v>
      </c>
      <c r="BG41" s="4">
        <f>CHOOSE($AN$8,Person2!FX41,Both!T41)</f>
        <v>2051</v>
      </c>
      <c r="BH41" s="18">
        <f>CHOOSE($AN$8,Person2!FY41,Both!U41)</f>
        <v>47.235180007985178</v>
      </c>
      <c r="BI41" s="18">
        <f>CHOOSE($AN$8,Person2!FZ41,Both!V41)</f>
        <v>0</v>
      </c>
      <c r="BJ41" s="18">
        <f>CHOOSE($AN$8,Person2!GA41,Both!W41)</f>
        <v>0</v>
      </c>
      <c r="BK41" s="18">
        <f>CHOOSE($AN$8,Person2!GB41,Both!X41)</f>
        <v>0</v>
      </c>
      <c r="BL41" s="18">
        <f ca="1">CHOOSE($AN$8,Person2!GC41,Both!Y41)</f>
        <v>0</v>
      </c>
      <c r="BM41" s="18">
        <f ca="1">CHOOSE($AN$8,Person2!GD41,Both!Z41)</f>
        <v>0</v>
      </c>
      <c r="BN41" s="18">
        <f ca="1">CHOOSE($AN$8,Person2!GE41,Both!AA41)</f>
        <v>0</v>
      </c>
      <c r="BO41" s="18">
        <f ca="1">CHOOSE($AN$8,Person2!GF41,Both!AB41)</f>
        <v>0</v>
      </c>
      <c r="BP41" s="18" t="e">
        <f ca="1">CHOOSE($AN$8,Person2!GG41,Both!AC41)</f>
        <v>#NAME?</v>
      </c>
      <c r="BQ41" s="18" t="e">
        <f ca="1">CHOOSE($AN$8,Person2!GH41,Both!AD41)</f>
        <v>#NAME?</v>
      </c>
      <c r="BR41" s="4"/>
      <c r="BS41" s="4">
        <f>CHOOSE($AN$8,Person2!GJ41,Both!AF41)</f>
        <v>2051</v>
      </c>
      <c r="BT41" s="18">
        <f ca="1">CHOOSE($AN$8,Person2!GK41,Both!AG41)</f>
        <v>602.25925301289567</v>
      </c>
      <c r="BU41" s="18">
        <f ca="1">CHOOSE($AN$8,Person2!GL41,Both!AH41)</f>
        <v>143.85368907802962</v>
      </c>
      <c r="BV41" s="18">
        <f ca="1">CHOOSE($AN$8,Person2!GM41,Both!AI41)</f>
        <v>164.67568145982514</v>
      </c>
      <c r="BW41" s="18">
        <f ca="1">CHOOSE($AN$8,Person2!GN41,Both!AJ41)</f>
        <v>0</v>
      </c>
    </row>
    <row r="42" spans="1:75" x14ac:dyDescent="0.25">
      <c r="A42" s="41"/>
      <c r="B42" s="50" t="s">
        <v>66</v>
      </c>
      <c r="C42" s="8">
        <v>65</v>
      </c>
      <c r="D42" s="8">
        <v>65</v>
      </c>
      <c r="E42" s="51" t="s">
        <v>689</v>
      </c>
      <c r="F42" s="42" t="s">
        <v>109</v>
      </c>
      <c r="Y42" s="44"/>
      <c r="AE42" t="s">
        <v>66</v>
      </c>
      <c r="AJ42">
        <f t="shared" si="1"/>
        <v>65</v>
      </c>
      <c r="AK42">
        <f t="shared" si="2"/>
        <v>65</v>
      </c>
      <c r="AN42" t="s">
        <v>434</v>
      </c>
      <c r="AT42" s="4">
        <f ca="1">OFFSET(AT31,$AP$28-1,0)</f>
        <v>0</v>
      </c>
      <c r="AU42" s="4">
        <f ca="1">OFFSET(AU31,$AP$28-1,0)</f>
        <v>0</v>
      </c>
      <c r="AV42" s="4"/>
      <c r="AW42" s="4">
        <f ca="1">OFFSET(AW31,$AP$28-1,0)</f>
        <v>0</v>
      </c>
      <c r="AX42" s="4">
        <f ca="1">OFFSET(AX31,$AP$28-1,0)</f>
        <v>0</v>
      </c>
      <c r="AY42" s="4"/>
      <c r="BG42" s="4">
        <f>CHOOSE($AN$8,Person2!FX42,Both!T42)</f>
        <v>2052</v>
      </c>
      <c r="BH42" s="18">
        <f>CHOOSE($AN$8,Person2!FY42,Both!U42)</f>
        <v>47.466725008024333</v>
      </c>
      <c r="BI42" s="18">
        <f>CHOOSE($AN$8,Person2!FZ42,Both!V42)</f>
        <v>0</v>
      </c>
      <c r="BJ42" s="18">
        <f>CHOOSE($AN$8,Person2!GA42,Both!W42)</f>
        <v>0</v>
      </c>
      <c r="BK42" s="18">
        <f>CHOOSE($AN$8,Person2!GB42,Both!X42)</f>
        <v>0</v>
      </c>
      <c r="BL42" s="18">
        <f ca="1">CHOOSE($AN$8,Person2!GC42,Both!Y42)</f>
        <v>0</v>
      </c>
      <c r="BM42" s="18">
        <f ca="1">CHOOSE($AN$8,Person2!GD42,Both!Z42)</f>
        <v>0</v>
      </c>
      <c r="BN42" s="18">
        <f ca="1">CHOOSE($AN$8,Person2!GE42,Both!AA42)</f>
        <v>0</v>
      </c>
      <c r="BO42" s="18">
        <f ca="1">CHOOSE($AN$8,Person2!GF42,Both!AB42)</f>
        <v>0</v>
      </c>
      <c r="BP42" s="18" t="e">
        <f ca="1">CHOOSE($AN$8,Person2!GG42,Both!AC42)</f>
        <v>#NAME?</v>
      </c>
      <c r="BQ42" s="18" t="e">
        <f ca="1">CHOOSE($AN$8,Person2!GH42,Both!AD42)</f>
        <v>#NAME?</v>
      </c>
      <c r="BR42" s="4"/>
      <c r="BS42" s="4">
        <f>CHOOSE($AN$8,Person2!GJ42,Both!AF42)</f>
        <v>2052</v>
      </c>
      <c r="BT42" s="18">
        <f ca="1">CHOOSE($AN$8,Person2!GK42,Both!AG42)</f>
        <v>631.9501724541185</v>
      </c>
      <c r="BU42" s="18">
        <f ca="1">CHOOSE($AN$8,Person2!GL42,Both!AH42)</f>
        <v>150.86321993373556</v>
      </c>
      <c r="BV42" s="18">
        <f ca="1">CHOOSE($AN$8,Person2!GM42,Both!AI42)</f>
        <v>174.81232047951403</v>
      </c>
      <c r="BW42" s="18">
        <f ca="1">CHOOSE($AN$8,Person2!GN42,Both!AJ42)</f>
        <v>0</v>
      </c>
    </row>
    <row r="43" spans="1:75" x14ac:dyDescent="0.25">
      <c r="A43" s="41"/>
      <c r="B43" s="50" t="s">
        <v>268</v>
      </c>
      <c r="C43" s="8">
        <v>6846</v>
      </c>
      <c r="D43" s="8">
        <v>6846</v>
      </c>
      <c r="E43" s="51" t="s">
        <v>690</v>
      </c>
      <c r="F43" s="42" t="s">
        <v>109</v>
      </c>
      <c r="Y43" s="44"/>
      <c r="AE43" t="s">
        <v>268</v>
      </c>
      <c r="AG43">
        <v>1</v>
      </c>
      <c r="AI43">
        <v>0</v>
      </c>
      <c r="AJ43">
        <f t="shared" si="1"/>
        <v>6846</v>
      </c>
      <c r="AK43">
        <f t="shared" si="2"/>
        <v>6846</v>
      </c>
      <c r="BG43" s="4">
        <f>CHOOSE($AN$8,Person2!FX43,Both!T43)</f>
        <v>2053</v>
      </c>
      <c r="BH43" s="18">
        <f>CHOOSE($AN$8,Person2!FY43,Both!U43)</f>
        <v>47.699405032573473</v>
      </c>
      <c r="BI43" s="18">
        <f>CHOOSE($AN$8,Person2!FZ43,Both!V43)</f>
        <v>0</v>
      </c>
      <c r="BJ43" s="18">
        <f>CHOOSE($AN$8,Person2!GA43,Both!W43)</f>
        <v>0</v>
      </c>
      <c r="BK43" s="18">
        <f>CHOOSE($AN$8,Person2!GB43,Both!X43)</f>
        <v>0</v>
      </c>
      <c r="BL43" s="18">
        <f ca="1">CHOOSE($AN$8,Person2!GC43,Both!Y43)</f>
        <v>0</v>
      </c>
      <c r="BM43" s="18">
        <f ca="1">CHOOSE($AN$8,Person2!GD43,Both!Z43)</f>
        <v>0</v>
      </c>
      <c r="BN43" s="18">
        <f ca="1">CHOOSE($AN$8,Person2!GE43,Both!AA43)</f>
        <v>0</v>
      </c>
      <c r="BO43" s="18">
        <f ca="1">CHOOSE($AN$8,Person2!GF43,Both!AB43)</f>
        <v>0</v>
      </c>
      <c r="BP43" s="18" t="e">
        <f ca="1">CHOOSE($AN$8,Person2!GG43,Both!AC43)</f>
        <v>#NAME?</v>
      </c>
      <c r="BQ43" s="18" t="e">
        <f ca="1">CHOOSE($AN$8,Person2!GH43,Both!AD43)</f>
        <v>#NAME?</v>
      </c>
      <c r="BR43" s="4"/>
      <c r="BS43" s="4">
        <f>CHOOSE($AN$8,Person2!GJ43,Both!AF43)</f>
        <v>2053</v>
      </c>
      <c r="BT43" s="18">
        <f ca="1">CHOOSE($AN$8,Person2!GK43,Both!AG43)</f>
        <v>662.60453925144793</v>
      </c>
      <c r="BU43" s="18">
        <f ca="1">CHOOSE($AN$8,Person2!GL43,Both!AH43)</f>
        <v>158.09253375578803</v>
      </c>
      <c r="BV43" s="18">
        <f ca="1">CHOOSE($AN$8,Person2!GM43,Both!AI43)</f>
        <v>185.37422729636233</v>
      </c>
      <c r="BW43" s="18">
        <f ca="1">CHOOSE($AN$8,Person2!GN43,Both!AJ43)</f>
        <v>0</v>
      </c>
    </row>
    <row r="44" spans="1:75" x14ac:dyDescent="0.25">
      <c r="A44" s="41"/>
      <c r="B44" s="59" t="s">
        <v>83</v>
      </c>
      <c r="C44" s="60"/>
      <c r="D44" s="60"/>
      <c r="E44" s="61"/>
      <c r="F44" s="42" t="s">
        <v>109</v>
      </c>
      <c r="Y44" s="44"/>
      <c r="AE44" t="s">
        <v>83</v>
      </c>
      <c r="AJ44">
        <f t="shared" si="1"/>
        <v>0</v>
      </c>
      <c r="AK44">
        <f t="shared" si="2"/>
        <v>0</v>
      </c>
      <c r="BG44" s="4">
        <f>CHOOSE($AN$8,Person2!FX44,Both!T44)</f>
        <v>2054</v>
      </c>
      <c r="BH44" s="18">
        <f>CHOOSE($AN$8,Person2!FY44,Both!U44)</f>
        <v>47.933225645478224</v>
      </c>
      <c r="BI44" s="18">
        <f>CHOOSE($AN$8,Person2!FZ44,Both!V44)</f>
        <v>0</v>
      </c>
      <c r="BJ44" s="18">
        <f>CHOOSE($AN$8,Person2!GA44,Both!W44)</f>
        <v>0</v>
      </c>
      <c r="BK44" s="18">
        <f>CHOOSE($AN$8,Person2!GB44,Both!X44)</f>
        <v>0</v>
      </c>
      <c r="BL44" s="18">
        <f ca="1">CHOOSE($AN$8,Person2!GC44,Both!Y44)</f>
        <v>0</v>
      </c>
      <c r="BM44" s="18">
        <f ca="1">CHOOSE($AN$8,Person2!GD44,Both!Z44)</f>
        <v>0</v>
      </c>
      <c r="BN44" s="18">
        <f ca="1">CHOOSE($AN$8,Person2!GE44,Both!AA44)</f>
        <v>0</v>
      </c>
      <c r="BO44" s="18">
        <f ca="1">CHOOSE($AN$8,Person2!GF44,Both!AB44)</f>
        <v>0</v>
      </c>
      <c r="BP44" s="18" t="e">
        <f ca="1">CHOOSE($AN$8,Person2!GG44,Both!AC44)</f>
        <v>#NAME?</v>
      </c>
      <c r="BQ44" s="18" t="e">
        <f ca="1">CHOOSE($AN$8,Person2!GH44,Both!AD44)</f>
        <v>#NAME?</v>
      </c>
      <c r="BR44" s="4"/>
      <c r="BS44" s="4">
        <f>CHOOSE($AN$8,Person2!GJ44,Both!AF44)</f>
        <v>2054</v>
      </c>
      <c r="BT44" s="18">
        <f ca="1">CHOOSE($AN$8,Person2!GK44,Both!AG44)</f>
        <v>694.25144072639137</v>
      </c>
      <c r="BU44" s="18">
        <f ca="1">CHOOSE($AN$8,Person2!GL44,Both!AH44)</f>
        <v>165.54816151522726</v>
      </c>
      <c r="BV44" s="18">
        <f ca="1">CHOOSE($AN$8,Person2!GM44,Both!AI44)</f>
        <v>196.37456420436715</v>
      </c>
      <c r="BW44" s="18">
        <f ca="1">CHOOSE($AN$8,Person2!GN44,Both!AJ44)</f>
        <v>0</v>
      </c>
    </row>
    <row r="45" spans="1:75" x14ac:dyDescent="0.25">
      <c r="A45" s="41"/>
      <c r="B45" s="50" t="s">
        <v>54</v>
      </c>
      <c r="C45" s="8">
        <v>71</v>
      </c>
      <c r="D45" s="8">
        <v>71</v>
      </c>
      <c r="E45" s="51" t="s">
        <v>84</v>
      </c>
      <c r="F45" s="42" t="s">
        <v>109</v>
      </c>
      <c r="Y45" s="44"/>
      <c r="AE45" t="s">
        <v>54</v>
      </c>
      <c r="AJ45">
        <f t="shared" si="1"/>
        <v>71</v>
      </c>
      <c r="AK45">
        <f t="shared" si="2"/>
        <v>71</v>
      </c>
      <c r="BG45" s="4">
        <f>CHOOSE($AN$8,Person2!FX45,Both!T45)</f>
        <v>2055</v>
      </c>
      <c r="BH45" s="18">
        <f>CHOOSE($AN$8,Person2!FY45,Both!U45)</f>
        <v>0</v>
      </c>
      <c r="BI45" s="18">
        <f>CHOOSE($AN$8,Person2!FZ45,Both!V45)</f>
        <v>0</v>
      </c>
      <c r="BJ45" s="18">
        <f>CHOOSE($AN$8,Person2!GA45,Both!W45)</f>
        <v>0</v>
      </c>
      <c r="BK45" s="18">
        <f>CHOOSE($AN$8,Person2!GB45,Both!X45)</f>
        <v>7.4999999999999938</v>
      </c>
      <c r="BL45" s="18">
        <f ca="1">CHOOSE($AN$8,Person2!GC45,Both!Y45)</f>
        <v>15.214543459745784</v>
      </c>
      <c r="BM45" s="18">
        <f ca="1">CHOOSE($AN$8,Person2!GD45,Both!Z45)</f>
        <v>0</v>
      </c>
      <c r="BN45" s="18">
        <f ca="1">CHOOSE($AN$8,Person2!GE45,Both!AA45)</f>
        <v>0</v>
      </c>
      <c r="BO45" s="18">
        <f ca="1">CHOOSE($AN$8,Person2!GF45,Both!AB45)</f>
        <v>4.349842557741721</v>
      </c>
      <c r="BP45" s="18" t="e">
        <f ca="1">CHOOSE($AN$8,Person2!GG45,Both!AC45)</f>
        <v>#NAME?</v>
      </c>
      <c r="BQ45" s="18" t="e">
        <f ca="1">CHOOSE($AN$8,Person2!GH45,Both!AD45)</f>
        <v>#NAME?</v>
      </c>
      <c r="BR45" s="4"/>
      <c r="BS45" s="4">
        <f>CHOOSE($AN$8,Person2!GJ45,Both!AF45)</f>
        <v>2055</v>
      </c>
      <c r="BT45" s="18">
        <f ca="1">CHOOSE($AN$8,Person2!GK45,Both!AG45)</f>
        <v>726.92082641450565</v>
      </c>
      <c r="BU45" s="18">
        <f ca="1">CHOOSE($AN$8,Person2!GL45,Both!AH45)</f>
        <v>173.23682659776208</v>
      </c>
      <c r="BV45" s="18">
        <f ca="1">CHOOSE($AN$8,Person2!GM45,Both!AI45)</f>
        <v>207.82688321950033</v>
      </c>
      <c r="BW45" s="18">
        <f ca="1">CHOOSE($AN$8,Person2!GN45,Both!AJ45)</f>
        <v>0</v>
      </c>
    </row>
    <row r="46" spans="1:75" x14ac:dyDescent="0.25">
      <c r="A46" s="41"/>
      <c r="B46" s="50" t="s">
        <v>55</v>
      </c>
      <c r="C46" s="8">
        <v>71</v>
      </c>
      <c r="D46" s="8">
        <v>71</v>
      </c>
      <c r="E46" s="51" t="s">
        <v>363</v>
      </c>
      <c r="F46" s="42" t="s">
        <v>109</v>
      </c>
      <c r="Y46" s="44"/>
      <c r="AE46" t="s">
        <v>55</v>
      </c>
      <c r="AJ46">
        <f t="shared" si="1"/>
        <v>71</v>
      </c>
      <c r="AK46">
        <f t="shared" si="2"/>
        <v>71</v>
      </c>
      <c r="BG46" s="4">
        <f>CHOOSE($AN$8,Person2!FX46,Both!T46)</f>
        <v>2056</v>
      </c>
      <c r="BH46" s="18">
        <f>CHOOSE($AN$8,Person2!FY46,Both!U46)</f>
        <v>0</v>
      </c>
      <c r="BI46" s="18">
        <f>CHOOSE($AN$8,Person2!FZ46,Both!V46)</f>
        <v>0</v>
      </c>
      <c r="BJ46" s="18">
        <f>CHOOSE($AN$8,Person2!GA46,Both!W46)</f>
        <v>0</v>
      </c>
      <c r="BK46" s="18">
        <f>CHOOSE($AN$8,Person2!GB46,Both!X46)</f>
        <v>7.389705882352934</v>
      </c>
      <c r="BL46" s="18">
        <f ca="1">CHOOSE($AN$8,Person2!GC46,Both!Y46)</f>
        <v>15.294397273149347</v>
      </c>
      <c r="BM46" s="18">
        <f ca="1">CHOOSE($AN$8,Person2!GD46,Both!Z46)</f>
        <v>0</v>
      </c>
      <c r="BN46" s="18">
        <f ca="1">CHOOSE($AN$8,Person2!GE46,Both!AA46)</f>
        <v>0</v>
      </c>
      <c r="BO46" s="18">
        <f ca="1">CHOOSE($AN$8,Person2!GF46,Both!AB46)</f>
        <v>4.3726727870456639</v>
      </c>
      <c r="BP46" s="18" t="e">
        <f ca="1">CHOOSE($AN$8,Person2!GG46,Both!AC46)</f>
        <v>#NAME?</v>
      </c>
      <c r="BQ46" s="18" t="e">
        <f ca="1">CHOOSE($AN$8,Person2!GH46,Both!AD46)</f>
        <v>#NAME?</v>
      </c>
      <c r="BR46" s="4"/>
      <c r="BS46" s="4">
        <f>CHOOSE($AN$8,Person2!GJ46,Both!AF46)</f>
        <v>2056</v>
      </c>
      <c r="BT46" s="18">
        <f ca="1">CHOOSE($AN$8,Person2!GK46,Both!AG46)</f>
        <v>733.38463164263248</v>
      </c>
      <c r="BU46" s="18">
        <f ca="1">CHOOSE($AN$8,Person2!GL46,Both!AH46)</f>
        <v>178.3320273800492</v>
      </c>
      <c r="BV46" s="18">
        <f ca="1">CHOOSE($AN$8,Person2!GM46,Both!AI46)</f>
        <v>209.67488708111142</v>
      </c>
      <c r="BW46" s="18">
        <f ca="1">CHOOSE($AN$8,Person2!GN46,Both!AJ46)</f>
        <v>0</v>
      </c>
    </row>
    <row r="47" spans="1:75" x14ac:dyDescent="0.25">
      <c r="A47" s="41"/>
      <c r="B47" s="52" t="s">
        <v>657</v>
      </c>
      <c r="C47" s="53">
        <v>0</v>
      </c>
      <c r="D47" s="53">
        <v>0</v>
      </c>
      <c r="E47" s="55" t="s">
        <v>658</v>
      </c>
      <c r="F47" s="42" t="s">
        <v>109</v>
      </c>
      <c r="Y47" s="44"/>
      <c r="AE47" t="s">
        <v>657</v>
      </c>
      <c r="AJ47">
        <f t="shared" si="1"/>
        <v>0</v>
      </c>
      <c r="AK47">
        <f t="shared" si="2"/>
        <v>0</v>
      </c>
      <c r="BG47" s="4">
        <f>CHOOSE($AN$8,Person2!FX47,Both!T47)</f>
        <v>2057</v>
      </c>
      <c r="BH47" s="18">
        <f>CHOOSE($AN$8,Person2!FY47,Both!U47)</f>
        <v>0</v>
      </c>
      <c r="BI47" s="18">
        <f>CHOOSE($AN$8,Person2!FZ47,Both!V47)</f>
        <v>0</v>
      </c>
      <c r="BJ47" s="18">
        <f>CHOOSE($AN$8,Person2!GA47,Both!W47)</f>
        <v>0</v>
      </c>
      <c r="BK47" s="18">
        <f>CHOOSE($AN$8,Person2!GB47,Both!X47)</f>
        <v>7.2810337370242131</v>
      </c>
      <c r="BL47" s="18">
        <f ca="1">CHOOSE($AN$8,Person2!GC47,Both!Y47)</f>
        <v>15.373076765765521</v>
      </c>
      <c r="BM47" s="18">
        <f ca="1">CHOOSE($AN$8,Person2!GD47,Both!Z47)</f>
        <v>0</v>
      </c>
      <c r="BN47" s="18">
        <f ca="1">CHOOSE($AN$8,Person2!GE47,Both!AA47)</f>
        <v>0</v>
      </c>
      <c r="BO47" s="18">
        <f ca="1">CHOOSE($AN$8,Person2!GF47,Both!AB47)</f>
        <v>4.3951672776827833</v>
      </c>
      <c r="BP47" s="18" t="e">
        <f ca="1">CHOOSE($AN$8,Person2!GG47,Both!AC47)</f>
        <v>#NAME?</v>
      </c>
      <c r="BQ47" s="18" t="e">
        <f ca="1">CHOOSE($AN$8,Person2!GH47,Both!AD47)</f>
        <v>#NAME?</v>
      </c>
      <c r="BR47" s="4"/>
      <c r="BS47" s="4">
        <f>CHOOSE($AN$8,Person2!GJ47,Both!AF47)</f>
        <v>2057</v>
      </c>
      <c r="BT47" s="18">
        <f ca="1">CHOOSE($AN$8,Person2!GK47,Both!AG47)</f>
        <v>739.96026073687733</v>
      </c>
      <c r="BU47" s="18">
        <f ca="1">CHOOSE($AN$8,Person2!GL47,Both!AH47)</f>
        <v>183.57708700887417</v>
      </c>
      <c r="BV47" s="18">
        <f ca="1">CHOOSE($AN$8,Person2!GM47,Both!AI47)</f>
        <v>211.55486141972679</v>
      </c>
      <c r="BW47" s="18">
        <f ca="1">CHOOSE($AN$8,Person2!GN47,Both!AJ47)</f>
        <v>0</v>
      </c>
    </row>
    <row r="48" spans="1:75" x14ac:dyDescent="0.25">
      <c r="A48" s="36"/>
      <c r="B48" s="43"/>
      <c r="C48" s="43"/>
      <c r="D48" s="43"/>
      <c r="E48" s="43"/>
      <c r="F48" s="74" t="s">
        <v>109</v>
      </c>
      <c r="G48" s="37"/>
      <c r="H48" s="37"/>
      <c r="I48" s="37"/>
      <c r="J48" s="37"/>
      <c r="K48" s="37"/>
      <c r="L48" s="37"/>
      <c r="M48" s="37"/>
      <c r="N48" s="37"/>
      <c r="O48" s="37"/>
      <c r="P48" s="37"/>
      <c r="Q48" s="37"/>
      <c r="R48" s="37"/>
      <c r="S48" s="37"/>
      <c r="T48" s="37"/>
      <c r="U48" s="37"/>
      <c r="V48" s="37"/>
      <c r="W48" s="37"/>
      <c r="X48" s="37"/>
      <c r="Y48" s="38"/>
      <c r="AJ48">
        <f>IF(AND($D$4="Off",AF48=1),AH48,C48)</f>
        <v>0</v>
      </c>
      <c r="AK48">
        <f>IF(AND($D$4="Off",AG48=1),AI48,D48)</f>
        <v>0</v>
      </c>
      <c r="BG48" s="4">
        <f>CHOOSE($AN$8,Person2!FX48,Both!T48)</f>
        <v>2058</v>
      </c>
      <c r="BH48" s="18">
        <f>CHOOSE($AN$8,Person2!FY48,Both!U48)</f>
        <v>0</v>
      </c>
      <c r="BI48" s="18">
        <f>CHOOSE($AN$8,Person2!FZ48,Both!V48)</f>
        <v>0</v>
      </c>
      <c r="BJ48" s="18">
        <f>CHOOSE($AN$8,Person2!GA48,Both!W48)</f>
        <v>0</v>
      </c>
      <c r="BK48" s="18">
        <f>CHOOSE($AN$8,Person2!GB48,Both!X48)</f>
        <v>7.1739597114797391</v>
      </c>
      <c r="BL48" s="18">
        <f ca="1">CHOOSE($AN$8,Person2!GC48,Both!Y48)</f>
        <v>15.450599207021705</v>
      </c>
      <c r="BM48" s="18">
        <f ca="1">CHOOSE($AN$8,Person2!GD48,Both!Z48)</f>
        <v>0</v>
      </c>
      <c r="BN48" s="18">
        <f ca="1">CHOOSE($AN$8,Person2!GE48,Both!AA48)</f>
        <v>0</v>
      </c>
      <c r="BO48" s="18">
        <f ca="1">CHOOSE($AN$8,Person2!GF48,Both!AB48)</f>
        <v>4.4173309669875866</v>
      </c>
      <c r="BP48" s="18" t="e">
        <f ca="1">CHOOSE($AN$8,Person2!GG48,Both!AC48)</f>
        <v>#NAME?</v>
      </c>
      <c r="BQ48" s="18" t="e">
        <f ca="1">CHOOSE($AN$8,Person2!GH48,Both!AD48)</f>
        <v>#NAME?</v>
      </c>
      <c r="BR48" s="4"/>
      <c r="BS48" s="4">
        <f>CHOOSE($AN$8,Person2!GJ48,Both!AF48)</f>
        <v>2058</v>
      </c>
      <c r="BT48" s="18">
        <f ca="1">CHOOSE($AN$8,Person2!GK48,Both!AG48)</f>
        <v>746.6521539293683</v>
      </c>
      <c r="BU48" s="18">
        <f ca="1">CHOOSE($AN$8,Person2!GL48,Both!AH48)</f>
        <v>188.97641309737048</v>
      </c>
      <c r="BV48" s="18">
        <f ca="1">CHOOSE($AN$8,Person2!GM48,Both!AI48)</f>
        <v>213.46807569904936</v>
      </c>
      <c r="BW48" s="18">
        <f ca="1">CHOOSE($AN$8,Person2!GN48,Both!AJ48)</f>
        <v>0</v>
      </c>
    </row>
    <row r="49" spans="1:75" x14ac:dyDescent="0.25">
      <c r="A49" s="39"/>
      <c r="B49" s="56" t="s">
        <v>417</v>
      </c>
      <c r="C49" s="57"/>
      <c r="D49" s="57"/>
      <c r="E49" s="58"/>
      <c r="F49" s="85" t="s">
        <v>109</v>
      </c>
      <c r="AE49" t="s">
        <v>417</v>
      </c>
      <c r="AJ49">
        <f t="shared" ref="AJ49:AK51" si="3">IF(AND($D$4="Off",AF49=1),AH49,C49)</f>
        <v>0</v>
      </c>
      <c r="AK49">
        <f t="shared" si="3"/>
        <v>0</v>
      </c>
      <c r="BG49" s="4">
        <f>CHOOSE($AN$8,Person2!FX49,Both!T49)</f>
        <v>2059</v>
      </c>
      <c r="BH49" s="18">
        <f>CHOOSE($AN$8,Person2!FY49,Both!U49)</f>
        <v>0</v>
      </c>
      <c r="BI49" s="18">
        <f>CHOOSE($AN$8,Person2!FZ49,Both!V49)</f>
        <v>0</v>
      </c>
      <c r="BJ49" s="18">
        <f>CHOOSE($AN$8,Person2!GA49,Both!W49)</f>
        <v>0</v>
      </c>
      <c r="BK49" s="18">
        <f>CHOOSE($AN$8,Person2!GB49,Both!X49)</f>
        <v>7.0684603039579761</v>
      </c>
      <c r="BL49" s="18">
        <f ca="1">CHOOSE($AN$8,Person2!GC49,Both!Y49)</f>
        <v>15.526981612377071</v>
      </c>
      <c r="BM49" s="18">
        <f ca="1">CHOOSE($AN$8,Person2!GD49,Both!Z49)</f>
        <v>0</v>
      </c>
      <c r="BN49" s="18">
        <f ca="1">CHOOSE($AN$8,Person2!GE49,Both!AA49)</f>
        <v>0</v>
      </c>
      <c r="BO49" s="18">
        <f ca="1">CHOOSE($AN$8,Person2!GF49,Both!AB49)</f>
        <v>4.4391687196849663</v>
      </c>
      <c r="BP49" s="18" t="e">
        <f ca="1">CHOOSE($AN$8,Person2!GG49,Both!AC49)</f>
        <v>#NAME?</v>
      </c>
      <c r="BQ49" s="18" t="e">
        <f ca="1">CHOOSE($AN$8,Person2!GH49,Both!AD49)</f>
        <v>#NAME?</v>
      </c>
      <c r="BR49" s="4"/>
      <c r="BS49" s="4">
        <f>CHOOSE($AN$8,Person2!GJ49,Both!AF49)</f>
        <v>2059</v>
      </c>
      <c r="BT49" s="18">
        <f ca="1">CHOOSE($AN$8,Person2!GK49,Both!AG49)</f>
        <v>753.46486511648538</v>
      </c>
      <c r="BU49" s="18">
        <f ca="1">CHOOSE($AN$8,Person2!GL49,Both!AH49)</f>
        <v>194.534542894352</v>
      </c>
      <c r="BV49" s="18">
        <f ca="1">CHOOSE($AN$8,Person2!GM49,Both!AI49)</f>
        <v>215.41583187942575</v>
      </c>
      <c r="BW49" s="18">
        <f ca="1">CHOOSE($AN$8,Person2!GN49,Both!AJ49)</f>
        <v>0</v>
      </c>
    </row>
    <row r="50" spans="1:75" x14ac:dyDescent="0.25">
      <c r="A50" s="41"/>
      <c r="B50" s="50" t="s">
        <v>398</v>
      </c>
      <c r="C50" s="8">
        <v>10000</v>
      </c>
      <c r="D50" s="8">
        <v>0</v>
      </c>
      <c r="E50" s="51" t="s">
        <v>400</v>
      </c>
      <c r="F50" s="68" t="s">
        <v>109</v>
      </c>
      <c r="AE50" t="s">
        <v>398</v>
      </c>
      <c r="AG50">
        <v>1</v>
      </c>
      <c r="AI50">
        <v>0</v>
      </c>
      <c r="AJ50">
        <f t="shared" si="3"/>
        <v>10000</v>
      </c>
      <c r="AK50">
        <f t="shared" si="3"/>
        <v>0</v>
      </c>
      <c r="BG50" s="4">
        <f>CHOOSE($AN$8,Person2!FX50,Both!T50)</f>
        <v>2060</v>
      </c>
      <c r="BH50" s="18">
        <f>CHOOSE($AN$8,Person2!FY50,Both!U50)</f>
        <v>0</v>
      </c>
      <c r="BI50" s="18">
        <f>CHOOSE($AN$8,Person2!FZ50,Both!V50)</f>
        <v>8</v>
      </c>
      <c r="BJ50" s="18">
        <f ca="1">CHOOSE($AN$8,Person2!GA50,Both!W50)</f>
        <v>6.8460000000000001</v>
      </c>
      <c r="BK50" s="18">
        <f>CHOOSE($AN$8,Person2!GB50,Both!X50)</f>
        <v>3.9645123583115338</v>
      </c>
      <c r="BL50" s="18">
        <f ca="1">CHOOSE($AN$8,Person2!GC50,Both!Y50)</f>
        <v>5.4767005220993594</v>
      </c>
      <c r="BM50" s="18">
        <f ca="1">CHOOSE($AN$8,Person2!GD50,Both!Z50)</f>
        <v>0</v>
      </c>
      <c r="BN50" s="18">
        <f ca="1">CHOOSE($AN$8,Person2!GE50,Both!AA50)</f>
        <v>0</v>
      </c>
      <c r="BO50" s="18">
        <f ca="1">CHOOSE($AN$8,Person2!GF50,Both!AB50)</f>
        <v>1.5657903288431729</v>
      </c>
      <c r="BP50" s="18" t="e">
        <f ca="1">CHOOSE($AN$8,Person2!GG50,Both!AC50)</f>
        <v>#NAME?</v>
      </c>
      <c r="BQ50" s="18" t="e">
        <f ca="1">CHOOSE($AN$8,Person2!GH50,Both!AD50)</f>
        <v>#NAME?</v>
      </c>
      <c r="BR50" s="4"/>
      <c r="BS50" s="4">
        <f>CHOOSE($AN$8,Person2!GJ50,Both!AF50)</f>
        <v>2060</v>
      </c>
      <c r="BT50" s="18">
        <f ca="1">CHOOSE($AN$8,Person2!GK50,Both!AG50)</f>
        <v>760.40306545091414</v>
      </c>
      <c r="BU50" s="18">
        <f ca="1">CHOOSE($AN$8,Person2!GL50,Both!AH50)</f>
        <v>200.25614709712701</v>
      </c>
      <c r="BV50" s="18">
        <f ca="1">CHOOSE($AN$8,Person2!GM50,Both!AI50)</f>
        <v>217.39946544481572</v>
      </c>
      <c r="BW50" s="18">
        <f ca="1">CHOOSE($AN$8,Person2!GN50,Both!AJ50)</f>
        <v>0</v>
      </c>
    </row>
    <row r="51" spans="1:75" x14ac:dyDescent="0.25">
      <c r="A51" s="41"/>
      <c r="B51" s="50" t="s">
        <v>399</v>
      </c>
      <c r="C51" s="8">
        <v>0</v>
      </c>
      <c r="D51" s="8">
        <v>5000</v>
      </c>
      <c r="E51" s="51" t="s">
        <v>401</v>
      </c>
      <c r="F51" s="68" t="s">
        <v>109</v>
      </c>
      <c r="AE51" t="s">
        <v>399</v>
      </c>
      <c r="AG51">
        <v>1</v>
      </c>
      <c r="AI51">
        <v>0</v>
      </c>
      <c r="AJ51">
        <f t="shared" si="3"/>
        <v>0</v>
      </c>
      <c r="AK51">
        <f t="shared" si="3"/>
        <v>5000</v>
      </c>
      <c r="BG51" s="4">
        <f>CHOOSE($AN$8,Person2!FX51,Both!T51)</f>
        <v>2061</v>
      </c>
      <c r="BH51" s="18">
        <f>CHOOSE($AN$8,Person2!FY51,Both!U51)</f>
        <v>0</v>
      </c>
      <c r="BI51" s="18">
        <f>CHOOSE($AN$8,Person2!FZ51,Both!V51)</f>
        <v>8</v>
      </c>
      <c r="BJ51" s="18">
        <f ca="1">CHOOSE($AN$8,Person2!GA51,Both!W51)</f>
        <v>6.8460000000000001</v>
      </c>
      <c r="BK51" s="18">
        <f>CHOOSE($AN$8,Person2!GB51,Both!X51)</f>
        <v>3.8620930589245988</v>
      </c>
      <c r="BL51" s="18">
        <f ca="1">CHOOSE($AN$8,Person2!GC51,Both!Y51)</f>
        <v>5.5508529048070185</v>
      </c>
      <c r="BM51" s="18">
        <f ca="1">CHOOSE($AN$8,Person2!GD51,Both!Z51)</f>
        <v>0</v>
      </c>
      <c r="BN51" s="18">
        <f ca="1">CHOOSE($AN$8,Person2!GE51,Both!AA51)</f>
        <v>0</v>
      </c>
      <c r="BO51" s="18">
        <f ca="1">CHOOSE($AN$8,Person2!GF51,Both!AB51)</f>
        <v>1.586990517393893</v>
      </c>
      <c r="BP51" s="18" t="e">
        <f ca="1">CHOOSE($AN$8,Person2!GG51,Both!AC51)</f>
        <v>#NAME?</v>
      </c>
      <c r="BQ51" s="18" t="e">
        <f ca="1">CHOOSE($AN$8,Person2!GH51,Both!AD51)</f>
        <v>#NAME?</v>
      </c>
      <c r="BR51" s="4"/>
      <c r="BS51" s="4">
        <f>CHOOSE($AN$8,Person2!GJ51,Both!AF51)</f>
        <v>2061</v>
      </c>
      <c r="BT51" s="18">
        <f ca="1">CHOOSE($AN$8,Person2!GK51,Both!AG51)</f>
        <v>777.39854725623593</v>
      </c>
      <c r="BU51" s="18">
        <f ca="1">CHOOSE($AN$8,Person2!GL51,Both!AH51)</f>
        <v>206.14603377645432</v>
      </c>
      <c r="BV51" s="18">
        <f ca="1">CHOOSE($AN$8,Person2!GM51,Both!AI51)</f>
        <v>222.25847881197387</v>
      </c>
      <c r="BW51" s="18">
        <f ca="1">CHOOSE($AN$8,Person2!GN51,Both!AJ51)</f>
        <v>0</v>
      </c>
    </row>
    <row r="52" spans="1:75" x14ac:dyDescent="0.25">
      <c r="A52" s="41"/>
      <c r="B52" s="59" t="s">
        <v>356</v>
      </c>
      <c r="C52" s="60"/>
      <c r="D52" s="60"/>
      <c r="E52" s="61"/>
      <c r="F52" s="68" t="s">
        <v>109</v>
      </c>
      <c r="AE52" t="s">
        <v>356</v>
      </c>
      <c r="AJ52">
        <f t="shared" ref="AJ52:AJ66" si="4">IF(AND($D$4="Off",AF52=1),AH52,C52)</f>
        <v>0</v>
      </c>
      <c r="AK52">
        <f t="shared" ref="AK52:AK66" si="5">IF(AND($D$4="Off",AG52=1),AI52,D52)</f>
        <v>0</v>
      </c>
      <c r="BG52" s="4">
        <f>CHOOSE($AN$8,Person2!FX52,Both!T52)</f>
        <v>2062</v>
      </c>
      <c r="BH52" s="18">
        <f>CHOOSE($AN$8,Person2!FY52,Both!U52)</f>
        <v>0</v>
      </c>
      <c r="BI52" s="18">
        <f>CHOOSE($AN$8,Person2!FZ52,Both!V52)</f>
        <v>8</v>
      </c>
      <c r="BJ52" s="18">
        <f ca="1">CHOOSE($AN$8,Person2!GA52,Both!W52)</f>
        <v>6.8460000000000001</v>
      </c>
      <c r="BK52" s="18">
        <f>CHOOSE($AN$8,Person2!GB52,Both!X52)</f>
        <v>3.7611799257051182</v>
      </c>
      <c r="BL52" s="18">
        <f ca="1">CHOOSE($AN$8,Person2!GC52,Both!Y52)</f>
        <v>5.6239148112983921</v>
      </c>
      <c r="BM52" s="18">
        <f ca="1">CHOOSE($AN$8,Person2!GD52,Both!Z52)</f>
        <v>0</v>
      </c>
      <c r="BN52" s="18">
        <f ca="1">CHOOSE($AN$8,Person2!GE52,Both!AA52)</f>
        <v>0</v>
      </c>
      <c r="BO52" s="18">
        <f ca="1">CHOOSE($AN$8,Person2!GF52,Both!AB52)</f>
        <v>1.6078789384659256</v>
      </c>
      <c r="BP52" s="18" t="e">
        <f ca="1">CHOOSE($AN$8,Person2!GG52,Both!AC52)</f>
        <v>#NAME?</v>
      </c>
      <c r="BQ52" s="18" t="e">
        <f ca="1">CHOOSE($AN$8,Person2!GH52,Both!AD52)</f>
        <v>#NAME?</v>
      </c>
      <c r="BR52" s="4"/>
      <c r="BS52" s="4">
        <f>CHOOSE($AN$8,Person2!GJ52,Both!AF52)</f>
        <v>2062</v>
      </c>
      <c r="BT52" s="18">
        <f ca="1">CHOOSE($AN$8,Person2!GK52,Both!AG52)</f>
        <v>794.82119775905949</v>
      </c>
      <c r="BU52" s="18">
        <f ca="1">CHOOSE($AN$8,Person2!GL52,Both!AH52)</f>
        <v>212.20915241693825</v>
      </c>
      <c r="BV52" s="18">
        <f ca="1">CHOOSE($AN$8,Person2!GM52,Both!AI52)</f>
        <v>227.23961983841048</v>
      </c>
      <c r="BW52" s="18">
        <f ca="1">CHOOSE($AN$8,Person2!GN52,Both!AJ52)</f>
        <v>0</v>
      </c>
    </row>
    <row r="53" spans="1:75" x14ac:dyDescent="0.25">
      <c r="A53" s="41"/>
      <c r="B53" s="50" t="s">
        <v>306</v>
      </c>
      <c r="C53" s="8">
        <v>1</v>
      </c>
      <c r="D53" s="8">
        <v>1</v>
      </c>
      <c r="E53" s="51" t="s">
        <v>303</v>
      </c>
      <c r="F53" s="68" t="s">
        <v>109</v>
      </c>
      <c r="AE53" t="s">
        <v>306</v>
      </c>
      <c r="AJ53">
        <f t="shared" si="4"/>
        <v>1</v>
      </c>
      <c r="AK53">
        <f t="shared" si="5"/>
        <v>1</v>
      </c>
      <c r="BG53" s="4">
        <f>CHOOSE($AN$8,Person2!FX53,Both!T53)</f>
        <v>2063</v>
      </c>
      <c r="BH53" s="18">
        <f>CHOOSE($AN$8,Person2!FY53,Both!U53)</f>
        <v>0</v>
      </c>
      <c r="BI53" s="18">
        <f>CHOOSE($AN$8,Person2!FZ53,Both!V53)</f>
        <v>8</v>
      </c>
      <c r="BJ53" s="18">
        <f ca="1">CHOOSE($AN$8,Person2!GA53,Both!W53)</f>
        <v>6.8460000000000001</v>
      </c>
      <c r="BK53" s="18">
        <f>CHOOSE($AN$8,Person2!GB53,Both!X53)</f>
        <v>3.6617508091506301</v>
      </c>
      <c r="BL53" s="18">
        <f ca="1">CHOOSE($AN$8,Person2!GC53,Both!Y53)</f>
        <v>5.6959022780163551</v>
      </c>
      <c r="BM53" s="18">
        <f ca="1">CHOOSE($AN$8,Person2!GD53,Both!Z53)</f>
        <v>0</v>
      </c>
      <c r="BN53" s="18">
        <f ca="1">CHOOSE($AN$8,Person2!GE53,Both!AA53)</f>
        <v>0</v>
      </c>
      <c r="BO53" s="18">
        <f ca="1">CHOOSE($AN$8,Person2!GF53,Both!AB53)</f>
        <v>1.6284601768831208</v>
      </c>
      <c r="BP53" s="18" t="e">
        <f ca="1">CHOOSE($AN$8,Person2!GG53,Both!AC53)</f>
        <v>#NAME?</v>
      </c>
      <c r="BQ53" s="18" t="e">
        <f ca="1">CHOOSE($AN$8,Person2!GH53,Both!AD53)</f>
        <v>#NAME?</v>
      </c>
      <c r="BR53" s="4"/>
      <c r="BS53" s="4">
        <f>CHOOSE($AN$8,Person2!GJ53,Both!AF53)</f>
        <v>2063</v>
      </c>
      <c r="BT53" s="18">
        <f ca="1">CHOOSE($AN$8,Person2!GK53,Both!AG53)</f>
        <v>812.68464983893534</v>
      </c>
      <c r="BU53" s="18">
        <f ca="1">CHOOSE($AN$8,Person2!GL53,Both!AH53)</f>
        <v>218.45059807625995</v>
      </c>
      <c r="BV53" s="18">
        <f ca="1">CHOOSE($AN$8,Person2!GM53,Both!AI53)</f>
        <v>232.34678616849513</v>
      </c>
      <c r="BW53" s="18">
        <f ca="1">CHOOSE($AN$8,Person2!GN53,Both!AJ53)</f>
        <v>0</v>
      </c>
    </row>
    <row r="54" spans="1:75" x14ac:dyDescent="0.25">
      <c r="A54" s="41"/>
      <c r="B54" s="50" t="s">
        <v>305</v>
      </c>
      <c r="C54" s="8">
        <v>1</v>
      </c>
      <c r="D54" s="8">
        <v>1</v>
      </c>
      <c r="E54" s="51" t="s">
        <v>304</v>
      </c>
      <c r="F54" s="68" t="s">
        <v>109</v>
      </c>
      <c r="AE54" t="s">
        <v>305</v>
      </c>
      <c r="AJ54">
        <f t="shared" si="4"/>
        <v>1</v>
      </c>
      <c r="AK54">
        <f t="shared" si="5"/>
        <v>1</v>
      </c>
      <c r="BG54" s="4">
        <f>CHOOSE($AN$8,Person2!FX54,Both!T54)</f>
        <v>2064</v>
      </c>
      <c r="BH54" s="18">
        <f>CHOOSE($AN$8,Person2!FY54,Both!U54)</f>
        <v>0</v>
      </c>
      <c r="BI54" s="18">
        <f>CHOOSE($AN$8,Person2!FZ54,Both!V54)</f>
        <v>7.9999999999999991</v>
      </c>
      <c r="BJ54" s="18">
        <f ca="1">CHOOSE($AN$8,Person2!GA54,Both!W54)</f>
        <v>6.8460000000000001</v>
      </c>
      <c r="BK54" s="18">
        <f>CHOOSE($AN$8,Person2!GB54,Both!X54)</f>
        <v>3.5637838854866506</v>
      </c>
      <c r="BL54" s="18">
        <f ca="1">CHOOSE($AN$8,Person2!GC54,Both!Y54)</f>
        <v>5.766831105490299</v>
      </c>
      <c r="BM54" s="18">
        <f ca="1">CHOOSE($AN$8,Person2!GD54,Both!Z54)</f>
        <v>0</v>
      </c>
      <c r="BN54" s="18">
        <f ca="1">CHOOSE($AN$8,Person2!GE54,Both!AA54)</f>
        <v>0</v>
      </c>
      <c r="BO54" s="18">
        <f ca="1">CHOOSE($AN$8,Person2!GF54,Both!AB54)</f>
        <v>1.6487387500215902</v>
      </c>
      <c r="BP54" s="18" t="e">
        <f ca="1">CHOOSE($AN$8,Person2!GG54,Both!AC54)</f>
        <v>#NAME?</v>
      </c>
      <c r="BQ54" s="18" t="e">
        <f ca="1">CHOOSE($AN$8,Person2!GH54,Both!AD54)</f>
        <v>#NAME?</v>
      </c>
      <c r="BR54" s="4"/>
      <c r="BS54" s="4">
        <f>CHOOSE($AN$8,Person2!GJ54,Both!AF54)</f>
        <v>2064</v>
      </c>
      <c r="BT54" s="18">
        <f ca="1">CHOOSE($AN$8,Person2!GK54,Both!AG54)</f>
        <v>831.00292162045673</v>
      </c>
      <c r="BU54" s="18">
        <f ca="1">CHOOSE($AN$8,Person2!GL54,Both!AH54)</f>
        <v>224.87561566673821</v>
      </c>
      <c r="BV54" s="18">
        <f ca="1">CHOOSE($AN$8,Person2!GM54,Both!AI54)</f>
        <v>237.58398558827136</v>
      </c>
      <c r="BW54" s="18">
        <f ca="1">CHOOSE($AN$8,Person2!GN54,Both!AJ54)</f>
        <v>0</v>
      </c>
    </row>
    <row r="55" spans="1:75" x14ac:dyDescent="0.25">
      <c r="A55" s="41"/>
      <c r="B55" s="50" t="s">
        <v>367</v>
      </c>
      <c r="C55" s="8">
        <v>1</v>
      </c>
      <c r="D55" s="8">
        <v>1</v>
      </c>
      <c r="E55" s="51" t="s">
        <v>368</v>
      </c>
      <c r="F55" s="68" t="s">
        <v>109</v>
      </c>
      <c r="AE55" t="s">
        <v>367</v>
      </c>
      <c r="AJ55">
        <f t="shared" si="4"/>
        <v>1</v>
      </c>
      <c r="AK55">
        <f t="shared" si="5"/>
        <v>1</v>
      </c>
      <c r="BG55" s="4">
        <f>CHOOSE($AN$8,Person2!FX55,Both!T55)</f>
        <v>2065</v>
      </c>
      <c r="BH55" s="18">
        <f>CHOOSE($AN$8,Person2!FY55,Both!U55)</f>
        <v>0</v>
      </c>
      <c r="BI55" s="18">
        <f>CHOOSE($AN$8,Person2!FZ55,Both!V55)</f>
        <v>8</v>
      </c>
      <c r="BJ55" s="18">
        <f ca="1">CHOOSE($AN$8,Person2!GA55,Both!W55)</f>
        <v>6.8460000000000001</v>
      </c>
      <c r="BK55" s="18">
        <f>CHOOSE($AN$8,Person2!GB55,Both!X55)</f>
        <v>3.4672576518765519</v>
      </c>
      <c r="BL55" s="18">
        <f ca="1">CHOOSE($AN$8,Person2!GC55,Both!Y55)</f>
        <v>5.8367168619719871</v>
      </c>
      <c r="BM55" s="18">
        <f ca="1">CHOOSE($AN$8,Person2!GD55,Both!Z55)</f>
        <v>0</v>
      </c>
      <c r="BN55" s="18">
        <f ca="1">CHOOSE($AN$8,Person2!GE55,Both!AA55)</f>
        <v>0</v>
      </c>
      <c r="BO55" s="18">
        <f ca="1">CHOOSE($AN$8,Person2!GF55,Both!AB55)</f>
        <v>1.6687191088492026</v>
      </c>
      <c r="BP55" s="18" t="e">
        <f ca="1">CHOOSE($AN$8,Person2!GG55,Both!AC55)</f>
        <v>#NAME?</v>
      </c>
      <c r="BQ55" s="18" t="e">
        <f ca="1">CHOOSE($AN$8,Person2!GH55,Both!AD55)</f>
        <v>#NAME?</v>
      </c>
      <c r="BR55" s="4"/>
      <c r="BS55" s="4">
        <f>CHOOSE($AN$8,Person2!GJ55,Both!AF55)</f>
        <v>2065</v>
      </c>
      <c r="BT55" s="18">
        <f ca="1">CHOOSE($AN$8,Person2!GK55,Both!AG55)</f>
        <v>849.79042803528387</v>
      </c>
      <c r="BU55" s="18">
        <f ca="1">CHOOSE($AN$8,Person2!GL55,Both!AH55)</f>
        <v>231.4896043628188</v>
      </c>
      <c r="BV55" s="18">
        <f ca="1">CHOOSE($AN$8,Person2!GM55,Both!AI55)</f>
        <v>242.95533933104252</v>
      </c>
      <c r="BW55" s="18">
        <f ca="1">CHOOSE($AN$8,Person2!GN55,Both!AJ55)</f>
        <v>0</v>
      </c>
    </row>
    <row r="56" spans="1:75" x14ac:dyDescent="0.25">
      <c r="A56" s="41"/>
      <c r="B56" s="50" t="s">
        <v>328</v>
      </c>
      <c r="C56" s="8">
        <v>1</v>
      </c>
      <c r="D56" s="8">
        <v>1</v>
      </c>
      <c r="E56" s="51" t="s">
        <v>407</v>
      </c>
      <c r="F56" s="68" t="s">
        <v>109</v>
      </c>
      <c r="AE56" t="s">
        <v>328</v>
      </c>
      <c r="AJ56">
        <f t="shared" si="4"/>
        <v>1</v>
      </c>
      <c r="AK56">
        <f t="shared" si="5"/>
        <v>1</v>
      </c>
      <c r="BG56" s="4">
        <f>CHOOSE($AN$8,Person2!FX56,Both!T56)</f>
        <v>2066</v>
      </c>
      <c r="BH56" s="18">
        <f>CHOOSE($AN$8,Person2!FY56,Both!U56)</f>
        <v>0</v>
      </c>
      <c r="BI56" s="18">
        <f>CHOOSE($AN$8,Person2!FZ56,Both!V56)</f>
        <v>8</v>
      </c>
      <c r="BJ56" s="18">
        <f ca="1">CHOOSE($AN$8,Person2!GA56,Both!W56)</f>
        <v>6.8460000000000001</v>
      </c>
      <c r="BK56" s="18">
        <f>CHOOSE($AN$8,Person2!GB56,Both!X56)</f>
        <v>3.3721509217018952</v>
      </c>
      <c r="BL56" s="18" t="e">
        <f ca="1">CHOOSE($AN$8,Person2!GC56,Both!Y56)</f>
        <v>#NAME?</v>
      </c>
      <c r="BM56" s="18" t="e">
        <f ca="1">CHOOSE($AN$8,Person2!GD56,Both!Z56)</f>
        <v>#NAME?</v>
      </c>
      <c r="BN56" s="18" t="e">
        <f ca="1">CHOOSE($AN$8,Person2!GE56,Both!AA56)</f>
        <v>#NAME?</v>
      </c>
      <c r="BO56" s="18" t="e">
        <f ca="1">CHOOSE($AN$8,Person2!GF56,Both!AB56)</f>
        <v>#NAME?</v>
      </c>
      <c r="BP56" s="18" t="e">
        <f ca="1">CHOOSE($AN$8,Person2!GG56,Both!AC56)</f>
        <v>#NAME?</v>
      </c>
      <c r="BQ56" s="18" t="e">
        <f ca="1">CHOOSE($AN$8,Person2!GH56,Both!AD56)</f>
        <v>#NAME?</v>
      </c>
      <c r="BR56" s="4"/>
      <c r="BS56" s="4">
        <f>CHOOSE($AN$8,Person2!GJ56,Both!AF56)</f>
        <v>2066</v>
      </c>
      <c r="BT56" s="18">
        <f ca="1">CHOOSE($AN$8,Person2!GK56,Both!AG56)</f>
        <v>869.06199272066272</v>
      </c>
      <c r="BU56" s="18">
        <f ca="1">CHOOSE($AN$8,Person2!GL56,Both!AH56)</f>
        <v>238.29812213819579</v>
      </c>
      <c r="BV56" s="18">
        <f ca="1">CHOOSE($AN$8,Person2!GM56,Both!AI56)</f>
        <v>248.46508547916218</v>
      </c>
      <c r="BW56" s="18">
        <f ca="1">CHOOSE($AN$8,Person2!GN56,Both!AJ56)</f>
        <v>0</v>
      </c>
    </row>
    <row r="57" spans="1:75" x14ac:dyDescent="0.25">
      <c r="A57" s="41"/>
      <c r="B57" s="50" t="s">
        <v>50</v>
      </c>
      <c r="C57" s="8">
        <v>1</v>
      </c>
      <c r="D57" s="8">
        <v>1</v>
      </c>
      <c r="E57" s="51" t="s">
        <v>503</v>
      </c>
      <c r="F57" s="68" t="s">
        <v>109</v>
      </c>
      <c r="AE57" t="s">
        <v>50</v>
      </c>
      <c r="AJ57">
        <f t="shared" si="4"/>
        <v>1</v>
      </c>
      <c r="AK57">
        <f t="shared" si="5"/>
        <v>1</v>
      </c>
      <c r="BG57" s="4">
        <f>CHOOSE($AN$8,Person2!FX57,Both!T57)</f>
        <v>2067</v>
      </c>
      <c r="BH57" s="18">
        <f>CHOOSE($AN$8,Person2!FY57,Both!U57)</f>
        <v>0</v>
      </c>
      <c r="BI57" s="18">
        <f>CHOOSE($AN$8,Person2!FZ57,Both!V57)</f>
        <v>8</v>
      </c>
      <c r="BJ57" s="18" t="e">
        <f ca="1">CHOOSE($AN$8,Person2!GA57,Both!W57)</f>
        <v>#NAME?</v>
      </c>
      <c r="BK57" s="18">
        <f>CHOOSE($AN$8,Person2!GB57,Both!X57)</f>
        <v>3.2784428199121609</v>
      </c>
      <c r="BL57" s="18" t="e">
        <f ca="1">CHOOSE($AN$8,Person2!GC57,Both!Y57)</f>
        <v>#NAME?</v>
      </c>
      <c r="BM57" s="18" t="e">
        <f ca="1">CHOOSE($AN$8,Person2!GD57,Both!Z57)</f>
        <v>#NAME?</v>
      </c>
      <c r="BN57" s="18" t="e">
        <f ca="1">CHOOSE($AN$8,Person2!GE57,Both!AA57)</f>
        <v>#NAME?</v>
      </c>
      <c r="BO57" s="18" t="e">
        <f ca="1">CHOOSE($AN$8,Person2!GF57,Both!AB57)</f>
        <v>#NAME?</v>
      </c>
      <c r="BP57" s="18" t="e">
        <f ca="1">CHOOSE($AN$8,Person2!GG57,Both!AC57)</f>
        <v>#NAME?</v>
      </c>
      <c r="BQ57" s="18" t="e">
        <f ca="1">CHOOSE($AN$8,Person2!GH57,Both!AD57)</f>
        <v>#NAME?</v>
      </c>
      <c r="BR57" s="4"/>
      <c r="BS57" s="4">
        <f>CHOOSE($AN$8,Person2!GJ57,Both!AF57)</f>
        <v>2067</v>
      </c>
      <c r="BT57" s="18" t="e">
        <f ca="1">CHOOSE($AN$8,Person2!GK57,Both!AG57)</f>
        <v>#NAME?</v>
      </c>
      <c r="BU57" s="18" t="e">
        <f ca="1">CHOOSE($AN$8,Person2!GL57,Both!AH57)</f>
        <v>#NAME?</v>
      </c>
      <c r="BV57" s="18" t="e">
        <f ca="1">CHOOSE($AN$8,Person2!GM57,Both!AI57)</f>
        <v>#NAME?</v>
      </c>
      <c r="BW57" s="18" t="e">
        <f ca="1">CHOOSE($AN$8,Person2!GN57,Both!AJ57)</f>
        <v>#NAME?</v>
      </c>
    </row>
    <row r="58" spans="1:75" x14ac:dyDescent="0.25">
      <c r="A58" s="41"/>
      <c r="B58" s="50" t="s">
        <v>621</v>
      </c>
      <c r="C58" s="8">
        <v>0</v>
      </c>
      <c r="D58" s="8">
        <v>0</v>
      </c>
      <c r="E58" s="51" t="s">
        <v>622</v>
      </c>
      <c r="F58" s="68" t="s">
        <v>109</v>
      </c>
      <c r="AE58" t="s">
        <v>621</v>
      </c>
      <c r="AJ58">
        <f t="shared" si="4"/>
        <v>0</v>
      </c>
      <c r="AK58">
        <f t="shared" si="5"/>
        <v>0</v>
      </c>
      <c r="BG58" s="4">
        <f>CHOOSE($AN$8,Person2!FX58,Both!T58)</f>
        <v>2068</v>
      </c>
      <c r="BH58" s="18">
        <f>CHOOSE($AN$8,Person2!FY58,Both!U58)</f>
        <v>0</v>
      </c>
      <c r="BI58" s="18">
        <f>CHOOSE($AN$8,Person2!FZ58,Both!V58)</f>
        <v>8</v>
      </c>
      <c r="BJ58" s="18" t="e">
        <f ca="1">CHOOSE($AN$8,Person2!GA58,Both!W58)</f>
        <v>#NAME?</v>
      </c>
      <c r="BK58" s="18">
        <f>CHOOSE($AN$8,Person2!GB58,Both!X58)</f>
        <v>3.186112778442864</v>
      </c>
      <c r="BL58" s="18" t="e">
        <f ca="1">CHOOSE($AN$8,Person2!GC58,Both!Y58)</f>
        <v>#NAME?</v>
      </c>
      <c r="BM58" s="18" t="e">
        <f ca="1">CHOOSE($AN$8,Person2!GD58,Both!Z58)</f>
        <v>#NAME?</v>
      </c>
      <c r="BN58" s="18" t="e">
        <f ca="1">CHOOSE($AN$8,Person2!GE58,Both!AA58)</f>
        <v>#NAME?</v>
      </c>
      <c r="BO58" s="18" t="e">
        <f ca="1">CHOOSE($AN$8,Person2!GF58,Both!AB58)</f>
        <v>#NAME?</v>
      </c>
      <c r="BP58" s="18" t="e">
        <f ca="1">CHOOSE($AN$8,Person2!GG58,Both!AC58)</f>
        <v>#NAME?</v>
      </c>
      <c r="BQ58" s="18" t="e">
        <f ca="1">CHOOSE($AN$8,Person2!GH58,Both!AD58)</f>
        <v>#NAME?</v>
      </c>
      <c r="BR58" s="4"/>
      <c r="BS58" s="4">
        <f>CHOOSE($AN$8,Person2!GJ58,Both!AF58)</f>
        <v>2068</v>
      </c>
      <c r="BT58" s="18" t="e">
        <f ca="1">CHOOSE($AN$8,Person2!GK58,Both!AG58)</f>
        <v>#NAME?</v>
      </c>
      <c r="BU58" s="18" t="e">
        <f ca="1">CHOOSE($AN$8,Person2!GL58,Both!AH58)</f>
        <v>#NAME?</v>
      </c>
      <c r="BV58" s="18" t="e">
        <f ca="1">CHOOSE($AN$8,Person2!GM58,Both!AI58)</f>
        <v>#NAME?</v>
      </c>
      <c r="BW58" s="18" t="e">
        <f ca="1">CHOOSE($AN$8,Person2!GN58,Both!AJ58)</f>
        <v>#NAME?</v>
      </c>
    </row>
    <row r="59" spans="1:75" x14ac:dyDescent="0.25">
      <c r="A59" s="41"/>
      <c r="B59" s="50" t="s">
        <v>504</v>
      </c>
      <c r="C59" s="8">
        <v>1</v>
      </c>
      <c r="D59" s="8">
        <v>1</v>
      </c>
      <c r="E59" s="51" t="s">
        <v>505</v>
      </c>
      <c r="F59" s="68" t="s">
        <v>109</v>
      </c>
      <c r="AE59" t="s">
        <v>504</v>
      </c>
      <c r="AJ59">
        <f t="shared" si="4"/>
        <v>1</v>
      </c>
      <c r="AK59">
        <f t="shared" si="5"/>
        <v>1</v>
      </c>
      <c r="BG59" s="4">
        <f>CHOOSE($AN$8,Person2!FX59,Both!T59)</f>
        <v>2069</v>
      </c>
      <c r="BH59" s="18">
        <f>CHOOSE($AN$8,Person2!FY59,Both!U59)</f>
        <v>0</v>
      </c>
      <c r="BI59" s="18">
        <f>CHOOSE($AN$8,Person2!FZ59,Both!V59)</f>
        <v>8</v>
      </c>
      <c r="BJ59" s="18" t="e">
        <f ca="1">CHOOSE($AN$8,Person2!GA59,Both!W59)</f>
        <v>#NAME?</v>
      </c>
      <c r="BK59" s="18">
        <f>CHOOSE($AN$8,Person2!GB59,Both!X59)</f>
        <v>3.0951405317010563</v>
      </c>
      <c r="BL59" s="18" t="e">
        <f ca="1">CHOOSE($AN$8,Person2!GC59,Both!Y59)</f>
        <v>#NAME?</v>
      </c>
      <c r="BM59" s="18" t="e">
        <f ca="1">CHOOSE($AN$8,Person2!GD59,Both!Z59)</f>
        <v>#NAME?</v>
      </c>
      <c r="BN59" s="18" t="e">
        <f ca="1">CHOOSE($AN$8,Person2!GE59,Both!AA59)</f>
        <v>#NAME?</v>
      </c>
      <c r="BO59" s="18" t="e">
        <f ca="1">CHOOSE($AN$8,Person2!GF59,Both!AB59)</f>
        <v>#NAME?</v>
      </c>
      <c r="BP59" s="18" t="e">
        <f ca="1">CHOOSE($AN$8,Person2!GG59,Both!AC59)</f>
        <v>#NAME?</v>
      </c>
      <c r="BQ59" s="18" t="e">
        <f ca="1">CHOOSE($AN$8,Person2!GH59,Both!AD59)</f>
        <v>#NAME?</v>
      </c>
      <c r="BR59" s="4"/>
      <c r="BS59" s="4">
        <f>CHOOSE($AN$8,Person2!GJ59,Both!AF59)</f>
        <v>2069</v>
      </c>
      <c r="BT59" s="18" t="e">
        <f ca="1">CHOOSE($AN$8,Person2!GK59,Both!AG59)</f>
        <v>#NAME?</v>
      </c>
      <c r="BU59" s="18" t="e">
        <f ca="1">CHOOSE($AN$8,Person2!GL59,Both!AH59)</f>
        <v>#NAME?</v>
      </c>
      <c r="BV59" s="18" t="e">
        <f ca="1">CHOOSE($AN$8,Person2!GM59,Both!AI59)</f>
        <v>#NAME?</v>
      </c>
      <c r="BW59" s="18" t="e">
        <f ca="1">CHOOSE($AN$8,Person2!GN59,Both!AJ59)</f>
        <v>#NAME?</v>
      </c>
    </row>
    <row r="60" spans="1:75" x14ac:dyDescent="0.25">
      <c r="A60" s="41"/>
      <c r="B60" s="50" t="s">
        <v>562</v>
      </c>
      <c r="C60" s="8">
        <v>0</v>
      </c>
      <c r="D60" s="8">
        <v>0</v>
      </c>
      <c r="E60" s="51" t="s">
        <v>561</v>
      </c>
      <c r="F60" s="68" t="s">
        <v>109</v>
      </c>
      <c r="AE60" t="s">
        <v>562</v>
      </c>
      <c r="AJ60">
        <f t="shared" si="4"/>
        <v>0</v>
      </c>
      <c r="AK60">
        <f t="shared" si="5"/>
        <v>0</v>
      </c>
      <c r="BG60" s="4">
        <f>CHOOSE($AN$8,Person2!FX60,Both!T60)</f>
        <v>2070</v>
      </c>
      <c r="BH60" s="18">
        <f>CHOOSE($AN$8,Person2!FY60,Both!U60)</f>
        <v>0</v>
      </c>
      <c r="BI60" s="18">
        <f>CHOOSE($AN$8,Person2!FZ60,Both!V60)</f>
        <v>8</v>
      </c>
      <c r="BJ60" s="18" t="e">
        <f ca="1">CHOOSE($AN$8,Person2!GA60,Both!W60)</f>
        <v>#NAME?</v>
      </c>
      <c r="BK60" s="18">
        <f>CHOOSE($AN$8,Person2!GB60,Both!X60)</f>
        <v>3.0055061121172146</v>
      </c>
      <c r="BL60" s="18" t="e">
        <f ca="1">CHOOSE($AN$8,Person2!GC60,Both!Y60)</f>
        <v>#NAME?</v>
      </c>
      <c r="BM60" s="18" t="e">
        <f ca="1">CHOOSE($AN$8,Person2!GD60,Both!Z60)</f>
        <v>#NAME?</v>
      </c>
      <c r="BN60" s="18" t="e">
        <f ca="1">CHOOSE($AN$8,Person2!GE60,Both!AA60)</f>
        <v>#NAME?</v>
      </c>
      <c r="BO60" s="18" t="e">
        <f ca="1">CHOOSE($AN$8,Person2!GF60,Both!AB60)</f>
        <v>#NAME?</v>
      </c>
      <c r="BP60" s="18" t="e">
        <f ca="1">CHOOSE($AN$8,Person2!GG60,Both!AC60)</f>
        <v>#NAME?</v>
      </c>
      <c r="BQ60" s="18" t="e">
        <f ca="1">CHOOSE($AN$8,Person2!GH60,Both!AD60)</f>
        <v>#NAME?</v>
      </c>
      <c r="BR60" s="4"/>
      <c r="BS60" s="4">
        <f>CHOOSE($AN$8,Person2!GJ60,Both!AF60)</f>
        <v>2070</v>
      </c>
      <c r="BT60" s="18" t="e">
        <f ca="1">CHOOSE($AN$8,Person2!GK60,Both!AG60)</f>
        <v>#NAME?</v>
      </c>
      <c r="BU60" s="18" t="e">
        <f ca="1">CHOOSE($AN$8,Person2!GL60,Both!AH60)</f>
        <v>#NAME?</v>
      </c>
      <c r="BV60" s="18" t="e">
        <f ca="1">CHOOSE($AN$8,Person2!GM60,Both!AI60)</f>
        <v>#NAME?</v>
      </c>
      <c r="BW60" s="18" t="e">
        <f ca="1">CHOOSE($AN$8,Person2!GN60,Both!AJ60)</f>
        <v>#NAME?</v>
      </c>
    </row>
    <row r="61" spans="1:75" x14ac:dyDescent="0.25">
      <c r="A61" s="41"/>
      <c r="B61" s="59" t="s">
        <v>81</v>
      </c>
      <c r="C61" s="60"/>
      <c r="D61" s="60"/>
      <c r="E61" s="61" t="s">
        <v>143</v>
      </c>
      <c r="F61" s="68" t="s">
        <v>109</v>
      </c>
      <c r="AE61" t="s">
        <v>81</v>
      </c>
      <c r="AJ61">
        <f t="shared" si="4"/>
        <v>0</v>
      </c>
      <c r="AK61">
        <f t="shared" si="5"/>
        <v>0</v>
      </c>
      <c r="BG61" s="4">
        <f>CHOOSE($AN$8,Person2!FX61,Both!T61)</f>
        <v>2071</v>
      </c>
      <c r="BH61" s="18">
        <f>CHOOSE($AN$8,Person2!FY61,Both!U61)</f>
        <v>0</v>
      </c>
      <c r="BI61" s="18">
        <f>CHOOSE($AN$8,Person2!FZ61,Both!V61)</f>
        <v>8</v>
      </c>
      <c r="BJ61" s="18" t="e">
        <f ca="1">CHOOSE($AN$8,Person2!GA61,Both!W61)</f>
        <v>#NAME?</v>
      </c>
      <c r="BK61" s="18">
        <f>CHOOSE($AN$8,Person2!GB61,Both!X61)</f>
        <v>2.9171898457625502</v>
      </c>
      <c r="BL61" s="18" t="e">
        <f ca="1">CHOOSE($AN$8,Person2!GC61,Both!Y61)</f>
        <v>#NAME?</v>
      </c>
      <c r="BM61" s="18" t="e">
        <f ca="1">CHOOSE($AN$8,Person2!GD61,Both!Z61)</f>
        <v>#NAME?</v>
      </c>
      <c r="BN61" s="18" t="e">
        <f ca="1">CHOOSE($AN$8,Person2!GE61,Both!AA61)</f>
        <v>#NAME?</v>
      </c>
      <c r="BO61" s="18" t="e">
        <f ca="1">CHOOSE($AN$8,Person2!GF61,Both!AB61)</f>
        <v>#NAME?</v>
      </c>
      <c r="BP61" s="18" t="e">
        <f ca="1">CHOOSE($AN$8,Person2!GG61,Both!AC61)</f>
        <v>#NAME?</v>
      </c>
      <c r="BQ61" s="18" t="e">
        <f ca="1">CHOOSE($AN$8,Person2!GH61,Both!AD61)</f>
        <v>#NAME?</v>
      </c>
      <c r="BR61" s="4"/>
      <c r="BS61" s="4">
        <f>CHOOSE($AN$8,Person2!GJ61,Both!AF61)</f>
        <v>2071</v>
      </c>
      <c r="BT61" s="18" t="e">
        <f ca="1">CHOOSE($AN$8,Person2!GK61,Both!AG61)</f>
        <v>#NAME?</v>
      </c>
      <c r="BU61" s="18" t="e">
        <f ca="1">CHOOSE($AN$8,Person2!GL61,Both!AH61)</f>
        <v>#NAME?</v>
      </c>
      <c r="BV61" s="18" t="e">
        <f ca="1">CHOOSE($AN$8,Person2!GM61,Both!AI61)</f>
        <v>#NAME?</v>
      </c>
      <c r="BW61" s="18" t="e">
        <f ca="1">CHOOSE($AN$8,Person2!GN61,Both!AJ61)</f>
        <v>#NAME?</v>
      </c>
    </row>
    <row r="62" spans="1:75" x14ac:dyDescent="0.25">
      <c r="A62" s="41"/>
      <c r="B62" s="50" t="s">
        <v>8</v>
      </c>
      <c r="C62" s="8">
        <v>1</v>
      </c>
      <c r="D62" s="8">
        <v>1</v>
      </c>
      <c r="E62" s="51" t="s">
        <v>90</v>
      </c>
      <c r="F62" s="68" t="s">
        <v>109</v>
      </c>
      <c r="AE62" t="s">
        <v>8</v>
      </c>
      <c r="AJ62">
        <f t="shared" si="4"/>
        <v>1</v>
      </c>
      <c r="AK62">
        <f t="shared" si="5"/>
        <v>1</v>
      </c>
      <c r="BG62" s="4">
        <f>CHOOSE($AN$8,Person2!FX62,Both!T62)</f>
        <v>2072</v>
      </c>
      <c r="BH62" s="18">
        <f>CHOOSE($AN$8,Person2!FY62,Both!U62)</f>
        <v>0</v>
      </c>
      <c r="BI62" s="18">
        <f>CHOOSE($AN$8,Person2!FZ62,Both!V62)</f>
        <v>8</v>
      </c>
      <c r="BJ62" s="18" t="e">
        <f ca="1">CHOOSE($AN$8,Person2!GA62,Both!W62)</f>
        <v>#NAME?</v>
      </c>
      <c r="BK62" s="18">
        <f>CHOOSE($AN$8,Person2!GB62,Both!X62)</f>
        <v>2.8301723480307479</v>
      </c>
      <c r="BL62" s="18" t="e">
        <f ca="1">CHOOSE($AN$8,Person2!GC62,Both!Y62)</f>
        <v>#NAME?</v>
      </c>
      <c r="BM62" s="18" t="e">
        <f ca="1">CHOOSE($AN$8,Person2!GD62,Both!Z62)</f>
        <v>#NAME?</v>
      </c>
      <c r="BN62" s="18" t="e">
        <f ca="1">CHOOSE($AN$8,Person2!GE62,Both!AA62)</f>
        <v>#NAME?</v>
      </c>
      <c r="BO62" s="18" t="e">
        <f ca="1">CHOOSE($AN$8,Person2!GF62,Both!AB62)</f>
        <v>#NAME?</v>
      </c>
      <c r="BP62" s="18" t="e">
        <f ca="1">CHOOSE($AN$8,Person2!GG62,Both!AC62)</f>
        <v>#NAME?</v>
      </c>
      <c r="BQ62" s="18" t="e">
        <f ca="1">CHOOSE($AN$8,Person2!GH62,Both!AD62)</f>
        <v>#NAME?</v>
      </c>
      <c r="BR62" s="4"/>
      <c r="BS62" s="4">
        <f>CHOOSE($AN$8,Person2!GJ62,Both!AF62)</f>
        <v>2072</v>
      </c>
      <c r="BT62" s="18" t="e">
        <f ca="1">CHOOSE($AN$8,Person2!GK62,Both!AG62)</f>
        <v>#NAME?</v>
      </c>
      <c r="BU62" s="18" t="e">
        <f ca="1">CHOOSE($AN$8,Person2!GL62,Both!AH62)</f>
        <v>#NAME?</v>
      </c>
      <c r="BV62" s="18" t="e">
        <f ca="1">CHOOSE($AN$8,Person2!GM62,Both!AI62)</f>
        <v>#NAME?</v>
      </c>
      <c r="BW62" s="18" t="e">
        <f ca="1">CHOOSE($AN$8,Person2!GN62,Both!AJ62)</f>
        <v>#NAME?</v>
      </c>
    </row>
    <row r="63" spans="1:75" x14ac:dyDescent="0.25">
      <c r="A63" s="41"/>
      <c r="B63" s="50" t="s">
        <v>61</v>
      </c>
      <c r="C63" s="8">
        <v>1</v>
      </c>
      <c r="D63" s="8">
        <v>1</v>
      </c>
      <c r="E63" s="51"/>
      <c r="F63" s="68" t="s">
        <v>109</v>
      </c>
      <c r="AE63" t="s">
        <v>61</v>
      </c>
      <c r="AJ63">
        <f t="shared" si="4"/>
        <v>1</v>
      </c>
      <c r="AK63">
        <f t="shared" si="5"/>
        <v>1</v>
      </c>
      <c r="BG63" s="4">
        <f>CHOOSE($AN$8,Person2!FX63,Both!T63)</f>
        <v>2073</v>
      </c>
      <c r="BH63" s="18">
        <f>CHOOSE($AN$8,Person2!FY63,Both!U63)</f>
        <v>0</v>
      </c>
      <c r="BI63" s="18">
        <f>CHOOSE($AN$8,Person2!FZ63,Both!V63)</f>
        <v>8</v>
      </c>
      <c r="BJ63" s="18" t="e">
        <f ca="1">CHOOSE($AN$8,Person2!GA63,Both!W63)</f>
        <v>#NAME?</v>
      </c>
      <c r="BK63" s="18">
        <f>CHOOSE($AN$8,Person2!GB63,Both!X63)</f>
        <v>2.7444345193832334</v>
      </c>
      <c r="BL63" s="18" t="e">
        <f ca="1">CHOOSE($AN$8,Person2!GC63,Both!Y63)</f>
        <v>#NAME?</v>
      </c>
      <c r="BM63" s="18" t="e">
        <f ca="1">CHOOSE($AN$8,Person2!GD63,Both!Z63)</f>
        <v>#NAME?</v>
      </c>
      <c r="BN63" s="18" t="e">
        <f ca="1">CHOOSE($AN$8,Person2!GE63,Both!AA63)</f>
        <v>#NAME?</v>
      </c>
      <c r="BO63" s="18" t="e">
        <f ca="1">CHOOSE($AN$8,Person2!GF63,Both!AB63)</f>
        <v>#NAME?</v>
      </c>
      <c r="BP63" s="18" t="e">
        <f ca="1">CHOOSE($AN$8,Person2!GG63,Both!AC63)</f>
        <v>#NAME?</v>
      </c>
      <c r="BQ63" s="18" t="e">
        <f ca="1">CHOOSE($AN$8,Person2!GH63,Both!AD63)</f>
        <v>#NAME?</v>
      </c>
      <c r="BR63" s="4"/>
      <c r="BS63" s="4">
        <f>CHOOSE($AN$8,Person2!GJ63,Both!AF63)</f>
        <v>2073</v>
      </c>
      <c r="BT63" s="18" t="e">
        <f ca="1">CHOOSE($AN$8,Person2!GK63,Both!AG63)</f>
        <v>#NAME?</v>
      </c>
      <c r="BU63" s="18" t="e">
        <f ca="1">CHOOSE($AN$8,Person2!GL63,Both!AH63)</f>
        <v>#NAME?</v>
      </c>
      <c r="BV63" s="18" t="e">
        <f ca="1">CHOOSE($AN$8,Person2!GM63,Both!AI63)</f>
        <v>#NAME?</v>
      </c>
      <c r="BW63" s="18" t="e">
        <f ca="1">CHOOSE($AN$8,Person2!GN63,Both!AJ63)</f>
        <v>#NAME?</v>
      </c>
    </row>
    <row r="64" spans="1:75" x14ac:dyDescent="0.25">
      <c r="A64" s="41"/>
      <c r="B64" s="50" t="s">
        <v>29</v>
      </c>
      <c r="C64" s="8">
        <v>1</v>
      </c>
      <c r="D64" s="8">
        <v>1</v>
      </c>
      <c r="E64" s="51"/>
      <c r="F64" s="68" t="s">
        <v>109</v>
      </c>
      <c r="AE64" t="s">
        <v>29</v>
      </c>
      <c r="AJ64">
        <f t="shared" si="4"/>
        <v>1</v>
      </c>
      <c r="AK64">
        <f t="shared" si="5"/>
        <v>1</v>
      </c>
      <c r="BG64" s="4">
        <f>CHOOSE($AN$8,Person2!FX64,Both!T64)</f>
        <v>2074</v>
      </c>
      <c r="BH64" s="18">
        <f>CHOOSE($AN$8,Person2!FY64,Both!U64)</f>
        <v>0</v>
      </c>
      <c r="BI64" s="18">
        <f>CHOOSE($AN$8,Person2!FZ64,Both!V64)</f>
        <v>8.0000000000000018</v>
      </c>
      <c r="BJ64" s="18" t="e">
        <f ca="1">CHOOSE($AN$8,Person2!GA64,Both!W64)</f>
        <v>#NAME?</v>
      </c>
      <c r="BK64" s="18">
        <f>CHOOSE($AN$8,Person2!GB64,Both!X64)</f>
        <v>2.6599575411570102</v>
      </c>
      <c r="BL64" s="18" t="e">
        <f ca="1">CHOOSE($AN$8,Person2!GC64,Both!Y64)</f>
        <v>#NAME?</v>
      </c>
      <c r="BM64" s="18" t="e">
        <f ca="1">CHOOSE($AN$8,Person2!GD64,Both!Z64)</f>
        <v>#NAME?</v>
      </c>
      <c r="BN64" s="18" t="e">
        <f ca="1">CHOOSE($AN$8,Person2!GE64,Both!AA64)</f>
        <v>#NAME?</v>
      </c>
      <c r="BO64" s="18" t="e">
        <f ca="1">CHOOSE($AN$8,Person2!GF64,Both!AB64)</f>
        <v>#NAME?</v>
      </c>
      <c r="BP64" s="18" t="e">
        <f ca="1">CHOOSE($AN$8,Person2!GG64,Both!AC64)</f>
        <v>#NAME?</v>
      </c>
      <c r="BQ64" s="18" t="e">
        <f ca="1">CHOOSE($AN$8,Person2!GH64,Both!AD64)</f>
        <v>#NAME?</v>
      </c>
      <c r="BR64" s="4"/>
      <c r="BS64" s="4">
        <f>CHOOSE($AN$8,Person2!GJ64,Both!AF64)</f>
        <v>2074</v>
      </c>
      <c r="BT64" s="18" t="e">
        <f ca="1">CHOOSE($AN$8,Person2!GK64,Both!AG64)</f>
        <v>#NAME?</v>
      </c>
      <c r="BU64" s="18" t="e">
        <f ca="1">CHOOSE($AN$8,Person2!GL64,Both!AH64)</f>
        <v>#NAME?</v>
      </c>
      <c r="BV64" s="18" t="e">
        <f ca="1">CHOOSE($AN$8,Person2!GM64,Both!AI64)</f>
        <v>#NAME?</v>
      </c>
      <c r="BW64" s="18" t="e">
        <f ca="1">CHOOSE($AN$8,Person2!GN64,Both!AJ64)</f>
        <v>#NAME?</v>
      </c>
    </row>
    <row r="65" spans="1:75" x14ac:dyDescent="0.25">
      <c r="A65" s="41"/>
      <c r="B65" s="50" t="s">
        <v>39</v>
      </c>
      <c r="C65" s="8">
        <v>1</v>
      </c>
      <c r="D65" s="8">
        <v>1</v>
      </c>
      <c r="E65" s="51"/>
      <c r="F65" s="68" t="s">
        <v>109</v>
      </c>
      <c r="AE65" t="s">
        <v>39</v>
      </c>
      <c r="AJ65">
        <f t="shared" si="4"/>
        <v>1</v>
      </c>
      <c r="AK65">
        <f t="shared" si="5"/>
        <v>1</v>
      </c>
      <c r="BG65" s="4">
        <f>CHOOSE($AN$8,Person2!FX65,Both!T65)</f>
        <v>2075</v>
      </c>
      <c r="BH65" s="18">
        <f>CHOOSE($AN$8,Person2!FY65,Both!U65)</f>
        <v>0</v>
      </c>
      <c r="BI65" s="18">
        <f>CHOOSE($AN$8,Person2!FZ65,Both!V65)</f>
        <v>12</v>
      </c>
      <c r="BJ65" s="18" t="e">
        <f ca="1">CHOOSE($AN$8,Person2!GA65,Both!W65)</f>
        <v>#NAME?</v>
      </c>
      <c r="BK65" s="18">
        <f>CHOOSE($AN$8,Person2!GB65,Both!X65)</f>
        <v>6.9056172954434203</v>
      </c>
      <c r="BL65" s="18" t="e">
        <f ca="1">CHOOSE($AN$8,Person2!GC65,Both!Y65)</f>
        <v>#NAME?</v>
      </c>
      <c r="BM65" s="18" t="e">
        <f ca="1">CHOOSE($AN$8,Person2!GD65,Both!Z65)</f>
        <v>#NAME?</v>
      </c>
      <c r="BN65" s="18" t="e">
        <f ca="1">CHOOSE($AN$8,Person2!GE65,Both!AA65)</f>
        <v>#NAME?</v>
      </c>
      <c r="BO65" s="18" t="e">
        <f ca="1">CHOOSE($AN$8,Person2!GF65,Both!AB65)</f>
        <v>#NAME?</v>
      </c>
      <c r="BP65" s="18" t="e">
        <f ca="1">CHOOSE($AN$8,Person2!GG65,Both!AC65)</f>
        <v>#NAME?</v>
      </c>
      <c r="BQ65" s="18" t="e">
        <f ca="1">CHOOSE($AN$8,Person2!GH65,Both!AD65)</f>
        <v>#NAME?</v>
      </c>
      <c r="BR65" s="4"/>
      <c r="BS65" s="4">
        <f>CHOOSE($AN$8,Person2!GJ65,Both!AF65)</f>
        <v>2075</v>
      </c>
      <c r="BT65" s="18" t="e">
        <f ca="1">CHOOSE($AN$8,Person2!GK65,Both!AG65)</f>
        <v>#NAME?</v>
      </c>
      <c r="BU65" s="18" t="e">
        <f ca="1">CHOOSE($AN$8,Person2!GL65,Both!AH65)</f>
        <v>#NAME?</v>
      </c>
      <c r="BV65" s="18" t="e">
        <f ca="1">CHOOSE($AN$8,Person2!GM65,Both!AI65)</f>
        <v>#NAME?</v>
      </c>
      <c r="BW65" s="18" t="e">
        <f ca="1">CHOOSE($AN$8,Person2!GN65,Both!AJ65)</f>
        <v>#NAME?</v>
      </c>
    </row>
    <row r="66" spans="1:75" x14ac:dyDescent="0.25">
      <c r="A66" s="41"/>
      <c r="B66" s="59" t="s">
        <v>331</v>
      </c>
      <c r="C66" s="60"/>
      <c r="D66" s="60"/>
      <c r="E66" s="61"/>
      <c r="F66" s="68" t="s">
        <v>109</v>
      </c>
      <c r="AE66" t="s">
        <v>331</v>
      </c>
      <c r="AJ66">
        <f t="shared" si="4"/>
        <v>0</v>
      </c>
      <c r="AK66">
        <f t="shared" si="5"/>
        <v>0</v>
      </c>
      <c r="BG66" s="4">
        <f>CHOOSE($AN$8,Person2!FX66,Both!T66)</f>
        <v>2076</v>
      </c>
      <c r="BH66" s="18">
        <f>CHOOSE($AN$8,Person2!FY66,Both!U66)</f>
        <v>0</v>
      </c>
      <c r="BI66" s="18">
        <f>CHOOSE($AN$8,Person2!FZ66,Both!V66)</f>
        <v>12</v>
      </c>
      <c r="BJ66" s="18" t="e">
        <f ca="1">CHOOSE($AN$8,Person2!GA66,Both!W66)</f>
        <v>#NAME?</v>
      </c>
      <c r="BK66" s="18">
        <f>CHOOSE($AN$8,Person2!GB66,Both!X66)</f>
        <v>6.6858288058045474</v>
      </c>
      <c r="BL66" s="18" t="e">
        <f ca="1">CHOOSE($AN$8,Person2!GC66,Both!Y66)</f>
        <v>#NAME?</v>
      </c>
      <c r="BM66" s="18" t="e">
        <f ca="1">CHOOSE($AN$8,Person2!GD66,Both!Z66)</f>
        <v>#NAME?</v>
      </c>
      <c r="BN66" s="18" t="e">
        <f ca="1">CHOOSE($AN$8,Person2!GE66,Both!AA66)</f>
        <v>#NAME?</v>
      </c>
      <c r="BO66" s="18" t="e">
        <f ca="1">CHOOSE($AN$8,Person2!GF66,Both!AB66)</f>
        <v>#NAME?</v>
      </c>
      <c r="BP66" s="18" t="e">
        <f ca="1">CHOOSE($AN$8,Person2!GG66,Both!AC66)</f>
        <v>#NAME?</v>
      </c>
      <c r="BQ66" s="18" t="e">
        <f ca="1">CHOOSE($AN$8,Person2!GH66,Both!AD66)</f>
        <v>#NAME?</v>
      </c>
      <c r="BR66" s="4"/>
      <c r="BS66" s="4">
        <f>CHOOSE($AN$8,Person2!GJ66,Both!AF66)</f>
        <v>2076</v>
      </c>
      <c r="BT66" s="18" t="e">
        <f ca="1">CHOOSE($AN$8,Person2!GK66,Both!AG66)</f>
        <v>#NAME?</v>
      </c>
      <c r="BU66" s="18" t="e">
        <f ca="1">CHOOSE($AN$8,Person2!GL66,Both!AH66)</f>
        <v>#NAME?</v>
      </c>
      <c r="BV66" s="18" t="e">
        <f ca="1">CHOOSE($AN$8,Person2!GM66,Both!AI66)</f>
        <v>#NAME?</v>
      </c>
      <c r="BW66" s="18" t="e">
        <f ca="1">CHOOSE($AN$8,Person2!GN66,Both!AJ66)</f>
        <v>#NAME?</v>
      </c>
    </row>
    <row r="67" spans="1:75" x14ac:dyDescent="0.25">
      <c r="A67" s="41"/>
      <c r="B67" s="50" t="s">
        <v>660</v>
      </c>
      <c r="C67" s="8">
        <v>0</v>
      </c>
      <c r="D67">
        <f>C67</f>
        <v>0</v>
      </c>
      <c r="E67" t="s">
        <v>661</v>
      </c>
      <c r="F67" s="68" t="s">
        <v>109</v>
      </c>
      <c r="AE67" t="s">
        <v>660</v>
      </c>
      <c r="AJ67">
        <f t="shared" ref="AJ67:AK69" si="6">IF(AND($D$4="Off",AF67=1),AH67,C67)</f>
        <v>0</v>
      </c>
      <c r="AK67">
        <f t="shared" si="6"/>
        <v>0</v>
      </c>
      <c r="BG67" s="4">
        <f>CHOOSE($AN$8,Person2!FX67,Both!T67)</f>
        <v>2077</v>
      </c>
      <c r="BH67" s="18">
        <f>CHOOSE($AN$8,Person2!FY67,Both!U67)</f>
        <v>0</v>
      </c>
      <c r="BI67" s="18">
        <f>CHOOSE($AN$8,Person2!FZ67,Both!V67)</f>
        <v>12</v>
      </c>
      <c r="BJ67" s="18" t="e">
        <f ca="1">CHOOSE($AN$8,Person2!GA67,Both!W67)</f>
        <v>#NAME?</v>
      </c>
      <c r="BK67" s="18">
        <f>CHOOSE($AN$8,Person2!GB67,Both!X67)</f>
        <v>6.4692724998368272</v>
      </c>
      <c r="BL67" s="18" t="e">
        <f ca="1">CHOOSE($AN$8,Person2!GC67,Both!Y67)</f>
        <v>#NAME?</v>
      </c>
      <c r="BM67" s="18" t="e">
        <f ca="1">CHOOSE($AN$8,Person2!GD67,Both!Z67)</f>
        <v>#NAME?</v>
      </c>
      <c r="BN67" s="18" t="e">
        <f ca="1">CHOOSE($AN$8,Person2!GE67,Both!AA67)</f>
        <v>#NAME?</v>
      </c>
      <c r="BO67" s="18" t="e">
        <f ca="1">CHOOSE($AN$8,Person2!GF67,Both!AB67)</f>
        <v>#NAME?</v>
      </c>
      <c r="BP67" s="18" t="e">
        <f ca="1">CHOOSE($AN$8,Person2!GG67,Both!AC67)</f>
        <v>#NAME?</v>
      </c>
      <c r="BQ67" s="18" t="e">
        <f ca="1">CHOOSE($AN$8,Person2!GH67,Both!AD67)</f>
        <v>#NAME?</v>
      </c>
      <c r="BR67" s="4"/>
      <c r="BS67" s="4">
        <f>CHOOSE($AN$8,Person2!GJ67,Both!AF67)</f>
        <v>2077</v>
      </c>
      <c r="BT67" s="18" t="e">
        <f ca="1">CHOOSE($AN$8,Person2!GK67,Both!AG67)</f>
        <v>#NAME?</v>
      </c>
      <c r="BU67" s="18" t="e">
        <f ca="1">CHOOSE($AN$8,Person2!GL67,Both!AH67)</f>
        <v>#NAME?</v>
      </c>
      <c r="BV67" s="18" t="e">
        <f ca="1">CHOOSE($AN$8,Person2!GM67,Both!AI67)</f>
        <v>#NAME?</v>
      </c>
      <c r="BW67" s="18" t="e">
        <f ca="1">CHOOSE($AN$8,Person2!GN67,Both!AJ67)</f>
        <v>#NAME?</v>
      </c>
    </row>
    <row r="68" spans="1:75" x14ac:dyDescent="0.25">
      <c r="A68" s="41"/>
      <c r="B68" s="50" t="s">
        <v>307</v>
      </c>
      <c r="C68" s="8">
        <v>1</v>
      </c>
      <c r="D68">
        <f>Relax1</f>
        <v>1</v>
      </c>
      <c r="E68" s="51" t="s">
        <v>342</v>
      </c>
      <c r="F68" s="68" t="s">
        <v>109</v>
      </c>
      <c r="AE68" t="s">
        <v>307</v>
      </c>
      <c r="AJ68">
        <f t="shared" si="6"/>
        <v>1</v>
      </c>
      <c r="AK68">
        <f t="shared" si="6"/>
        <v>1</v>
      </c>
      <c r="BG68" s="4">
        <f>CHOOSE($AN$8,Person2!FX68,Both!T68)</f>
        <v>2078</v>
      </c>
      <c r="BH68" s="18">
        <f>CHOOSE($AN$8,Person2!FY68,Both!U68)</f>
        <v>0</v>
      </c>
      <c r="BI68" s="18">
        <f>CHOOSE($AN$8,Person2!FZ68,Both!V68)</f>
        <v>12</v>
      </c>
      <c r="BJ68" s="18" t="e">
        <f ca="1">CHOOSE($AN$8,Person2!GA68,Both!W68)</f>
        <v>#NAME?</v>
      </c>
      <c r="BK68" s="18">
        <f>CHOOSE($AN$8,Person2!GB68,Both!X68)</f>
        <v>6.2559008454274583</v>
      </c>
      <c r="BL68" s="18" t="e">
        <f ca="1">CHOOSE($AN$8,Person2!GC68,Both!Y68)</f>
        <v>#NAME?</v>
      </c>
      <c r="BM68" s="18" t="e">
        <f ca="1">CHOOSE($AN$8,Person2!GD68,Both!Z68)</f>
        <v>#NAME?</v>
      </c>
      <c r="BN68" s="18" t="e">
        <f ca="1">CHOOSE($AN$8,Person2!GE68,Both!AA68)</f>
        <v>#NAME?</v>
      </c>
      <c r="BO68" s="18" t="e">
        <f ca="1">CHOOSE($AN$8,Person2!GF68,Both!AB68)</f>
        <v>#NAME?</v>
      </c>
      <c r="BP68" s="18" t="e">
        <f ca="1">CHOOSE($AN$8,Person2!GG68,Both!AC68)</f>
        <v>#NAME?</v>
      </c>
      <c r="BQ68" s="18" t="e">
        <f ca="1">CHOOSE($AN$8,Person2!GH68,Both!AD68)</f>
        <v>#NAME?</v>
      </c>
      <c r="BR68" s="4"/>
      <c r="BS68" s="4">
        <f>CHOOSE($AN$8,Person2!GJ68,Both!AF68)</f>
        <v>2078</v>
      </c>
      <c r="BT68" s="18" t="e">
        <f ca="1">CHOOSE($AN$8,Person2!GK68,Both!AG68)</f>
        <v>#NAME?</v>
      </c>
      <c r="BU68" s="18" t="e">
        <f ca="1">CHOOSE($AN$8,Person2!GL68,Both!AH68)</f>
        <v>#NAME?</v>
      </c>
      <c r="BV68" s="18" t="e">
        <f ca="1">CHOOSE($AN$8,Person2!GM68,Both!AI68)</f>
        <v>#NAME?</v>
      </c>
      <c r="BW68" s="18" t="e">
        <f ca="1">CHOOSE($AN$8,Person2!GN68,Both!AJ68)</f>
        <v>#NAME?</v>
      </c>
    </row>
    <row r="69" spans="1:75" x14ac:dyDescent="0.25">
      <c r="A69" s="41"/>
      <c r="B69" s="50" t="s">
        <v>308</v>
      </c>
      <c r="C69" s="8">
        <v>1</v>
      </c>
      <c r="E69" s="51" t="s">
        <v>309</v>
      </c>
      <c r="F69" s="68" t="s">
        <v>109</v>
      </c>
      <c r="AE69" t="s">
        <v>308</v>
      </c>
      <c r="AJ69">
        <f t="shared" si="6"/>
        <v>1</v>
      </c>
      <c r="AK69">
        <f t="shared" si="6"/>
        <v>0</v>
      </c>
      <c r="BG69" s="4">
        <f>CHOOSE($AN$8,Person2!FX69,Both!T69)</f>
        <v>2079</v>
      </c>
      <c r="BH69" s="18">
        <f>CHOOSE($AN$8,Person2!FY69,Both!U69)</f>
        <v>0</v>
      </c>
      <c r="BI69" s="18">
        <f>CHOOSE($AN$8,Person2!FZ69,Both!V69)</f>
        <v>12.000000000000002</v>
      </c>
      <c r="BJ69" s="18" t="e">
        <f ca="1">CHOOSE($AN$8,Person2!GA69,Both!W69)</f>
        <v>#NAME?</v>
      </c>
      <c r="BK69" s="18">
        <f>CHOOSE($AN$8,Person2!GB69,Both!X69)</f>
        <v>6.0456670094652907</v>
      </c>
      <c r="BL69" s="18" t="e">
        <f ca="1">CHOOSE($AN$8,Person2!GC69,Both!Y69)</f>
        <v>#NAME?</v>
      </c>
      <c r="BM69" s="18" t="e">
        <f ca="1">CHOOSE($AN$8,Person2!GD69,Both!Z69)</f>
        <v>#NAME?</v>
      </c>
      <c r="BN69" s="18" t="e">
        <f ca="1">CHOOSE($AN$8,Person2!GE69,Both!AA69)</f>
        <v>#NAME?</v>
      </c>
      <c r="BO69" s="18" t="e">
        <f ca="1">CHOOSE($AN$8,Person2!GF69,Both!AB69)</f>
        <v>#NAME?</v>
      </c>
      <c r="BP69" s="18" t="e">
        <f ca="1">CHOOSE($AN$8,Person2!GG69,Both!AC69)</f>
        <v>#NAME?</v>
      </c>
      <c r="BQ69" s="18" t="e">
        <f ca="1">CHOOSE($AN$8,Person2!GH69,Both!AD69)</f>
        <v>#NAME?</v>
      </c>
      <c r="BR69" s="4"/>
      <c r="BS69" s="4">
        <f>CHOOSE($AN$8,Person2!GJ69,Both!AF69)</f>
        <v>2079</v>
      </c>
      <c r="BT69" s="18" t="e">
        <f ca="1">CHOOSE($AN$8,Person2!GK69,Both!AG69)</f>
        <v>#NAME?</v>
      </c>
      <c r="BU69" s="18" t="e">
        <f ca="1">CHOOSE($AN$8,Person2!GL69,Both!AH69)</f>
        <v>#NAME?</v>
      </c>
      <c r="BV69" s="18" t="e">
        <f ca="1">CHOOSE($AN$8,Person2!GM69,Both!AI69)</f>
        <v>#NAME?</v>
      </c>
      <c r="BW69" s="18" t="e">
        <f ca="1">CHOOSE($AN$8,Person2!GN69,Both!AJ69)</f>
        <v>#NAME?</v>
      </c>
    </row>
    <row r="70" spans="1:75" x14ac:dyDescent="0.25">
      <c r="A70" s="41"/>
      <c r="B70" s="59" t="s">
        <v>573</v>
      </c>
      <c r="C70" s="60"/>
      <c r="D70" s="60"/>
      <c r="E70" s="61"/>
      <c r="F70" s="68" t="s">
        <v>109</v>
      </c>
      <c r="BG70" s="4">
        <f>CHOOSE($AN$8,Person2!FX70,Both!T70)</f>
        <v>2080</v>
      </c>
      <c r="BH70" s="18">
        <f>CHOOSE($AN$8,Person2!FY70,Both!U70)</f>
        <v>0</v>
      </c>
      <c r="BI70" s="18">
        <f>CHOOSE($AN$8,Person2!FZ70,Both!V70)</f>
        <v>0</v>
      </c>
      <c r="BJ70" s="18">
        <f>CHOOSE($AN$8,Person2!GA70,Both!W70)</f>
        <v>0</v>
      </c>
      <c r="BK70" s="18">
        <f>CHOOSE($AN$8,Person2!GB70,Both!X70)</f>
        <v>0</v>
      </c>
      <c r="BL70" s="18" t="e">
        <f ca="1">CHOOSE($AN$8,Person2!GC70,Both!Y70)</f>
        <v>#NAME?</v>
      </c>
      <c r="BM70" s="18" t="e">
        <f ca="1">CHOOSE($AN$8,Person2!GD70,Both!Z70)</f>
        <v>#NAME?</v>
      </c>
      <c r="BN70" s="18" t="e">
        <f ca="1">CHOOSE($AN$8,Person2!GE70,Both!AA70)</f>
        <v>#NAME?</v>
      </c>
      <c r="BO70" s="18" t="e">
        <f ca="1">CHOOSE($AN$8,Person2!GF70,Both!AB70)</f>
        <v>#NAME?</v>
      </c>
      <c r="BP70" s="18" t="e">
        <f ca="1">CHOOSE($AN$8,Person2!GG70,Both!AC70)</f>
        <v>#NAME?</v>
      </c>
      <c r="BQ70" s="18" t="e">
        <f ca="1">CHOOSE($AN$8,Person2!GH70,Both!AD70)</f>
        <v>#NAME?</v>
      </c>
      <c r="BR70" s="4"/>
      <c r="BS70" s="4">
        <f>CHOOSE($AN$8,Person2!GJ70,Both!AF70)</f>
        <v>2080</v>
      </c>
      <c r="BT70" s="18" t="e">
        <f ca="1">CHOOSE($AN$8,Person2!GK70,Both!AG70)</f>
        <v>#NAME?</v>
      </c>
      <c r="BU70" s="18" t="e">
        <f ca="1">CHOOSE($AN$8,Person2!GL70,Both!AH70)</f>
        <v>#NAME?</v>
      </c>
      <c r="BV70" s="18" t="e">
        <f ca="1">CHOOSE($AN$8,Person2!GM70,Both!AI70)</f>
        <v>#NAME?</v>
      </c>
      <c r="BW70" s="18" t="e">
        <f ca="1">CHOOSE($AN$8,Person2!GN70,Both!AJ70)</f>
        <v>#NAME?</v>
      </c>
    </row>
    <row r="71" spans="1:75" x14ac:dyDescent="0.25">
      <c r="A71" s="41"/>
      <c r="B71" s="50" t="s">
        <v>570</v>
      </c>
      <c r="C71" s="8">
        <v>0</v>
      </c>
      <c r="D71" s="8">
        <v>0</v>
      </c>
      <c r="E71" s="51" t="s">
        <v>572</v>
      </c>
      <c r="F71" s="68" t="s">
        <v>109</v>
      </c>
      <c r="AE71" t="s">
        <v>570</v>
      </c>
      <c r="AG71">
        <v>1</v>
      </c>
      <c r="AI71">
        <v>0</v>
      </c>
      <c r="AJ71">
        <f t="shared" ref="AJ71:AK76" si="7">IF(AND($D$4="Off",AF71=1),AH71,C71)</f>
        <v>0</v>
      </c>
      <c r="AK71">
        <f t="shared" si="7"/>
        <v>0</v>
      </c>
      <c r="BG71" s="4">
        <f>CHOOSE($AN$8,Person2!FX71,Both!T71)</f>
        <v>2081</v>
      </c>
      <c r="BH71" s="18">
        <f>CHOOSE($AN$8,Person2!FY71,Both!U71)</f>
        <v>0</v>
      </c>
      <c r="BI71" s="18">
        <f>CHOOSE($AN$8,Person2!FZ71,Both!V71)</f>
        <v>0</v>
      </c>
      <c r="BJ71" s="18">
        <f>CHOOSE($AN$8,Person2!GA71,Both!W71)</f>
        <v>0</v>
      </c>
      <c r="BK71" s="18">
        <f>CHOOSE($AN$8,Person2!GB71,Both!X71)</f>
        <v>0</v>
      </c>
      <c r="BL71" s="18" t="e">
        <f ca="1">CHOOSE($AN$8,Person2!GC71,Both!Y71)</f>
        <v>#NAME?</v>
      </c>
      <c r="BM71" s="18" t="e">
        <f ca="1">CHOOSE($AN$8,Person2!GD71,Both!Z71)</f>
        <v>#NAME?</v>
      </c>
      <c r="BN71" s="18" t="e">
        <f ca="1">CHOOSE($AN$8,Person2!GE71,Both!AA71)</f>
        <v>#NAME?</v>
      </c>
      <c r="BO71" s="18" t="e">
        <f ca="1">CHOOSE($AN$8,Person2!GF71,Both!AB71)</f>
        <v>#NAME?</v>
      </c>
      <c r="BP71" s="18" t="e">
        <f ca="1">CHOOSE($AN$8,Person2!GG71,Both!AC71)</f>
        <v>#NAME?</v>
      </c>
      <c r="BQ71" s="18" t="e">
        <f ca="1">CHOOSE($AN$8,Person2!GH71,Both!AD71)</f>
        <v>#NAME?</v>
      </c>
      <c r="BR71" s="4"/>
      <c r="BS71" s="4">
        <f>CHOOSE($AN$8,Person2!GJ71,Both!AF71)</f>
        <v>2081</v>
      </c>
      <c r="BT71" s="18" t="e">
        <f ca="1">CHOOSE($AN$8,Person2!GK71,Both!AG71)</f>
        <v>#NAME?</v>
      </c>
      <c r="BU71" s="18" t="e">
        <f ca="1">CHOOSE($AN$8,Person2!GL71,Both!AH71)</f>
        <v>#NAME?</v>
      </c>
      <c r="BV71" s="18" t="e">
        <f ca="1">CHOOSE($AN$8,Person2!GM71,Both!AI71)</f>
        <v>#NAME?</v>
      </c>
      <c r="BW71" s="18" t="e">
        <f ca="1">CHOOSE($AN$8,Person2!GN71,Both!AJ71)</f>
        <v>#NAME?</v>
      </c>
    </row>
    <row r="72" spans="1:75" x14ac:dyDescent="0.25">
      <c r="A72" s="41"/>
      <c r="B72" s="50" t="s">
        <v>571</v>
      </c>
      <c r="C72" s="8" t="s">
        <v>698</v>
      </c>
      <c r="D72" s="8" t="s">
        <v>697</v>
      </c>
      <c r="E72" s="51" t="s">
        <v>699</v>
      </c>
      <c r="F72" s="68" t="s">
        <v>109</v>
      </c>
      <c r="AE72" t="s">
        <v>571</v>
      </c>
      <c r="AJ72" t="str">
        <f t="shared" si="7"/>
        <v>45282 (27.5%)</v>
      </c>
      <c r="AK72" t="str">
        <f t="shared" si="7"/>
        <v>35148 (22.7%)</v>
      </c>
      <c r="BG72" s="4">
        <f>CHOOSE($AN$8,Person2!FX72,Both!T72)</f>
        <v>2082</v>
      </c>
      <c r="BH72" s="18">
        <f>CHOOSE($AN$8,Person2!FY72,Both!U72)</f>
        <v>0</v>
      </c>
      <c r="BI72" s="18">
        <f>CHOOSE($AN$8,Person2!FZ72,Both!V72)</f>
        <v>0</v>
      </c>
      <c r="BJ72" s="18">
        <f>CHOOSE($AN$8,Person2!GA72,Both!W72)</f>
        <v>0</v>
      </c>
      <c r="BK72" s="18">
        <f>CHOOSE($AN$8,Person2!GB72,Both!X72)</f>
        <v>0</v>
      </c>
      <c r="BL72" s="18" t="e">
        <f ca="1">CHOOSE($AN$8,Person2!GC72,Both!Y72)</f>
        <v>#NAME?</v>
      </c>
      <c r="BM72" s="18" t="e">
        <f ca="1">CHOOSE($AN$8,Person2!GD72,Both!Z72)</f>
        <v>#NAME?</v>
      </c>
      <c r="BN72" s="18" t="e">
        <f ca="1">CHOOSE($AN$8,Person2!GE72,Both!AA72)</f>
        <v>#NAME?</v>
      </c>
      <c r="BO72" s="18" t="e">
        <f ca="1">CHOOSE($AN$8,Person2!GF72,Both!AB72)</f>
        <v>#NAME?</v>
      </c>
      <c r="BP72" s="18" t="e">
        <f ca="1">CHOOSE($AN$8,Person2!GG72,Both!AC72)</f>
        <v>#NAME?</v>
      </c>
      <c r="BQ72" s="18" t="e">
        <f ca="1">CHOOSE($AN$8,Person2!GH72,Both!AD72)</f>
        <v>#NAME?</v>
      </c>
      <c r="BR72" s="4"/>
      <c r="BS72" s="4">
        <f>CHOOSE($AN$8,Person2!GJ72,Both!AF72)</f>
        <v>2082</v>
      </c>
      <c r="BT72" s="18" t="e">
        <f ca="1">CHOOSE($AN$8,Person2!GK72,Both!AG72)</f>
        <v>#NAME?</v>
      </c>
      <c r="BU72" s="18" t="e">
        <f ca="1">CHOOSE($AN$8,Person2!GL72,Both!AH72)</f>
        <v>#NAME?</v>
      </c>
      <c r="BV72" s="18" t="e">
        <f ca="1">CHOOSE($AN$8,Person2!GM72,Both!AI72)</f>
        <v>#NAME?</v>
      </c>
      <c r="BW72" s="18" t="e">
        <f ca="1">CHOOSE($AN$8,Person2!GN72,Both!AJ72)</f>
        <v>#NAME?</v>
      </c>
    </row>
    <row r="73" spans="1:75" x14ac:dyDescent="0.25">
      <c r="A73" s="41"/>
      <c r="B73" s="59" t="s">
        <v>332</v>
      </c>
      <c r="C73" s="60"/>
      <c r="D73" s="60"/>
      <c r="E73" s="61"/>
      <c r="F73" s="68" t="s">
        <v>109</v>
      </c>
      <c r="AE73" t="s">
        <v>332</v>
      </c>
      <c r="AJ73">
        <f t="shared" si="7"/>
        <v>0</v>
      </c>
      <c r="AK73">
        <f t="shared" si="7"/>
        <v>0</v>
      </c>
      <c r="BG73" s="4">
        <f>CHOOSE($AN$8,Person2!FX73,Both!T73)</f>
        <v>2083</v>
      </c>
      <c r="BH73" s="18">
        <f>CHOOSE($AN$8,Person2!FY73,Both!U73)</f>
        <v>0</v>
      </c>
      <c r="BI73" s="18">
        <f>CHOOSE($AN$8,Person2!FZ73,Both!V73)</f>
        <v>0</v>
      </c>
      <c r="BJ73" s="18">
        <f>CHOOSE($AN$8,Person2!GA73,Both!W73)</f>
        <v>0</v>
      </c>
      <c r="BK73" s="18">
        <f>CHOOSE($AN$8,Person2!GB73,Both!X73)</f>
        <v>0</v>
      </c>
      <c r="BL73" s="18" t="e">
        <f ca="1">CHOOSE($AN$8,Person2!GC73,Both!Y73)</f>
        <v>#NAME?</v>
      </c>
      <c r="BM73" s="18" t="e">
        <f ca="1">CHOOSE($AN$8,Person2!GD73,Both!Z73)</f>
        <v>#NAME?</v>
      </c>
      <c r="BN73" s="18" t="e">
        <f ca="1">CHOOSE($AN$8,Person2!GE73,Both!AA73)</f>
        <v>#NAME?</v>
      </c>
      <c r="BO73" s="18" t="e">
        <f ca="1">CHOOSE($AN$8,Person2!GF73,Both!AB73)</f>
        <v>#NAME?</v>
      </c>
      <c r="BP73" s="18" t="e">
        <f ca="1">CHOOSE($AN$8,Person2!GG73,Both!AC73)</f>
        <v>#NAME?</v>
      </c>
      <c r="BQ73" s="18" t="e">
        <f ca="1">CHOOSE($AN$8,Person2!GH73,Both!AD73)</f>
        <v>#NAME?</v>
      </c>
      <c r="BR73" s="4"/>
      <c r="BS73" s="4">
        <f>CHOOSE($AN$8,Person2!GJ73,Both!AF73)</f>
        <v>2083</v>
      </c>
      <c r="BT73" s="18" t="e">
        <f ca="1">CHOOSE($AN$8,Person2!GK73,Both!AG73)</f>
        <v>#NAME?</v>
      </c>
      <c r="BU73" s="18" t="e">
        <f ca="1">CHOOSE($AN$8,Person2!GL73,Both!AH73)</f>
        <v>#NAME?</v>
      </c>
      <c r="BV73" s="18" t="e">
        <f ca="1">CHOOSE($AN$8,Person2!GM73,Both!AI73)</f>
        <v>#NAME?</v>
      </c>
      <c r="BW73" s="18" t="e">
        <f ca="1">CHOOSE($AN$8,Person2!GN73,Both!AJ73)</f>
        <v>#NAME?</v>
      </c>
    </row>
    <row r="74" spans="1:75" x14ac:dyDescent="0.25">
      <c r="A74" s="41"/>
      <c r="B74" s="50" t="s">
        <v>314</v>
      </c>
      <c r="C74">
        <f>C4+C10-C8</f>
        <v>2075</v>
      </c>
      <c r="D74">
        <f>C4+D10-D8</f>
        <v>2080</v>
      </c>
      <c r="E74" s="51"/>
      <c r="F74" s="68" t="s">
        <v>109</v>
      </c>
      <c r="AE74" t="s">
        <v>314</v>
      </c>
      <c r="AJ74">
        <f t="shared" si="7"/>
        <v>2075</v>
      </c>
      <c r="AK74">
        <f t="shared" si="7"/>
        <v>2080</v>
      </c>
      <c r="BG74" s="4">
        <f>CHOOSE($AN$8,Person2!FX74,Both!T74)</f>
        <v>2084</v>
      </c>
      <c r="BH74" s="18">
        <f>CHOOSE($AN$8,Person2!FY74,Both!U74)</f>
        <v>0</v>
      </c>
      <c r="BI74" s="18">
        <f>CHOOSE($AN$8,Person2!FZ74,Both!V74)</f>
        <v>0</v>
      </c>
      <c r="BJ74" s="18">
        <f>CHOOSE($AN$8,Person2!GA74,Both!W74)</f>
        <v>0</v>
      </c>
      <c r="BK74" s="18">
        <f>CHOOSE($AN$8,Person2!GB74,Both!X74)</f>
        <v>0</v>
      </c>
      <c r="BL74" s="18" t="e">
        <f ca="1">CHOOSE($AN$8,Person2!GC74,Both!Y74)</f>
        <v>#NAME?</v>
      </c>
      <c r="BM74" s="18" t="e">
        <f ca="1">CHOOSE($AN$8,Person2!GD74,Both!Z74)</f>
        <v>#NAME?</v>
      </c>
      <c r="BN74" s="18" t="e">
        <f ca="1">CHOOSE($AN$8,Person2!GE74,Both!AA74)</f>
        <v>#NAME?</v>
      </c>
      <c r="BO74" s="18" t="e">
        <f ca="1">CHOOSE($AN$8,Person2!GF74,Both!AB74)</f>
        <v>#NAME?</v>
      </c>
      <c r="BP74" s="18" t="e">
        <f ca="1">CHOOSE($AN$8,Person2!GG74,Both!AC74)</f>
        <v>#NAME?</v>
      </c>
      <c r="BQ74" s="18" t="e">
        <f ca="1">CHOOSE($AN$8,Person2!GH74,Both!AD74)</f>
        <v>#NAME?</v>
      </c>
      <c r="BR74" s="4"/>
      <c r="BS74" s="4">
        <f>CHOOSE($AN$8,Person2!GJ74,Both!AF74)</f>
        <v>2084</v>
      </c>
      <c r="BT74" s="18" t="e">
        <f ca="1">CHOOSE($AN$8,Person2!GK74,Both!AG74)</f>
        <v>#NAME?</v>
      </c>
      <c r="BU74" s="18" t="e">
        <f ca="1">CHOOSE($AN$8,Person2!GL74,Both!AH74)</f>
        <v>#NAME?</v>
      </c>
      <c r="BV74" s="18" t="e">
        <f ca="1">CHOOSE($AN$8,Person2!GM74,Both!AI74)</f>
        <v>#NAME?</v>
      </c>
      <c r="BW74" s="18" t="e">
        <f ca="1">CHOOSE($AN$8,Person2!GN74,Both!AJ74)</f>
        <v>#NAME?</v>
      </c>
    </row>
    <row r="75" spans="1:75" x14ac:dyDescent="0.25">
      <c r="A75" s="41"/>
      <c r="B75" s="50" t="s">
        <v>313</v>
      </c>
      <c r="C75">
        <f>IF(AND(C30=1,C74&lt;D74,D4="On"),1,2)</f>
        <v>1</v>
      </c>
      <c r="D75">
        <v>2</v>
      </c>
      <c r="E75" s="51" t="s">
        <v>319</v>
      </c>
      <c r="F75" s="68" t="s">
        <v>109</v>
      </c>
      <c r="AE75" t="s">
        <v>313</v>
      </c>
      <c r="AJ75">
        <f t="shared" si="7"/>
        <v>1</v>
      </c>
      <c r="AK75">
        <f t="shared" si="7"/>
        <v>2</v>
      </c>
      <c r="BG75" s="4">
        <f>CHOOSE($AN$8,Person2!FX75,Both!T75)</f>
        <v>2085</v>
      </c>
      <c r="BH75" s="18">
        <f>CHOOSE($AN$8,Person2!FY75,Both!U75)</f>
        <v>0</v>
      </c>
      <c r="BI75" s="18">
        <f>CHOOSE($AN$8,Person2!FZ75,Both!V75)</f>
        <v>0</v>
      </c>
      <c r="BJ75" s="18">
        <f>CHOOSE($AN$8,Person2!GA75,Both!W75)</f>
        <v>0</v>
      </c>
      <c r="BK75" s="18">
        <f>CHOOSE($AN$8,Person2!GB75,Both!X75)</f>
        <v>0</v>
      </c>
      <c r="BL75" s="18" t="e">
        <f ca="1">CHOOSE($AN$8,Person2!GC75,Both!Y75)</f>
        <v>#NAME?</v>
      </c>
      <c r="BM75" s="18" t="e">
        <f ca="1">CHOOSE($AN$8,Person2!GD75,Both!Z75)</f>
        <v>#NAME?</v>
      </c>
      <c r="BN75" s="18" t="e">
        <f ca="1">CHOOSE($AN$8,Person2!GE75,Both!AA75)</f>
        <v>#NAME?</v>
      </c>
      <c r="BO75" s="18" t="e">
        <f ca="1">CHOOSE($AN$8,Person2!GF75,Both!AB75)</f>
        <v>#NAME?</v>
      </c>
      <c r="BP75" s="18" t="e">
        <f ca="1">CHOOSE($AN$8,Person2!GG75,Both!AC75)</f>
        <v>#NAME?</v>
      </c>
      <c r="BQ75" s="18" t="e">
        <f ca="1">CHOOSE($AN$8,Person2!GH75,Both!AD75)</f>
        <v>#NAME?</v>
      </c>
      <c r="BR75" s="4"/>
      <c r="BS75" s="4">
        <f>CHOOSE($AN$8,Person2!GJ75,Both!AF75)</f>
        <v>2085</v>
      </c>
      <c r="BT75" s="18" t="e">
        <f ca="1">CHOOSE($AN$8,Person2!GK75,Both!AG75)</f>
        <v>#NAME?</v>
      </c>
      <c r="BU75" s="18" t="e">
        <f ca="1">CHOOSE($AN$8,Person2!GL75,Both!AH75)</f>
        <v>#NAME?</v>
      </c>
      <c r="BV75" s="18" t="e">
        <f ca="1">CHOOSE($AN$8,Person2!GM75,Both!AI75)</f>
        <v>#NAME?</v>
      </c>
      <c r="BW75" s="18" t="e">
        <f ca="1">CHOOSE($AN$8,Person2!GN75,Both!AJ75)</f>
        <v>#NAME?</v>
      </c>
    </row>
    <row r="76" spans="1:75" x14ac:dyDescent="0.25">
      <c r="A76" s="41"/>
      <c r="B76" s="50" t="s">
        <v>650</v>
      </c>
      <c r="C76">
        <f>IF(C39&lt;65,1+(C39-65)*0.006*12,1+(C39-65)*0.007*12)*C40</f>
        <v>12000</v>
      </c>
      <c r="D76">
        <f>IF(D39&lt;65,1+(D39-65)*0.006*12,1+(D39-65)*0.007*12)*D40</f>
        <v>8000</v>
      </c>
      <c r="E76" s="51" t="s">
        <v>688</v>
      </c>
      <c r="F76" s="68" t="s">
        <v>109</v>
      </c>
      <c r="AE76" t="s">
        <v>650</v>
      </c>
      <c r="AG76">
        <v>1</v>
      </c>
      <c r="AI76">
        <v>0</v>
      </c>
      <c r="AJ76">
        <f t="shared" si="7"/>
        <v>12000</v>
      </c>
      <c r="AK76">
        <f t="shared" si="7"/>
        <v>8000</v>
      </c>
      <c r="BG76" s="4">
        <f>CHOOSE($AN$8,Person2!FX76,Both!T76)</f>
        <v>2086</v>
      </c>
      <c r="BH76" s="18">
        <f>CHOOSE($AN$8,Person2!FY76,Both!U76)</f>
        <v>0</v>
      </c>
      <c r="BI76" s="18">
        <f>CHOOSE($AN$8,Person2!FZ76,Both!V76)</f>
        <v>0</v>
      </c>
      <c r="BJ76" s="18">
        <f>CHOOSE($AN$8,Person2!GA76,Both!W76)</f>
        <v>0</v>
      </c>
      <c r="BK76" s="18">
        <f>CHOOSE($AN$8,Person2!GB76,Both!X76)</f>
        <v>0</v>
      </c>
      <c r="BL76" s="18" t="e">
        <f ca="1">CHOOSE($AN$8,Person2!GC76,Both!Y76)</f>
        <v>#NAME?</v>
      </c>
      <c r="BM76" s="18" t="e">
        <f ca="1">CHOOSE($AN$8,Person2!GD76,Both!Z76)</f>
        <v>#NAME?</v>
      </c>
      <c r="BN76" s="18" t="e">
        <f ca="1">CHOOSE($AN$8,Person2!GE76,Both!AA76)</f>
        <v>#NAME?</v>
      </c>
      <c r="BO76" s="18" t="e">
        <f ca="1">CHOOSE($AN$8,Person2!GF76,Both!AB76)</f>
        <v>#NAME?</v>
      </c>
      <c r="BP76" s="18" t="e">
        <f ca="1">CHOOSE($AN$8,Person2!GG76,Both!AC76)</f>
        <v>#NAME?</v>
      </c>
      <c r="BQ76" s="18" t="e">
        <f ca="1">CHOOSE($AN$8,Person2!GH76,Both!AD76)</f>
        <v>#NAME?</v>
      </c>
      <c r="BR76" s="4"/>
      <c r="BS76" s="4">
        <f>CHOOSE($AN$8,Person2!GJ76,Both!AF76)</f>
        <v>2086</v>
      </c>
      <c r="BT76" s="18" t="e">
        <f ca="1">CHOOSE($AN$8,Person2!GK76,Both!AG76)</f>
        <v>#NAME?</v>
      </c>
      <c r="BU76" s="18" t="e">
        <f ca="1">CHOOSE($AN$8,Person2!GL76,Both!AH76)</f>
        <v>#NAME?</v>
      </c>
      <c r="BV76" s="18" t="e">
        <f ca="1">CHOOSE($AN$8,Person2!GM76,Both!AI76)</f>
        <v>#NAME?</v>
      </c>
      <c r="BW76" s="18" t="e">
        <f ca="1">CHOOSE($AN$8,Person2!GN76,Both!AJ76)</f>
        <v>#NAME?</v>
      </c>
    </row>
    <row r="77" spans="1:75" x14ac:dyDescent="0.25">
      <c r="A77" s="41"/>
      <c r="B77" s="50" t="s">
        <v>686</v>
      </c>
      <c r="C77" s="4">
        <f>(1+(C42-65)*0.006*12)*C43</f>
        <v>6846</v>
      </c>
      <c r="D77" s="4">
        <f>(1+(D42-65)*0.006*12)*D43</f>
        <v>6846</v>
      </c>
      <c r="E77" s="51" t="s">
        <v>687</v>
      </c>
      <c r="F77" s="68" t="s">
        <v>109</v>
      </c>
      <c r="AE77" t="s">
        <v>686</v>
      </c>
      <c r="AG77">
        <v>1</v>
      </c>
      <c r="AI77">
        <v>0</v>
      </c>
      <c r="AJ77" s="4">
        <f t="shared" ref="AJ77:AK79" si="8">IF(AND($D$4="Off",AF77=1),AH77,C77)</f>
        <v>6846</v>
      </c>
      <c r="AK77" s="4">
        <f t="shared" si="8"/>
        <v>6846</v>
      </c>
      <c r="BG77" s="4">
        <f>CHOOSE($AN$8,Person2!FX77,Both!T77)</f>
        <v>2087</v>
      </c>
      <c r="BH77" s="18">
        <f>CHOOSE($AN$8,Person2!FY77,Both!U77)</f>
        <v>0</v>
      </c>
      <c r="BI77" s="18">
        <f>CHOOSE($AN$8,Person2!FZ77,Both!V77)</f>
        <v>0</v>
      </c>
      <c r="BJ77" s="18">
        <f>CHOOSE($AN$8,Person2!GA77,Both!W77)</f>
        <v>0</v>
      </c>
      <c r="BK77" s="18">
        <f>CHOOSE($AN$8,Person2!GB77,Both!X77)</f>
        <v>0</v>
      </c>
      <c r="BL77" s="18" t="e">
        <f ca="1">CHOOSE($AN$8,Person2!GC77,Both!Y77)</f>
        <v>#NAME?</v>
      </c>
      <c r="BM77" s="18" t="e">
        <f ca="1">CHOOSE($AN$8,Person2!GD77,Both!Z77)</f>
        <v>#NAME?</v>
      </c>
      <c r="BN77" s="18" t="e">
        <f ca="1">CHOOSE($AN$8,Person2!GE77,Both!AA77)</f>
        <v>#NAME?</v>
      </c>
      <c r="BO77" s="18" t="e">
        <f ca="1">CHOOSE($AN$8,Person2!GF77,Both!AB77)</f>
        <v>#NAME?</v>
      </c>
      <c r="BP77" s="18" t="e">
        <f ca="1">CHOOSE($AN$8,Person2!GG77,Both!AC77)</f>
        <v>#NAME?</v>
      </c>
      <c r="BQ77" s="18" t="e">
        <f ca="1">CHOOSE($AN$8,Person2!GH77,Both!AD77)</f>
        <v>#NAME?</v>
      </c>
      <c r="BR77" s="4"/>
      <c r="BS77" s="4">
        <f>CHOOSE($AN$8,Person2!GJ77,Both!AF77)</f>
        <v>2087</v>
      </c>
      <c r="BT77" s="18" t="e">
        <f ca="1">CHOOSE($AN$8,Person2!GK77,Both!AG77)</f>
        <v>#NAME?</v>
      </c>
      <c r="BU77" s="18" t="e">
        <f ca="1">CHOOSE($AN$8,Person2!GL77,Both!AH77)</f>
        <v>#NAME?</v>
      </c>
      <c r="BV77" s="18" t="e">
        <f ca="1">CHOOSE($AN$8,Person2!GM77,Both!AI77)</f>
        <v>#NAME?</v>
      </c>
      <c r="BW77" s="18" t="e">
        <f ca="1">CHOOSE($AN$8,Person2!GN77,Both!AJ77)</f>
        <v>#NAME?</v>
      </c>
    </row>
    <row r="78" spans="1:75" x14ac:dyDescent="0.25">
      <c r="A78" s="41"/>
      <c r="B78" s="50" t="s">
        <v>354</v>
      </c>
      <c r="C78">
        <f>0.6*C40</f>
        <v>7200</v>
      </c>
      <c r="D78">
        <f>MIN(C78,C40-D40,C78-MIN(0.4*C78,0.4*D40))</f>
        <v>4000</v>
      </c>
      <c r="E78" s="51" t="s">
        <v>365</v>
      </c>
      <c r="F78" s="68" t="s">
        <v>109</v>
      </c>
      <c r="AE78" t="s">
        <v>354</v>
      </c>
      <c r="AJ78">
        <f t="shared" si="8"/>
        <v>7200</v>
      </c>
      <c r="AK78">
        <f t="shared" si="8"/>
        <v>4000</v>
      </c>
      <c r="BG78" s="4">
        <f>CHOOSE($AN$8,Person2!FX78,Both!T78)</f>
        <v>2088</v>
      </c>
      <c r="BH78" s="18">
        <f>CHOOSE($AN$8,Person2!FY78,Both!U78)</f>
        <v>0</v>
      </c>
      <c r="BI78" s="18">
        <f>CHOOSE($AN$8,Person2!FZ78,Both!V78)</f>
        <v>0</v>
      </c>
      <c r="BJ78" s="18">
        <f>CHOOSE($AN$8,Person2!GA78,Both!W78)</f>
        <v>0</v>
      </c>
      <c r="BK78" s="18">
        <f>CHOOSE($AN$8,Person2!GB78,Both!X78)</f>
        <v>0</v>
      </c>
      <c r="BL78" s="18" t="e">
        <f ca="1">CHOOSE($AN$8,Person2!GC78,Both!Y78)</f>
        <v>#NAME?</v>
      </c>
      <c r="BM78" s="18" t="e">
        <f ca="1">CHOOSE($AN$8,Person2!GD78,Both!Z78)</f>
        <v>#NAME?</v>
      </c>
      <c r="BN78" s="18" t="e">
        <f ca="1">CHOOSE($AN$8,Person2!GE78,Both!AA78)</f>
        <v>#NAME?</v>
      </c>
      <c r="BO78" s="18" t="e">
        <f ca="1">CHOOSE($AN$8,Person2!GF78,Both!AB78)</f>
        <v>#NAME?</v>
      </c>
      <c r="BP78" s="18" t="e">
        <f ca="1">CHOOSE($AN$8,Person2!GG78,Both!AC78)</f>
        <v>#NAME?</v>
      </c>
      <c r="BQ78" s="18" t="e">
        <f ca="1">CHOOSE($AN$8,Person2!GH78,Both!AD78)</f>
        <v>#NAME?</v>
      </c>
      <c r="BR78" s="4"/>
      <c r="BS78" s="4">
        <f>CHOOSE($AN$8,Person2!GJ78,Both!AF78)</f>
        <v>2088</v>
      </c>
      <c r="BT78" s="18" t="e">
        <f ca="1">CHOOSE($AN$8,Person2!GK78,Both!AG78)</f>
        <v>#NAME?</v>
      </c>
      <c r="BU78" s="18" t="e">
        <f ca="1">CHOOSE($AN$8,Person2!GL78,Both!AH78)</f>
        <v>#NAME?</v>
      </c>
      <c r="BV78" s="18" t="e">
        <f ca="1">CHOOSE($AN$8,Person2!GM78,Both!AI78)</f>
        <v>#NAME?</v>
      </c>
      <c r="BW78" s="18" t="e">
        <f ca="1">CHOOSE($AN$8,Person2!GN78,Both!AJ78)</f>
        <v>#NAME?</v>
      </c>
    </row>
    <row r="79" spans="1:75" x14ac:dyDescent="0.25">
      <c r="A79" s="41"/>
      <c r="B79" s="52" t="s">
        <v>695</v>
      </c>
      <c r="C79" s="54">
        <f>IF(ISERROR(VALUE(MID(C72,1,FIND(" ",C72)-1))),0,VALUE(MID(C72,1,FIND(" ",C72)-1)))</f>
        <v>45282</v>
      </c>
      <c r="D79" s="54">
        <f>IF(ISERROR(VALUE(MID(D72,1,FIND(" ",D72)-1))),0,VALUE(MID(D72,1,FIND(" ",D72)-1)))</f>
        <v>35148</v>
      </c>
      <c r="E79" s="55" t="s">
        <v>696</v>
      </c>
      <c r="F79" s="68" t="s">
        <v>109</v>
      </c>
      <c r="AE79" t="s">
        <v>695</v>
      </c>
      <c r="AG79">
        <v>1</v>
      </c>
      <c r="AI79">
        <v>0</v>
      </c>
      <c r="AJ79" s="4">
        <f t="shared" si="8"/>
        <v>45282</v>
      </c>
      <c r="AK79" s="4">
        <f t="shared" si="8"/>
        <v>35148</v>
      </c>
      <c r="BG79" s="4">
        <f>CHOOSE($AN$8,Person2!FX79,Both!T79)</f>
        <v>2089</v>
      </c>
      <c r="BH79" s="18">
        <f>CHOOSE($AN$8,Person2!FY79,Both!U79)</f>
        <v>0</v>
      </c>
      <c r="BI79" s="18">
        <f>CHOOSE($AN$8,Person2!FZ79,Both!V79)</f>
        <v>0</v>
      </c>
      <c r="BJ79" s="18">
        <f>CHOOSE($AN$8,Person2!GA79,Both!W79)</f>
        <v>0</v>
      </c>
      <c r="BK79" s="18">
        <f>CHOOSE($AN$8,Person2!GB79,Both!X79)</f>
        <v>0</v>
      </c>
      <c r="BL79" s="18" t="e">
        <f ca="1">CHOOSE($AN$8,Person2!GC79,Both!Y79)</f>
        <v>#NAME?</v>
      </c>
      <c r="BM79" s="18" t="e">
        <f ca="1">CHOOSE($AN$8,Person2!GD79,Both!Z79)</f>
        <v>#NAME?</v>
      </c>
      <c r="BN79" s="18" t="e">
        <f ca="1">CHOOSE($AN$8,Person2!GE79,Both!AA79)</f>
        <v>#NAME?</v>
      </c>
      <c r="BO79" s="18" t="e">
        <f ca="1">CHOOSE($AN$8,Person2!GF79,Both!AB79)</f>
        <v>#NAME?</v>
      </c>
      <c r="BP79" s="18" t="e">
        <f ca="1">CHOOSE($AN$8,Person2!GG79,Both!AC79)</f>
        <v>#NAME?</v>
      </c>
      <c r="BQ79" s="18" t="e">
        <f ca="1">CHOOSE($AN$8,Person2!GH79,Both!AD79)</f>
        <v>#NAME?</v>
      </c>
      <c r="BR79" s="4"/>
      <c r="BS79" s="4">
        <f>CHOOSE($AN$8,Person2!GJ79,Both!AF79)</f>
        <v>2089</v>
      </c>
      <c r="BT79" s="18" t="e">
        <f ca="1">CHOOSE($AN$8,Person2!GK79,Both!AG79)</f>
        <v>#NAME?</v>
      </c>
      <c r="BU79" s="18" t="e">
        <f ca="1">CHOOSE($AN$8,Person2!GL79,Both!AH79)</f>
        <v>#NAME?</v>
      </c>
      <c r="BV79" s="18" t="e">
        <f ca="1">CHOOSE($AN$8,Person2!GM79,Both!AI79)</f>
        <v>#NAME?</v>
      </c>
      <c r="BW79" s="18" t="e">
        <f ca="1">CHOOSE($AN$8,Person2!GN79,Both!AJ79)</f>
        <v>#NAME?</v>
      </c>
    </row>
    <row r="80" spans="1:75" x14ac:dyDescent="0.25">
      <c r="A80" s="37"/>
      <c r="B80" s="37"/>
      <c r="C80" s="37"/>
      <c r="D80" s="37"/>
      <c r="E80" s="37"/>
      <c r="F80" s="97" t="s">
        <v>109</v>
      </c>
      <c r="BG80" s="4">
        <f>CHOOSE($AN$8,Person2!FX80,Both!T80)</f>
        <v>2090</v>
      </c>
      <c r="BH80" s="18">
        <f>CHOOSE($AN$8,Person2!FY80,Both!U80)</f>
        <v>0</v>
      </c>
      <c r="BI80" s="18">
        <f>CHOOSE($AN$8,Person2!FZ80,Both!V80)</f>
        <v>0</v>
      </c>
      <c r="BJ80" s="18">
        <f>CHOOSE($AN$8,Person2!GA80,Both!W80)</f>
        <v>0</v>
      </c>
      <c r="BK80" s="18">
        <f>CHOOSE($AN$8,Person2!GB80,Both!X80)</f>
        <v>0</v>
      </c>
      <c r="BL80" s="18" t="e">
        <f ca="1">CHOOSE($AN$8,Person2!GC80,Both!Y80)</f>
        <v>#NAME?</v>
      </c>
      <c r="BM80" s="18" t="e">
        <f ca="1">CHOOSE($AN$8,Person2!GD80,Both!Z80)</f>
        <v>#NAME?</v>
      </c>
      <c r="BN80" s="18" t="e">
        <f ca="1">CHOOSE($AN$8,Person2!GE80,Both!AA80)</f>
        <v>#NAME?</v>
      </c>
      <c r="BO80" s="18" t="e">
        <f ca="1">CHOOSE($AN$8,Person2!GF80,Both!AB80)</f>
        <v>#NAME?</v>
      </c>
      <c r="BP80" s="18" t="e">
        <f ca="1">CHOOSE($AN$8,Person2!GG80,Both!AC80)</f>
        <v>#NAME?</v>
      </c>
      <c r="BQ80" s="18" t="e">
        <f ca="1">CHOOSE($AN$8,Person2!GH80,Both!AD80)</f>
        <v>#NAME?</v>
      </c>
      <c r="BR80" s="4"/>
      <c r="BS80" s="4">
        <f>CHOOSE($AN$8,Person2!GJ80,Both!AF80)</f>
        <v>2090</v>
      </c>
      <c r="BT80" s="18" t="e">
        <f ca="1">CHOOSE($AN$8,Person2!GK80,Both!AG80)</f>
        <v>#NAME?</v>
      </c>
      <c r="BU80" s="18" t="e">
        <f ca="1">CHOOSE($AN$8,Person2!GL80,Both!AH80)</f>
        <v>#NAME?</v>
      </c>
      <c r="BV80" s="18" t="e">
        <f ca="1">CHOOSE($AN$8,Person2!GM80,Both!AI80)</f>
        <v>#NAME?</v>
      </c>
      <c r="BW80" s="18" t="e">
        <f ca="1">CHOOSE($AN$8,Person2!GN80,Both!AJ80)</f>
        <v>#NAME?</v>
      </c>
    </row>
    <row r="81" spans="2:75" x14ac:dyDescent="0.25">
      <c r="BG81" s="4">
        <f>CHOOSE($AN$8,Person2!FX81,Both!T81)</f>
        <v>2091</v>
      </c>
      <c r="BH81" s="18">
        <f>CHOOSE($AN$8,Person2!FY81,Both!U81)</f>
        <v>0</v>
      </c>
      <c r="BI81" s="18">
        <f>CHOOSE($AN$8,Person2!FZ81,Both!V81)</f>
        <v>0</v>
      </c>
      <c r="BJ81" s="18">
        <f>CHOOSE($AN$8,Person2!GA81,Both!W81)</f>
        <v>0</v>
      </c>
      <c r="BK81" s="18">
        <f>CHOOSE($AN$8,Person2!GB81,Both!X81)</f>
        <v>0</v>
      </c>
      <c r="BL81" s="18" t="e">
        <f ca="1">CHOOSE($AN$8,Person2!GC81,Both!Y81)</f>
        <v>#NAME?</v>
      </c>
      <c r="BM81" s="18" t="e">
        <f ca="1">CHOOSE($AN$8,Person2!GD81,Both!Z81)</f>
        <v>#NAME?</v>
      </c>
      <c r="BN81" s="18" t="e">
        <f ca="1">CHOOSE($AN$8,Person2!GE81,Both!AA81)</f>
        <v>#NAME?</v>
      </c>
      <c r="BO81" s="18" t="e">
        <f ca="1">CHOOSE($AN$8,Person2!GF81,Both!AB81)</f>
        <v>#NAME?</v>
      </c>
      <c r="BP81" s="18" t="e">
        <f ca="1">CHOOSE($AN$8,Person2!GG81,Both!AC81)</f>
        <v>#NAME?</v>
      </c>
      <c r="BQ81" s="18" t="e">
        <f ca="1">CHOOSE($AN$8,Person2!GH81,Both!AD81)</f>
        <v>#NAME?</v>
      </c>
      <c r="BR81" s="4"/>
      <c r="BS81" s="4">
        <f>CHOOSE($AN$8,Person2!GJ81,Both!AF81)</f>
        <v>2091</v>
      </c>
      <c r="BT81" s="18" t="e">
        <f ca="1">CHOOSE($AN$8,Person2!GK81,Both!AG81)</f>
        <v>#NAME?</v>
      </c>
      <c r="BU81" s="18" t="e">
        <f ca="1">CHOOSE($AN$8,Person2!GL81,Both!AH81)</f>
        <v>#NAME?</v>
      </c>
      <c r="BV81" s="18" t="e">
        <f ca="1">CHOOSE($AN$8,Person2!GM81,Both!AI81)</f>
        <v>#NAME?</v>
      </c>
      <c r="BW81" s="18" t="e">
        <f ca="1">CHOOSE($AN$8,Person2!GN81,Both!AJ81)</f>
        <v>#NAME?</v>
      </c>
    </row>
    <row r="82" spans="2:75" x14ac:dyDescent="0.25">
      <c r="B82" s="15" t="s">
        <v>60</v>
      </c>
      <c r="AE82" t="s">
        <v>60</v>
      </c>
      <c r="BG82" s="4">
        <f>CHOOSE($AN$8,Person2!FX82,Both!T82)</f>
        <v>2092</v>
      </c>
      <c r="BH82" s="18">
        <f>CHOOSE($AN$8,Person2!FY82,Both!U82)</f>
        <v>0</v>
      </c>
      <c r="BI82" s="18">
        <f>CHOOSE($AN$8,Person2!FZ82,Both!V82)</f>
        <v>0</v>
      </c>
      <c r="BJ82" s="18">
        <f>CHOOSE($AN$8,Person2!GA82,Both!W82)</f>
        <v>0</v>
      </c>
      <c r="BK82" s="18">
        <f>CHOOSE($AN$8,Person2!GB82,Both!X82)</f>
        <v>0</v>
      </c>
      <c r="BL82" s="18" t="e">
        <f ca="1">CHOOSE($AN$8,Person2!GC82,Both!Y82)</f>
        <v>#NAME?</v>
      </c>
      <c r="BM82" s="18" t="e">
        <f ca="1">CHOOSE($AN$8,Person2!GD82,Both!Z82)</f>
        <v>#NAME?</v>
      </c>
      <c r="BN82" s="18" t="e">
        <f ca="1">CHOOSE($AN$8,Person2!GE82,Both!AA82)</f>
        <v>#NAME?</v>
      </c>
      <c r="BO82" s="18" t="e">
        <f ca="1">CHOOSE($AN$8,Person2!GF82,Both!AB82)</f>
        <v>#NAME?</v>
      </c>
      <c r="BP82" s="18" t="e">
        <f ca="1">CHOOSE($AN$8,Person2!GG82,Both!AC82)</f>
        <v>#NAME?</v>
      </c>
      <c r="BQ82" s="18" t="e">
        <f ca="1">CHOOSE($AN$8,Person2!GH82,Both!AD82)</f>
        <v>#NAME?</v>
      </c>
      <c r="BR82" s="4"/>
      <c r="BS82" s="4">
        <f>CHOOSE($AN$8,Person2!GJ82,Both!AF82)</f>
        <v>2092</v>
      </c>
      <c r="BT82" s="18" t="e">
        <f ca="1">CHOOSE($AN$8,Person2!GK82,Both!AG82)</f>
        <v>#NAME?</v>
      </c>
      <c r="BU82" s="18" t="e">
        <f ca="1">CHOOSE($AN$8,Person2!GL82,Both!AH82)</f>
        <v>#NAME?</v>
      </c>
      <c r="BV82" s="18" t="e">
        <f ca="1">CHOOSE($AN$8,Person2!GM82,Both!AI82)</f>
        <v>#NAME?</v>
      </c>
      <c r="BW82" s="18" t="e">
        <f ca="1">CHOOSE($AN$8,Person2!GN82,Both!AJ82)</f>
        <v>#NAME?</v>
      </c>
    </row>
    <row r="83" spans="2:75" x14ac:dyDescent="0.25">
      <c r="B83" t="s">
        <v>8</v>
      </c>
      <c r="C83">
        <f t="shared" ref="C83:D87" si="9">J4</f>
        <v>0</v>
      </c>
      <c r="D83">
        <f t="shared" si="9"/>
        <v>0</v>
      </c>
      <c r="AE83" t="s">
        <v>8</v>
      </c>
      <c r="AG83">
        <v>1</v>
      </c>
      <c r="AI83">
        <v>0</v>
      </c>
      <c r="AJ83">
        <f t="shared" ref="AJ83:AK87" si="10">IF(AND($D$4="Off",AF83=1),AH83,C83)</f>
        <v>0</v>
      </c>
      <c r="AK83">
        <f t="shared" si="10"/>
        <v>0</v>
      </c>
      <c r="BG83" s="4">
        <f>CHOOSE($AN$8,Person2!FX83,Both!T83)</f>
        <v>2093</v>
      </c>
      <c r="BH83" s="18">
        <f>CHOOSE($AN$8,Person2!FY83,Both!U83)</f>
        <v>0</v>
      </c>
      <c r="BI83" s="18">
        <f>CHOOSE($AN$8,Person2!FZ83,Both!V83)</f>
        <v>0</v>
      </c>
      <c r="BJ83" s="18">
        <f>CHOOSE($AN$8,Person2!GA83,Both!W83)</f>
        <v>0</v>
      </c>
      <c r="BK83" s="18">
        <f>CHOOSE($AN$8,Person2!GB83,Both!X83)</f>
        <v>0</v>
      </c>
      <c r="BL83" s="18" t="e">
        <f ca="1">CHOOSE($AN$8,Person2!GC83,Both!Y83)</f>
        <v>#NAME?</v>
      </c>
      <c r="BM83" s="18" t="e">
        <f ca="1">CHOOSE($AN$8,Person2!GD83,Both!Z83)</f>
        <v>#NAME?</v>
      </c>
      <c r="BN83" s="18" t="e">
        <f ca="1">CHOOSE($AN$8,Person2!GE83,Both!AA83)</f>
        <v>#NAME?</v>
      </c>
      <c r="BO83" s="18" t="e">
        <f ca="1">CHOOSE($AN$8,Person2!GF83,Both!AB83)</f>
        <v>#NAME?</v>
      </c>
      <c r="BP83" s="18" t="e">
        <f ca="1">CHOOSE($AN$8,Person2!GG83,Both!AC83)</f>
        <v>#NAME?</v>
      </c>
      <c r="BQ83" s="18" t="e">
        <f ca="1">CHOOSE($AN$8,Person2!GH83,Both!AD83)</f>
        <v>#NAME?</v>
      </c>
      <c r="BR83" s="4"/>
      <c r="BS83" s="4">
        <f>CHOOSE($AN$8,Person2!GJ83,Both!AF83)</f>
        <v>2093</v>
      </c>
      <c r="BT83" s="18" t="e">
        <f ca="1">CHOOSE($AN$8,Person2!GK83,Both!AG83)</f>
        <v>#NAME?</v>
      </c>
      <c r="BU83" s="18" t="e">
        <f ca="1">CHOOSE($AN$8,Person2!GL83,Both!AH83)</f>
        <v>#NAME?</v>
      </c>
      <c r="BV83" s="18" t="e">
        <f ca="1">CHOOSE($AN$8,Person2!GM83,Both!AI83)</f>
        <v>#NAME?</v>
      </c>
      <c r="BW83" s="18" t="e">
        <f ca="1">CHOOSE($AN$8,Person2!GN83,Both!AJ83)</f>
        <v>#NAME?</v>
      </c>
    </row>
    <row r="84" spans="2:75" x14ac:dyDescent="0.25">
      <c r="B84" t="s">
        <v>61</v>
      </c>
      <c r="C84">
        <f t="shared" si="9"/>
        <v>0</v>
      </c>
      <c r="D84">
        <f t="shared" si="9"/>
        <v>0</v>
      </c>
      <c r="AE84" t="s">
        <v>61</v>
      </c>
      <c r="AG84">
        <v>1</v>
      </c>
      <c r="AI84">
        <v>0</v>
      </c>
      <c r="AJ84">
        <f t="shared" si="10"/>
        <v>0</v>
      </c>
      <c r="AK84">
        <f t="shared" si="10"/>
        <v>0</v>
      </c>
      <c r="BG84" s="4">
        <f>CHOOSE($AN$8,Person2!FX84,Both!T84)</f>
        <v>2094</v>
      </c>
      <c r="BH84" s="18">
        <f>CHOOSE($AN$8,Person2!FY84,Both!U84)</f>
        <v>0</v>
      </c>
      <c r="BI84" s="18">
        <f>CHOOSE($AN$8,Person2!FZ84,Both!V84)</f>
        <v>0</v>
      </c>
      <c r="BJ84" s="18">
        <f>CHOOSE($AN$8,Person2!GA84,Both!W84)</f>
        <v>0</v>
      </c>
      <c r="BK84" s="18">
        <f>CHOOSE($AN$8,Person2!GB84,Both!X84)</f>
        <v>0</v>
      </c>
      <c r="BL84" s="18" t="e">
        <f ca="1">CHOOSE($AN$8,Person2!GC84,Both!Y84)</f>
        <v>#NAME?</v>
      </c>
      <c r="BM84" s="18" t="e">
        <f ca="1">CHOOSE($AN$8,Person2!GD84,Both!Z84)</f>
        <v>#NAME?</v>
      </c>
      <c r="BN84" s="18" t="e">
        <f ca="1">CHOOSE($AN$8,Person2!GE84,Both!AA84)</f>
        <v>#NAME?</v>
      </c>
      <c r="BO84" s="18" t="e">
        <f ca="1">CHOOSE($AN$8,Person2!GF84,Both!AB84)</f>
        <v>#NAME?</v>
      </c>
      <c r="BP84" s="18" t="e">
        <f ca="1">CHOOSE($AN$8,Person2!GG84,Both!AC84)</f>
        <v>#NAME?</v>
      </c>
      <c r="BQ84" s="18" t="e">
        <f ca="1">CHOOSE($AN$8,Person2!GH84,Both!AD84)</f>
        <v>#NAME?</v>
      </c>
      <c r="BR84" s="4"/>
      <c r="BS84" s="4">
        <f>CHOOSE($AN$8,Person2!GJ84,Both!AF84)</f>
        <v>2094</v>
      </c>
      <c r="BT84" s="18" t="e">
        <f ca="1">CHOOSE($AN$8,Person2!GK84,Both!AG84)</f>
        <v>#NAME?</v>
      </c>
      <c r="BU84" s="18" t="e">
        <f ca="1">CHOOSE($AN$8,Person2!GL84,Both!AH84)</f>
        <v>#NAME?</v>
      </c>
      <c r="BV84" s="18" t="e">
        <f ca="1">CHOOSE($AN$8,Person2!GM84,Both!AI84)</f>
        <v>#NAME?</v>
      </c>
      <c r="BW84" s="18" t="e">
        <f ca="1">CHOOSE($AN$8,Person2!GN84,Both!AJ84)</f>
        <v>#NAME?</v>
      </c>
    </row>
    <row r="85" spans="2:75" x14ac:dyDescent="0.25">
      <c r="B85" t="s">
        <v>29</v>
      </c>
      <c r="C85">
        <f t="shared" si="9"/>
        <v>0</v>
      </c>
      <c r="D85">
        <f t="shared" si="9"/>
        <v>0</v>
      </c>
      <c r="AE85" t="s">
        <v>29</v>
      </c>
      <c r="AG85">
        <v>1</v>
      </c>
      <c r="AI85">
        <v>0</v>
      </c>
      <c r="AJ85">
        <f t="shared" si="10"/>
        <v>0</v>
      </c>
      <c r="AK85">
        <f t="shared" si="10"/>
        <v>0</v>
      </c>
      <c r="BG85" s="4">
        <f>CHOOSE($AN$8,Person2!FX85,Both!T85)</f>
        <v>2095</v>
      </c>
      <c r="BH85" s="18">
        <f>CHOOSE($AN$8,Person2!FY85,Both!U85)</f>
        <v>0</v>
      </c>
      <c r="BI85" s="18">
        <f>CHOOSE($AN$8,Person2!FZ85,Both!V85)</f>
        <v>0</v>
      </c>
      <c r="BJ85" s="18">
        <f>CHOOSE($AN$8,Person2!GA85,Both!W85)</f>
        <v>0</v>
      </c>
      <c r="BK85" s="18">
        <f>CHOOSE($AN$8,Person2!GB85,Both!X85)</f>
        <v>0</v>
      </c>
      <c r="BL85" s="18" t="e">
        <f ca="1">CHOOSE($AN$8,Person2!GC85,Both!Y85)</f>
        <v>#NAME?</v>
      </c>
      <c r="BM85" s="18" t="e">
        <f ca="1">CHOOSE($AN$8,Person2!GD85,Both!Z85)</f>
        <v>#NAME?</v>
      </c>
      <c r="BN85" s="18" t="e">
        <f ca="1">CHOOSE($AN$8,Person2!GE85,Both!AA85)</f>
        <v>#NAME?</v>
      </c>
      <c r="BO85" s="18" t="e">
        <f ca="1">CHOOSE($AN$8,Person2!GF85,Both!AB85)</f>
        <v>#NAME?</v>
      </c>
      <c r="BP85" s="18" t="e">
        <f ca="1">CHOOSE($AN$8,Person2!GG85,Both!AC85)</f>
        <v>#NAME?</v>
      </c>
      <c r="BQ85" s="18" t="e">
        <f ca="1">CHOOSE($AN$8,Person2!GH85,Both!AD85)</f>
        <v>#NAME?</v>
      </c>
      <c r="BR85" s="4"/>
      <c r="BS85" s="4">
        <f>CHOOSE($AN$8,Person2!GJ85,Both!AF85)</f>
        <v>2095</v>
      </c>
      <c r="BT85" s="18" t="e">
        <f ca="1">CHOOSE($AN$8,Person2!GK85,Both!AG85)</f>
        <v>#NAME?</v>
      </c>
      <c r="BU85" s="18" t="e">
        <f ca="1">CHOOSE($AN$8,Person2!GL85,Both!AH85)</f>
        <v>#NAME?</v>
      </c>
      <c r="BV85" s="18" t="e">
        <f ca="1">CHOOSE($AN$8,Person2!GM85,Both!AI85)</f>
        <v>#NAME?</v>
      </c>
      <c r="BW85" s="18" t="e">
        <f ca="1">CHOOSE($AN$8,Person2!GN85,Both!AJ85)</f>
        <v>#NAME?</v>
      </c>
    </row>
    <row r="86" spans="2:75" x14ac:dyDescent="0.25">
      <c r="B86" t="s">
        <v>39</v>
      </c>
      <c r="C86">
        <f t="shared" si="9"/>
        <v>0</v>
      </c>
      <c r="D86">
        <f t="shared" si="9"/>
        <v>0</v>
      </c>
      <c r="AE86" t="s">
        <v>39</v>
      </c>
      <c r="AG86">
        <v>1</v>
      </c>
      <c r="AI86">
        <v>0</v>
      </c>
      <c r="AJ86">
        <f t="shared" si="10"/>
        <v>0</v>
      </c>
      <c r="AK86">
        <f t="shared" si="10"/>
        <v>0</v>
      </c>
      <c r="BG86" s="4">
        <f>CHOOSE($AN$8,Person2!FX86,Both!T86)</f>
        <v>2096</v>
      </c>
      <c r="BH86" s="18">
        <f>CHOOSE($AN$8,Person2!FY86,Both!U86)</f>
        <v>0</v>
      </c>
      <c r="BI86" s="18">
        <f>CHOOSE($AN$8,Person2!FZ86,Both!V86)</f>
        <v>0</v>
      </c>
      <c r="BJ86" s="18">
        <f>CHOOSE($AN$8,Person2!GA86,Both!W86)</f>
        <v>0</v>
      </c>
      <c r="BK86" s="18">
        <f>CHOOSE($AN$8,Person2!GB86,Both!X86)</f>
        <v>0</v>
      </c>
      <c r="BL86" s="18" t="e">
        <f ca="1">CHOOSE($AN$8,Person2!GC86,Both!Y86)</f>
        <v>#NAME?</v>
      </c>
      <c r="BM86" s="18" t="e">
        <f ca="1">CHOOSE($AN$8,Person2!GD86,Both!Z86)</f>
        <v>#NAME?</v>
      </c>
      <c r="BN86" s="18" t="e">
        <f ca="1">CHOOSE($AN$8,Person2!GE86,Both!AA86)</f>
        <v>#NAME?</v>
      </c>
      <c r="BO86" s="18" t="e">
        <f ca="1">CHOOSE($AN$8,Person2!GF86,Both!AB86)</f>
        <v>#NAME?</v>
      </c>
      <c r="BP86" s="18" t="e">
        <f ca="1">CHOOSE($AN$8,Person2!GG86,Both!AC86)</f>
        <v>#NAME?</v>
      </c>
      <c r="BQ86" s="18" t="e">
        <f ca="1">CHOOSE($AN$8,Person2!GH86,Both!AD86)</f>
        <v>#NAME?</v>
      </c>
      <c r="BR86" s="4"/>
      <c r="BS86" s="4">
        <f>CHOOSE($AN$8,Person2!GJ86,Both!AF86)</f>
        <v>2096</v>
      </c>
      <c r="BT86" s="18" t="e">
        <f ca="1">CHOOSE($AN$8,Person2!GK86,Both!AG86)</f>
        <v>#NAME?</v>
      </c>
      <c r="BU86" s="18" t="e">
        <f ca="1">CHOOSE($AN$8,Person2!GL86,Both!AH86)</f>
        <v>#NAME?</v>
      </c>
      <c r="BV86" s="18" t="e">
        <f ca="1">CHOOSE($AN$8,Person2!GM86,Both!AI86)</f>
        <v>#NAME?</v>
      </c>
      <c r="BW86" s="18" t="e">
        <f ca="1">CHOOSE($AN$8,Person2!GN86,Both!AJ86)</f>
        <v>#NAME?</v>
      </c>
    </row>
    <row r="87" spans="2:75" x14ac:dyDescent="0.25">
      <c r="B87" t="s">
        <v>62</v>
      </c>
      <c r="C87">
        <f t="shared" si="9"/>
        <v>0</v>
      </c>
      <c r="D87">
        <f t="shared" si="9"/>
        <v>0</v>
      </c>
      <c r="AE87" t="s">
        <v>62</v>
      </c>
      <c r="AG87">
        <v>1</v>
      </c>
      <c r="AI87">
        <v>0</v>
      </c>
      <c r="AJ87">
        <f t="shared" si="10"/>
        <v>0</v>
      </c>
      <c r="AK87">
        <f t="shared" si="10"/>
        <v>0</v>
      </c>
      <c r="BG87" s="4"/>
      <c r="BH87" s="4"/>
      <c r="BI87" s="4"/>
      <c r="BJ87" s="4"/>
      <c r="BK87" s="4"/>
      <c r="BL87" s="4"/>
      <c r="BM87" s="4"/>
      <c r="BN87" s="4"/>
      <c r="BO87" s="4"/>
      <c r="BP87" s="4"/>
      <c r="BQ87" s="4"/>
      <c r="BR87" s="4"/>
      <c r="BS87" s="4"/>
      <c r="BT87" s="4"/>
      <c r="BU87" s="4"/>
      <c r="BV87" s="4"/>
      <c r="BW87" s="4"/>
    </row>
    <row r="88" spans="2:75" x14ac:dyDescent="0.25">
      <c r="BG88" s="4"/>
      <c r="BH88" s="4"/>
      <c r="BI88" s="4"/>
      <c r="BJ88" s="4"/>
      <c r="BK88" s="4"/>
      <c r="BL88" s="4"/>
      <c r="BM88" s="4"/>
      <c r="BN88" s="4"/>
      <c r="BO88" s="4"/>
      <c r="BP88" s="4"/>
      <c r="BQ88" s="4"/>
      <c r="BR88" s="4"/>
      <c r="BS88" s="4"/>
      <c r="BT88" s="4"/>
      <c r="BU88" s="4"/>
      <c r="BV88" s="4"/>
      <c r="BW88" s="4"/>
    </row>
    <row r="89" spans="2:75" x14ac:dyDescent="0.25">
      <c r="BG89" s="4"/>
      <c r="BH89" s="4"/>
      <c r="BI89" s="4"/>
      <c r="BJ89" s="4"/>
      <c r="BK89" s="4"/>
      <c r="BL89" s="4"/>
      <c r="BM89" s="4"/>
      <c r="BN89" s="4"/>
      <c r="BO89" s="4"/>
      <c r="BP89" s="4"/>
      <c r="BQ89" s="4"/>
      <c r="BR89" s="4"/>
      <c r="BS89" s="4"/>
      <c r="BT89" s="4"/>
      <c r="BU89" s="4"/>
      <c r="BV89" s="4"/>
      <c r="BW89" s="4"/>
    </row>
    <row r="90" spans="2:75" x14ac:dyDescent="0.25">
      <c r="C90" s="27" t="str">
        <f ca="1">Person1!IB90</f>
        <v>45916 (25.0%)</v>
      </c>
      <c r="BG90" s="4"/>
      <c r="BH90" s="4"/>
      <c r="BI90" s="4"/>
      <c r="BJ90" s="4"/>
      <c r="BK90" s="4"/>
      <c r="BL90" s="4"/>
      <c r="BM90" s="4"/>
      <c r="BN90" s="4"/>
      <c r="BO90" s="4"/>
      <c r="BP90" s="4"/>
      <c r="BQ90" s="4"/>
      <c r="BR90" s="4"/>
      <c r="BS90" s="4"/>
      <c r="BT90" s="4"/>
      <c r="BU90" s="4"/>
      <c r="BV90" s="4"/>
      <c r="BW90" s="4"/>
    </row>
    <row r="91" spans="2:75" x14ac:dyDescent="0.25">
      <c r="C91" s="27" t="str">
        <f ca="1">Person1!IB91</f>
        <v>91831 (30.5%)</v>
      </c>
      <c r="BG91" s="4"/>
      <c r="BH91" s="4"/>
      <c r="BI91" s="4"/>
      <c r="BJ91" s="4"/>
      <c r="BK91" s="4"/>
      <c r="BL91" s="4"/>
      <c r="BM91" s="4"/>
      <c r="BN91" s="4"/>
      <c r="BO91" s="4"/>
      <c r="BP91" s="4"/>
      <c r="BQ91" s="4"/>
      <c r="BR91" s="4"/>
      <c r="BS91" s="4"/>
      <c r="BT91" s="4"/>
      <c r="BU91" s="4"/>
      <c r="BV91" s="4"/>
      <c r="BW91" s="4"/>
    </row>
    <row r="92" spans="2:75" x14ac:dyDescent="0.25">
      <c r="C92" s="27" t="str">
        <f ca="1">Person1!IB92</f>
        <v>126625 (36.0%)</v>
      </c>
      <c r="BG92" s="4"/>
      <c r="BH92" s="4"/>
      <c r="BI92" s="4"/>
      <c r="BJ92" s="4"/>
      <c r="BK92" s="4"/>
      <c r="BL92" s="4"/>
      <c r="BM92" s="4"/>
      <c r="BN92" s="4"/>
      <c r="BO92" s="4"/>
      <c r="BP92" s="4"/>
      <c r="BQ92" s="4"/>
      <c r="BR92" s="4"/>
      <c r="BS92" s="4"/>
      <c r="BT92" s="4"/>
      <c r="BU92" s="4"/>
      <c r="BV92" s="4"/>
      <c r="BW92" s="4"/>
    </row>
    <row r="93" spans="2:75" x14ac:dyDescent="0.25">
      <c r="C93" s="27" t="str">
        <f ca="1">Person1!IB93</f>
        <v>142363 (38.0%)</v>
      </c>
    </row>
    <row r="94" spans="2:75" x14ac:dyDescent="0.25">
      <c r="C94" s="27" t="str">
        <f ca="1">Person1!IB94</f>
        <v>151950 (41.0%)</v>
      </c>
    </row>
    <row r="95" spans="2:75" x14ac:dyDescent="0.25">
      <c r="C95" s="27" t="str">
        <f ca="1">Person1!IB95</f>
        <v>202600 (42.0%)</v>
      </c>
    </row>
    <row r="96" spans="2:75" x14ac:dyDescent="0.25">
      <c r="C96" s="27" t="str">
        <f ca="1">Person1!IB96</f>
        <v>202800 (43.0%)</v>
      </c>
    </row>
    <row r="97" spans="3:3" x14ac:dyDescent="0.25">
      <c r="C97" s="27" t="str">
        <f ca="1">Person1!IB97</f>
        <v>303900 (47.0%)</v>
      </c>
    </row>
    <row r="98" spans="3:3" x14ac:dyDescent="0.25">
      <c r="C98" s="27" t="str">
        <f ca="1">Person1!IB98</f>
        <v/>
      </c>
    </row>
    <row r="99" spans="3:3" x14ac:dyDescent="0.25">
      <c r="C99" s="27" t="str">
        <f ca="1">Person1!IB99</f>
        <v/>
      </c>
    </row>
    <row r="100" spans="3:3" x14ac:dyDescent="0.25">
      <c r="C100" s="27" t="str">
        <f ca="1">Person1!IB100</f>
        <v/>
      </c>
    </row>
    <row r="101" spans="3:3" x14ac:dyDescent="0.25">
      <c r="C101" s="27" t="str">
        <f ca="1">Person1!IB101</f>
        <v/>
      </c>
    </row>
  </sheetData>
  <mergeCells count="1">
    <mergeCell ref="N7:R7"/>
  </mergeCells>
  <dataValidations count="16">
    <dataValidation type="decimal" allowBlank="1" showInputMessage="1" showErrorMessage="1" sqref="C28:D28 C34:D35 C12:D14 C26:D26" xr:uid="{F14144D5-984A-4E03-A3B4-AFE84E9D10D6}">
      <formula1>-1</formula1>
      <formula2>1</formula2>
    </dataValidation>
    <dataValidation type="decimal" allowBlank="1" showInputMessage="1" showErrorMessage="1" sqref="C15:D16 D38 C53:D55 C21:D21 C19:D19 C68 C36:D36" xr:uid="{D7938538-A09B-4BCF-8DD8-1269A660E9A1}">
      <formula1>0</formula1>
      <formula2>1</formula2>
    </dataValidation>
    <dataValidation type="decimal" allowBlank="1" showInputMessage="1" showErrorMessage="1" sqref="C25:D25 C40:D40 C27:D27 C62:D65 C32:D32 C18:D18 C22:D23 C20:D20 C43:D43" xr:uid="{8AB56465-4BB8-47E5-A8BB-9DAE98EAF98F}">
      <formula1>0</formula1>
      <formula2>1000000000</formula2>
    </dataValidation>
    <dataValidation type="whole" allowBlank="1" showInputMessage="1" showErrorMessage="1" sqref="C10:D10" xr:uid="{FE0BB055-DBAC-4EAC-8FF3-9A9080C3BAC3}">
      <formula1>1</formula1>
      <formula2>120</formula2>
    </dataValidation>
    <dataValidation type="whole" allowBlank="1" showInputMessage="1" showErrorMessage="1" sqref="C6 C30 C69 C71:D71 C56:D60 C47:D47" xr:uid="{E954D10C-CECD-4851-8DCF-1D6082D048AB}">
      <formula1>0</formula1>
      <formula2>1</formula2>
    </dataValidation>
    <dataValidation type="whole" allowBlank="1" showInputMessage="1" showErrorMessage="1" sqref="C39:D39" xr:uid="{21221314-CFE4-4AEF-ACD7-3BE2A8FBDD3F}">
      <formula1>60</formula1>
      <formula2>70</formula2>
    </dataValidation>
    <dataValidation type="whole" allowBlank="1" showInputMessage="1" showErrorMessage="1" sqref="C33:D33 C8:D9" xr:uid="{7588B51E-27D7-409F-A010-F98F636D7BCF}">
      <formula1>1</formula1>
      <formula2>100</formula2>
    </dataValidation>
    <dataValidation type="whole" allowBlank="1" showInputMessage="1" showErrorMessage="1" sqref="C4" xr:uid="{B07B75CE-CBCF-4144-92DC-4723CC96577E}">
      <formula1>2010</formula1>
      <formula2>2100</formula2>
    </dataValidation>
    <dataValidation type="whole" allowBlank="1" showInputMessage="1" showErrorMessage="1" sqref="C45:D46" xr:uid="{0796AAC7-557F-468D-8D91-DE7AB36DE320}">
      <formula1>50</formula1>
      <formula2>71</formula2>
    </dataValidation>
    <dataValidation type="list" allowBlank="1" showInputMessage="1" showErrorMessage="1" sqref="C5" xr:uid="{8231931B-7C8F-4F46-B3F3-41123B831F84}">
      <formula1>$AP$3:$BE$3</formula1>
    </dataValidation>
    <dataValidation type="list" allowBlank="1" showInputMessage="1" showErrorMessage="1" sqref="G29" xr:uid="{84D96336-EFD7-4F04-A15C-7139548AA144}">
      <formula1>$AN$3:$AN$4</formula1>
    </dataValidation>
    <dataValidation type="decimal" allowBlank="1" showInputMessage="1" showErrorMessage="1" sqref="C37:D37" xr:uid="{90144BDC-490D-42C2-82BE-EB647176FA88}">
      <formula1>0</formula1>
      <formula2>0.99</formula2>
    </dataValidation>
    <dataValidation type="list" allowBlank="1" showInputMessage="1" showErrorMessage="1" sqref="D4" xr:uid="{6FCFE43D-717C-484E-86E1-132911696652}">
      <formula1>$AN$1:$AN$2</formula1>
    </dataValidation>
    <dataValidation type="list" allowBlank="1" showInputMessage="1" showErrorMessage="1" sqref="N7:R7" xr:uid="{B0EA61D7-CB9A-4693-BB7E-AA0EE8D62DDE}">
      <formula1>$AO$31:$AO$40</formula1>
    </dataValidation>
    <dataValidation type="whole" allowBlank="1" showInputMessage="1" showErrorMessage="1" sqref="C42:D42" xr:uid="{C323AF77-0469-4F0C-9E0F-436F206FA5A7}">
      <formula1>65</formula1>
      <formula2>70</formula2>
    </dataValidation>
    <dataValidation type="list" allowBlank="1" showInputMessage="1" showErrorMessage="1" sqref="C72:D72" xr:uid="{A30FF004-2863-407B-8E8C-EA71A0CACA25}">
      <formula1>$C$90:$C$101</formula1>
    </dataValidation>
  </dataValidations>
  <pageMargins left="0.25" right="0.25" top="0.75" bottom="0.75" header="0.3" footer="0.3"/>
  <pageSetup scale="58" orientation="landscape"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8436" r:id="rId4" name="Button 4">
              <controlPr defaultSize="0" print="0" autoFill="0" autoPict="0" macro="[0]!CopyTaxRate1">
                <anchor moveWithCells="1" sizeWithCells="1">
                  <from>
                    <xdr:col>1</xdr:col>
                    <xdr:colOff>845820</xdr:colOff>
                    <xdr:row>0</xdr:row>
                    <xdr:rowOff>99060</xdr:rowOff>
                  </from>
                  <to>
                    <xdr:col>1</xdr:col>
                    <xdr:colOff>1996440</xdr:colOff>
                    <xdr:row>1</xdr:row>
                    <xdr:rowOff>144780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2835E-411B-49A2-A514-3336977D5DC7}">
  <sheetPr codeName="Sheet3"/>
  <dimension ref="A1:AJ86"/>
  <sheetViews>
    <sheetView workbookViewId="0">
      <pane xSplit="5" ySplit="6" topLeftCell="F7" activePane="bottomRight" state="frozen"/>
      <selection pane="topRight" activeCell="F1" sqref="F1"/>
      <selection pane="bottomLeft" activeCell="A7" sqref="A7"/>
      <selection pane="bottomRight" activeCell="F7" sqref="F7"/>
    </sheetView>
  </sheetViews>
  <sheetFormatPr defaultRowHeight="13.2" x14ac:dyDescent="0.25"/>
  <cols>
    <col min="1" max="1" width="34.33203125" customWidth="1"/>
    <col min="2" max="2" width="10.109375" customWidth="1"/>
    <col min="3" max="3" width="10.88671875" customWidth="1"/>
  </cols>
  <sheetData>
    <row r="1" spans="1:36" ht="17.399999999999999" x14ac:dyDescent="0.3">
      <c r="A1" s="13" t="s">
        <v>201</v>
      </c>
      <c r="G1" s="21"/>
    </row>
    <row r="2" spans="1:36" ht="17.399999999999999" x14ac:dyDescent="0.3">
      <c r="A2" s="13"/>
      <c r="B2" s="2" t="s">
        <v>336</v>
      </c>
      <c r="C2" s="2" t="s">
        <v>337</v>
      </c>
      <c r="D2" s="19" t="s">
        <v>106</v>
      </c>
      <c r="E2" s="19"/>
      <c r="F2" s="19"/>
      <c r="G2" s="19"/>
      <c r="H2" s="19"/>
      <c r="I2" s="19"/>
      <c r="J2" s="19"/>
      <c r="K2" s="19"/>
      <c r="L2" s="19"/>
      <c r="M2" s="19"/>
      <c r="N2" s="19"/>
      <c r="O2" s="19"/>
      <c r="P2" s="19"/>
      <c r="Q2" s="19"/>
      <c r="R2" s="19"/>
      <c r="T2" s="7" t="s">
        <v>70</v>
      </c>
      <c r="U2" s="7"/>
      <c r="V2" s="7"/>
      <c r="W2" s="7"/>
      <c r="X2" s="7"/>
      <c r="Y2" s="7"/>
      <c r="Z2" s="7"/>
      <c r="AA2" s="7"/>
      <c r="AB2" s="7"/>
      <c r="AC2" s="7"/>
      <c r="AD2" s="7"/>
      <c r="AE2" s="7"/>
      <c r="AF2" s="7" t="s">
        <v>71</v>
      </c>
      <c r="AG2" s="7"/>
      <c r="AH2" s="7"/>
      <c r="AI2" s="7"/>
      <c r="AJ2" s="7"/>
    </row>
    <row r="3" spans="1:36" x14ac:dyDescent="0.25">
      <c r="A3" s="22" t="s">
        <v>343</v>
      </c>
      <c r="B3" s="75" t="e">
        <f ca="1">Person2!B98+IF($C$36=1,0,Person1!B98)</f>
        <v>#NAME?</v>
      </c>
      <c r="C3" s="75" t="e">
        <f ca="1">Person2!C98+IF($C$36=1,0,Person1!C98)</f>
        <v>#NAME?</v>
      </c>
      <c r="D3" s="2"/>
      <c r="E3" s="2"/>
      <c r="F3" s="2"/>
      <c r="G3" s="2"/>
      <c r="H3" s="2"/>
      <c r="I3" s="22"/>
      <c r="J3" s="2"/>
      <c r="K3" s="2"/>
      <c r="L3" s="2"/>
      <c r="M3" s="22"/>
      <c r="N3" s="2"/>
      <c r="O3" s="2"/>
      <c r="P3" s="2"/>
      <c r="Q3" s="2" t="s">
        <v>92</v>
      </c>
      <c r="R3" s="2"/>
      <c r="T3" s="2"/>
      <c r="U3" s="2"/>
      <c r="V3" s="2"/>
      <c r="W3" s="2"/>
      <c r="X3" s="2"/>
      <c r="Y3" s="2"/>
      <c r="Z3" s="2"/>
      <c r="AA3" s="2"/>
      <c r="AB3" s="2"/>
      <c r="AC3" s="2"/>
      <c r="AD3" s="2"/>
      <c r="AE3" s="2"/>
      <c r="AF3" s="2"/>
      <c r="AG3" s="2"/>
      <c r="AH3" s="2"/>
      <c r="AI3" s="2"/>
      <c r="AJ3" s="2"/>
    </row>
    <row r="4" spans="1:36" x14ac:dyDescent="0.25">
      <c r="A4" s="22" t="s">
        <v>315</v>
      </c>
      <c r="B4" s="75" t="e">
        <f ca="1">Person2!B99+Person1!B99</f>
        <v>#NAME?</v>
      </c>
      <c r="C4" s="75" t="e">
        <f ca="1">Person2!C99+Person1!C99</f>
        <v>#NAME?</v>
      </c>
      <c r="D4" s="2"/>
      <c r="E4" s="2"/>
      <c r="F4" s="2" t="s">
        <v>5</v>
      </c>
      <c r="G4" s="2" t="s">
        <v>234</v>
      </c>
      <c r="H4" s="2" t="s">
        <v>4</v>
      </c>
      <c r="I4" s="22" t="s">
        <v>235</v>
      </c>
      <c r="J4" s="2"/>
      <c r="K4" s="2"/>
      <c r="L4" s="2"/>
      <c r="M4" s="22" t="s">
        <v>238</v>
      </c>
      <c r="N4" s="2"/>
      <c r="O4" s="2"/>
      <c r="P4" s="2"/>
      <c r="Q4" s="2" t="s">
        <v>3</v>
      </c>
      <c r="R4" s="2"/>
      <c r="T4" s="2" t="s">
        <v>663</v>
      </c>
      <c r="U4" s="2"/>
      <c r="V4" s="2"/>
      <c r="W4" s="2"/>
      <c r="X4" s="2"/>
      <c r="Y4" s="2"/>
      <c r="Z4" s="2"/>
      <c r="AA4" s="2"/>
      <c r="AB4" s="2"/>
      <c r="AC4" s="2"/>
      <c r="AD4" s="2"/>
      <c r="AE4" s="2"/>
      <c r="AF4" s="2"/>
      <c r="AG4" s="2"/>
      <c r="AH4" s="2"/>
      <c r="AI4" s="2"/>
      <c r="AJ4" s="2"/>
    </row>
    <row r="5" spans="1:36" x14ac:dyDescent="0.25">
      <c r="A5" s="2"/>
      <c r="D5" s="2" t="s">
        <v>1</v>
      </c>
      <c r="E5" s="2" t="s">
        <v>9</v>
      </c>
      <c r="F5" s="2" t="s">
        <v>4</v>
      </c>
      <c r="G5" s="2" t="s">
        <v>0</v>
      </c>
      <c r="H5" s="2" t="s">
        <v>52</v>
      </c>
      <c r="I5" s="2" t="s">
        <v>8</v>
      </c>
      <c r="J5" s="2" t="s">
        <v>22</v>
      </c>
      <c r="K5" s="2" t="s">
        <v>29</v>
      </c>
      <c r="L5" s="2" t="s">
        <v>139</v>
      </c>
      <c r="M5" s="2" t="s">
        <v>8</v>
      </c>
      <c r="N5" s="2" t="s">
        <v>22</v>
      </c>
      <c r="O5" s="2" t="s">
        <v>29</v>
      </c>
      <c r="P5" s="2" t="s">
        <v>139</v>
      </c>
      <c r="Q5" s="2" t="s">
        <v>26</v>
      </c>
      <c r="R5" s="2"/>
      <c r="T5" s="2" t="s">
        <v>1</v>
      </c>
      <c r="U5" s="2" t="s">
        <v>4</v>
      </c>
      <c r="V5" s="2" t="s">
        <v>32</v>
      </c>
      <c r="W5" s="2" t="s">
        <v>33</v>
      </c>
      <c r="X5" s="2" t="s">
        <v>25</v>
      </c>
      <c r="Y5" s="2" t="s">
        <v>8</v>
      </c>
      <c r="Z5" s="2" t="s">
        <v>22</v>
      </c>
      <c r="AA5" s="2" t="s">
        <v>11</v>
      </c>
      <c r="AB5" s="2" t="s">
        <v>29</v>
      </c>
      <c r="AC5" s="2" t="s">
        <v>459</v>
      </c>
      <c r="AD5" s="2" t="s">
        <v>379</v>
      </c>
      <c r="AE5" s="2"/>
      <c r="AF5" s="2" t="s">
        <v>1</v>
      </c>
      <c r="AG5" s="2" t="s">
        <v>8</v>
      </c>
      <c r="AH5" s="2" t="s">
        <v>22</v>
      </c>
      <c r="AI5" s="2" t="s">
        <v>29</v>
      </c>
      <c r="AJ5" s="2" t="s">
        <v>11</v>
      </c>
    </row>
    <row r="6" spans="1:36" x14ac:dyDescent="0.25">
      <c r="A6" s="15"/>
      <c r="G6" s="2"/>
      <c r="I6" s="2"/>
      <c r="J6" s="2"/>
      <c r="K6" s="2"/>
      <c r="L6" s="2"/>
    </row>
    <row r="7" spans="1:36" x14ac:dyDescent="0.25">
      <c r="D7">
        <f>Person1!D7</f>
        <v>2017</v>
      </c>
      <c r="E7" s="2" t="str">
        <f>TEXT(Person1!E7,"0")&amp;" / "&amp;TEXT(Person2!E7,"0")</f>
        <v>22 / 22</v>
      </c>
      <c r="F7" s="18" t="e">
        <f ca="1">Person1!V7+Person2!V7</f>
        <v>#NAME?</v>
      </c>
      <c r="G7" s="18" t="e">
        <f ca="1">Person1!W7+Person2!W7</f>
        <v>#NAME?</v>
      </c>
      <c r="H7" s="18">
        <f>Person1!X7+Person2!X7</f>
        <v>0</v>
      </c>
      <c r="I7" s="18">
        <f ca="1">Person1!Y7+Person2!Y7</f>
        <v>18.29136395336392</v>
      </c>
      <c r="J7" s="18">
        <f ca="1">Person1!Z7+Person2!Z7</f>
        <v>2.4</v>
      </c>
      <c r="K7" s="18">
        <f ca="1">Person1!AA7+Person2!AA7</f>
        <v>1.3701874999999999</v>
      </c>
      <c r="L7" s="18">
        <f ca="1">Person1!AB7+Person2!AB7</f>
        <v>0</v>
      </c>
      <c r="M7" s="18">
        <f>Person1!AC7+Person2!AC7</f>
        <v>0</v>
      </c>
      <c r="N7" s="18">
        <f>Person1!AD7+Person2!AD7</f>
        <v>0</v>
      </c>
      <c r="O7" s="18">
        <f>Person1!AE7+Person2!AE7</f>
        <v>0</v>
      </c>
      <c r="P7" s="18">
        <f>Person1!AF7+Person2!AF7</f>
        <v>0</v>
      </c>
      <c r="Q7" s="18">
        <f>Person1!AG7+Person2!AG7</f>
        <v>0</v>
      </c>
      <c r="R7" s="18"/>
      <c r="T7" s="4">
        <f>Person1!FX7</f>
        <v>2017</v>
      </c>
      <c r="U7" s="4">
        <f>Person1!FY7+Person2!FY7</f>
        <v>120</v>
      </c>
      <c r="V7" s="4">
        <f>Person1!FZ7+Person2!FZ7</f>
        <v>0</v>
      </c>
      <c r="W7" s="4">
        <f>Person1!GA7+Person2!GA7</f>
        <v>0</v>
      </c>
      <c r="X7" s="4">
        <f>Person1!GB7+Person2!GB7</f>
        <v>0</v>
      </c>
      <c r="Y7" s="4">
        <f>Person1!GC7+Person2!GC7</f>
        <v>0</v>
      </c>
      <c r="Z7" s="4">
        <f>Person1!GD7+Person2!GD7</f>
        <v>0</v>
      </c>
      <c r="AA7" s="4">
        <f ca="1">Person1!GE7+Person2!GE7</f>
        <v>0</v>
      </c>
      <c r="AB7" s="4">
        <f ca="1">Person1!GF7+Person2!GF7</f>
        <v>0</v>
      </c>
      <c r="AC7" s="4" t="e">
        <f ca="1">Person1!GG7+Person2!GG7</f>
        <v>#NAME?</v>
      </c>
      <c r="AD7" s="4" t="e">
        <f ca="1">Person1!GH7+Person2!GH7</f>
        <v>#NAME?</v>
      </c>
      <c r="AF7" s="4">
        <f>Person1!GJ7</f>
        <v>2017</v>
      </c>
      <c r="AG7" s="4">
        <f>Person1!GK7+Person2!GK7</f>
        <v>0</v>
      </c>
      <c r="AH7" s="4">
        <f>Person1!GL7+Person2!GL7</f>
        <v>0</v>
      </c>
      <c r="AI7" s="4">
        <f>Person1!GM7+Person2!GM7</f>
        <v>0</v>
      </c>
      <c r="AJ7" s="4">
        <f>Person1!GN7+Person2!GN7</f>
        <v>0</v>
      </c>
    </row>
    <row r="8" spans="1:36" x14ac:dyDescent="0.25">
      <c r="D8">
        <f>Person1!D8</f>
        <v>2018</v>
      </c>
      <c r="E8" s="2" t="str">
        <f>TEXT(Person1!E8,"0")&amp;" / "&amp;TEXT(Person2!E8,"0")</f>
        <v>23 / 23</v>
      </c>
      <c r="F8" s="18" t="e">
        <f ca="1">Person1!V8+Person2!V8</f>
        <v>#NAME?</v>
      </c>
      <c r="G8" s="18" t="e">
        <f ca="1">Person1!W8+Person2!W8</f>
        <v>#NAME?</v>
      </c>
      <c r="H8" s="18">
        <f>Person1!X8+Person2!X8</f>
        <v>0</v>
      </c>
      <c r="I8" s="18">
        <f ca="1">Person1!Y8+Person2!Y8</f>
        <v>19.099207090618822</v>
      </c>
      <c r="J8" s="18">
        <f ca="1">Person1!Z8+Person2!Z8</f>
        <v>2.4117647058823528</v>
      </c>
      <c r="K8" s="18">
        <f ca="1">Person1!AA8+Person2!AA8</f>
        <v>1.4785514705882328</v>
      </c>
      <c r="L8" s="18">
        <f ca="1">Person1!AB8+Person2!AB8</f>
        <v>0</v>
      </c>
      <c r="M8" s="18">
        <f ca="1">Person1!AC8+Person2!AC8</f>
        <v>17.93270975819992</v>
      </c>
      <c r="N8" s="18">
        <f ca="1">Person1!AD8+Person2!AD8</f>
        <v>2.3529411764705883</v>
      </c>
      <c r="O8" s="18">
        <f ca="1">Person1!AE8+Person2!AE8</f>
        <v>1.3433210784313725</v>
      </c>
      <c r="P8" s="18">
        <f ca="1">Person1!AF8+Person2!AF8</f>
        <v>0</v>
      </c>
      <c r="Q8" s="18">
        <f ca="1">Person1!AG8+Person2!AG8</f>
        <v>21.628972013101883</v>
      </c>
      <c r="R8" s="18"/>
      <c r="T8" s="4">
        <f>Person1!FX8</f>
        <v>2018</v>
      </c>
      <c r="U8" s="4">
        <f>Person1!FY8+Person2!FY8</f>
        <v>120.98039215686273</v>
      </c>
      <c r="V8" s="4">
        <f>Person1!FZ8+Person2!FZ8</f>
        <v>0</v>
      </c>
      <c r="W8" s="4">
        <f>Person1!GA8+Person2!GA8</f>
        <v>0</v>
      </c>
      <c r="X8" s="4">
        <f>Person1!GB8+Person2!GB8</f>
        <v>0</v>
      </c>
      <c r="Y8" s="4">
        <f ca="1">Person1!GC8+Person2!GC8</f>
        <v>0</v>
      </c>
      <c r="Z8" s="4">
        <f ca="1">Person1!GD8+Person2!GD8</f>
        <v>0</v>
      </c>
      <c r="AA8" s="4">
        <f ca="1">Person1!GE8+Person2!GE8</f>
        <v>0</v>
      </c>
      <c r="AB8" s="4">
        <f ca="1">Person1!GF8+Person2!GF8</f>
        <v>0</v>
      </c>
      <c r="AC8" s="4" t="e">
        <f ca="1">Person1!GG8+Person2!GG8</f>
        <v>#NAME?</v>
      </c>
      <c r="AD8" s="4" t="e">
        <f ca="1">Person1!GH8+Person2!GH8</f>
        <v>#NAME?</v>
      </c>
      <c r="AF8" s="4">
        <f>Person1!GJ8</f>
        <v>2018</v>
      </c>
      <c r="AG8" s="4">
        <f ca="1">Person1!GK8+Person2!GK8</f>
        <v>17.93270975819992</v>
      </c>
      <c r="AH8" s="4">
        <f ca="1">Person1!GL8+Person2!GL8</f>
        <v>2.3529411764705883</v>
      </c>
      <c r="AI8" s="4">
        <f ca="1">Person1!GM8+Person2!GM8</f>
        <v>1.3433210784313725</v>
      </c>
      <c r="AJ8" s="4">
        <f ca="1">Person1!GN8+Person2!GN8</f>
        <v>0</v>
      </c>
    </row>
    <row r="9" spans="1:36" x14ac:dyDescent="0.25">
      <c r="D9">
        <f>Person1!D9</f>
        <v>2019</v>
      </c>
      <c r="E9" s="2" t="str">
        <f>TEXT(Person1!E9,"0")&amp;" / "&amp;TEXT(Person2!E9,"0")</f>
        <v>24 / 24</v>
      </c>
      <c r="F9" s="18" t="e">
        <f ca="1">Person1!V9+Person2!V9</f>
        <v>#NAME?</v>
      </c>
      <c r="G9" s="18" t="e">
        <f ca="1">Person1!W9+Person2!W9</f>
        <v>#NAME?</v>
      </c>
      <c r="H9" s="18">
        <f>Person1!X9+Person2!X9</f>
        <v>0</v>
      </c>
      <c r="I9" s="18">
        <f ca="1">Person1!Y9+Person2!Y9</f>
        <v>15.421861605348788</v>
      </c>
      <c r="J9" s="18">
        <f ca="1">Person1!Z9+Person2!Z9</f>
        <v>2.4235870818915801</v>
      </c>
      <c r="K9" s="18">
        <f ca="1">Person1!AA9+Person2!AA9</f>
        <v>4.7101394426951106</v>
      </c>
      <c r="L9" s="18">
        <f ca="1">Person1!AB9+Person2!AB9</f>
        <v>0</v>
      </c>
      <c r="M9" s="18">
        <f ca="1">Person1!AC9+Person2!AC9</f>
        <v>37.184855232087003</v>
      </c>
      <c r="N9" s="18">
        <f ca="1">Person1!AD9+Person2!AD9</f>
        <v>4.786620530565167</v>
      </c>
      <c r="O9" s="18">
        <f ca="1">Person1!AE9+Person2!AE9</f>
        <v>2.8323907871972298</v>
      </c>
      <c r="P9" s="18">
        <f ca="1">Person1!AF9+Person2!AF9</f>
        <v>0</v>
      </c>
      <c r="Q9" s="18">
        <f ca="1">Person1!AG9+Person2!AG9</f>
        <v>44.803866549849403</v>
      </c>
      <c r="R9" s="18"/>
      <c r="T9" s="4">
        <f>Person1!FX9</f>
        <v>2019</v>
      </c>
      <c r="U9" s="4">
        <f>Person1!FY9+Person2!FY9</f>
        <v>121.96943483275665</v>
      </c>
      <c r="V9" s="4">
        <f>Person1!FZ9+Person2!FZ9</f>
        <v>0</v>
      </c>
      <c r="W9" s="4">
        <f>Person1!GA9+Person2!GA9</f>
        <v>0</v>
      </c>
      <c r="X9" s="4">
        <f>Person1!GB9+Person2!GB9</f>
        <v>0</v>
      </c>
      <c r="Y9" s="4">
        <f ca="1">Person1!GC9+Person2!GC9</f>
        <v>0</v>
      </c>
      <c r="Z9" s="4">
        <f ca="1">Person1!GD9+Person2!GD9</f>
        <v>0</v>
      </c>
      <c r="AA9" s="4">
        <f ca="1">Person1!GE9+Person2!GE9</f>
        <v>0</v>
      </c>
      <c r="AB9" s="4">
        <f ca="1">Person1!GF9+Person2!GF9</f>
        <v>0</v>
      </c>
      <c r="AC9" s="4" t="e">
        <f ca="1">Person1!GG9+Person2!GG9</f>
        <v>#NAME?</v>
      </c>
      <c r="AD9" s="4" t="e">
        <f ca="1">Person1!GH9+Person2!GH9</f>
        <v>#NAME?</v>
      </c>
      <c r="AF9" s="4">
        <f>Person1!GJ9</f>
        <v>2019</v>
      </c>
      <c r="AG9" s="4">
        <f ca="1">Person1!GK9+Person2!GK9</f>
        <v>37.184855232087003</v>
      </c>
      <c r="AH9" s="4">
        <f ca="1">Person1!GL9+Person2!GL9</f>
        <v>4.786620530565167</v>
      </c>
      <c r="AI9" s="4">
        <f ca="1">Person1!GM9+Person2!GM9</f>
        <v>2.8323907871972298</v>
      </c>
      <c r="AJ9" s="4">
        <f ca="1">Person1!GN9+Person2!GN9</f>
        <v>0</v>
      </c>
    </row>
    <row r="10" spans="1:36" x14ac:dyDescent="0.25">
      <c r="D10">
        <f>Person1!D10</f>
        <v>2020</v>
      </c>
      <c r="E10" s="2" t="str">
        <f>TEXT(Person1!E10,"0")&amp;" / "&amp;TEXT(Person2!E10,"0")</f>
        <v>25 / 25</v>
      </c>
      <c r="F10" s="18" t="e">
        <f ca="1">Person1!V10+Person2!V10</f>
        <v>#NAME?</v>
      </c>
      <c r="G10" s="18" t="e">
        <f ca="1">Person1!W10+Person2!W10</f>
        <v>#NAME?</v>
      </c>
      <c r="H10" s="18">
        <f>Person1!X10+Person2!X10</f>
        <v>0</v>
      </c>
      <c r="I10" s="18">
        <f ca="1">Person1!Y10+Person2!Y10</f>
        <v>14.550124763477095</v>
      </c>
      <c r="J10" s="18">
        <f ca="1">Person1!Z10+Person2!Z10</f>
        <v>2.4354674107243817</v>
      </c>
      <c r="K10" s="18">
        <f ca="1">Person1!AA10+Person2!AA10</f>
        <v>5.9979017692795473</v>
      </c>
      <c r="L10" s="18">
        <f ca="1">Person1!AB10+Person2!AB10</f>
        <v>0</v>
      </c>
      <c r="M10" s="18">
        <f ca="1">Person1!AC10+Person2!AC10</f>
        <v>53.397999606902104</v>
      </c>
      <c r="N10" s="18">
        <f ca="1">Person1!AD10+Person2!AD10</f>
        <v>7.3034692539068695</v>
      </c>
      <c r="O10" s="18">
        <f ca="1">Person1!AE10+Person2!AE10</f>
        <v>7.5334801659335326</v>
      </c>
      <c r="P10" s="18">
        <f ca="1">Person1!AF10+Person2!AF10</f>
        <v>0</v>
      </c>
      <c r="Q10" s="18">
        <f ca="1">Person1!AG10+Person2!AG10</f>
        <v>68.234949026742513</v>
      </c>
      <c r="R10" s="18"/>
      <c r="T10" s="4">
        <f>Person1!FX10</f>
        <v>2020</v>
      </c>
      <c r="U10" s="4">
        <f>Person1!FY10+Person2!FY10</f>
        <v>122.96720812508011</v>
      </c>
      <c r="V10" s="4">
        <f>Person1!FZ10+Person2!FZ10</f>
        <v>0</v>
      </c>
      <c r="W10" s="4">
        <f>Person1!GA10+Person2!GA10</f>
        <v>0</v>
      </c>
      <c r="X10" s="4">
        <f>Person1!GB10+Person2!GB10</f>
        <v>0</v>
      </c>
      <c r="Y10" s="4">
        <f ca="1">Person1!GC10+Person2!GC10</f>
        <v>0</v>
      </c>
      <c r="Z10" s="4">
        <f ca="1">Person1!GD10+Person2!GD10</f>
        <v>0</v>
      </c>
      <c r="AA10" s="4">
        <f ca="1">Person1!GE10+Person2!GE10</f>
        <v>0</v>
      </c>
      <c r="AB10" s="4">
        <f ca="1">Person1!GF10+Person2!GF10</f>
        <v>0</v>
      </c>
      <c r="AC10" s="4" t="e">
        <f ca="1">Person1!GG10+Person2!GG10</f>
        <v>#NAME?</v>
      </c>
      <c r="AD10" s="4" t="e">
        <f ca="1">Person1!GH10+Person2!GH10</f>
        <v>#NAME?</v>
      </c>
      <c r="AF10" s="4">
        <f>Person1!GJ10</f>
        <v>2020</v>
      </c>
      <c r="AG10" s="4">
        <f ca="1">Person1!GK10+Person2!GK10</f>
        <v>53.397999606902104</v>
      </c>
      <c r="AH10" s="4">
        <f ca="1">Person1!GL10+Person2!GL10</f>
        <v>7.3034692539068695</v>
      </c>
      <c r="AI10" s="4">
        <f ca="1">Person1!GM10+Person2!GM10</f>
        <v>7.5334801659335326</v>
      </c>
      <c r="AJ10" s="4">
        <f ca="1">Person1!GN10+Person2!GN10</f>
        <v>0</v>
      </c>
    </row>
    <row r="11" spans="1:36" x14ac:dyDescent="0.25">
      <c r="D11">
        <f>Person1!D11</f>
        <v>2021</v>
      </c>
      <c r="E11" s="2" t="str">
        <f>TEXT(Person1!E11,"0")&amp;" / "&amp;TEXT(Person2!E11,"0")</f>
        <v>26 / 26</v>
      </c>
      <c r="F11" s="18" t="e">
        <f ca="1">Person1!V11+Person2!V11</f>
        <v>#NAME?</v>
      </c>
      <c r="G11" s="18" t="e">
        <f ca="1">Person1!W11+Person2!W11</f>
        <v>#NAME?</v>
      </c>
      <c r="H11" s="18">
        <f>Person1!X11+Person2!X11</f>
        <v>0</v>
      </c>
      <c r="I11" s="18">
        <f ca="1">Person1!Y11+Person2!Y11</f>
        <v>14.668895913994275</v>
      </c>
      <c r="J11" s="18">
        <f ca="1">Person1!Z11+Person2!Z11</f>
        <v>2.4474059764632266</v>
      </c>
      <c r="K11" s="18">
        <f ca="1">Person1!AA11+Person2!AA11</f>
        <v>6.6033884387593478</v>
      </c>
      <c r="L11" s="18">
        <f ca="1">Person1!AB11+Person2!AB11</f>
        <v>0</v>
      </c>
      <c r="M11" s="18">
        <f ca="1">Person1!AC11+Person2!AC11</f>
        <v>69.233357206592444</v>
      </c>
      <c r="N11" s="18">
        <f ca="1">Person1!AD11+Person2!AD11</f>
        <v>9.9059903209084261</v>
      </c>
      <c r="O11" s="18">
        <f ca="1">Person1!AE11+Person2!AE11</f>
        <v>13.635348964225248</v>
      </c>
      <c r="P11" s="18">
        <f ca="1">Person1!AF11+Person2!AF11</f>
        <v>0</v>
      </c>
      <c r="Q11" s="18">
        <f ca="1">Person1!AG11+Person2!AG11</f>
        <v>92.774696491726104</v>
      </c>
      <c r="R11" s="18"/>
      <c r="T11" s="4">
        <f>Person1!FX11</f>
        <v>2021</v>
      </c>
      <c r="U11" s="4">
        <f>Person1!FY11+Person2!FY11</f>
        <v>123.97379289340404</v>
      </c>
      <c r="V11" s="4">
        <f>Person1!FZ11+Person2!FZ11</f>
        <v>0</v>
      </c>
      <c r="W11" s="4">
        <f>Person1!GA11+Person2!GA11</f>
        <v>0</v>
      </c>
      <c r="X11" s="4">
        <f>Person1!GB11+Person2!GB11</f>
        <v>0</v>
      </c>
      <c r="Y11" s="4">
        <f ca="1">Person1!GC11+Person2!GC11</f>
        <v>0</v>
      </c>
      <c r="Z11" s="4">
        <f ca="1">Person1!GD11+Person2!GD11</f>
        <v>0</v>
      </c>
      <c r="AA11" s="4">
        <f ca="1">Person1!GE11+Person2!GE11</f>
        <v>0</v>
      </c>
      <c r="AB11" s="4">
        <f ca="1">Person1!GF11+Person2!GF11</f>
        <v>0</v>
      </c>
      <c r="AC11" s="4" t="e">
        <f ca="1">Person1!GG11+Person2!GG11</f>
        <v>#NAME?</v>
      </c>
      <c r="AD11" s="4" t="e">
        <f ca="1">Person1!GH11+Person2!GH11</f>
        <v>#NAME?</v>
      </c>
      <c r="AF11" s="4">
        <f>Person1!GJ11</f>
        <v>2021</v>
      </c>
      <c r="AG11" s="4">
        <f ca="1">Person1!GK11+Person2!GK11</f>
        <v>69.233357206592444</v>
      </c>
      <c r="AH11" s="4">
        <f ca="1">Person1!GL11+Person2!GL11</f>
        <v>9.9059903209084261</v>
      </c>
      <c r="AI11" s="4">
        <f ca="1">Person1!GM11+Person2!GM11</f>
        <v>13.635348964225248</v>
      </c>
      <c r="AJ11" s="4">
        <f ca="1">Person1!GN11+Person2!GN11</f>
        <v>0</v>
      </c>
    </row>
    <row r="12" spans="1:36" x14ac:dyDescent="0.25">
      <c r="D12">
        <f>Person1!D12</f>
        <v>2022</v>
      </c>
      <c r="E12" s="2" t="str">
        <f>TEXT(Person1!E12,"0")&amp;" / "&amp;TEXT(Person2!E12,"0")</f>
        <v>27 / 27</v>
      </c>
      <c r="F12" s="18" t="e">
        <f ca="1">Person1!V12+Person2!V12</f>
        <v>#NAME?</v>
      </c>
      <c r="G12" s="18" t="e">
        <f ca="1">Person1!W12+Person2!W12</f>
        <v>#NAME?</v>
      </c>
      <c r="H12" s="18">
        <f>Person1!X12+Person2!X12</f>
        <v>0</v>
      </c>
      <c r="I12" s="18">
        <f ca="1">Person1!Y12+Person2!Y12</f>
        <v>14.788714442793598</v>
      </c>
      <c r="J12" s="18">
        <f ca="1">Person1!Z12+Person2!Z12</f>
        <v>2.4594030645831442</v>
      </c>
      <c r="K12" s="18">
        <f ca="1">Person1!AA12+Person2!AA12</f>
        <v>7.2143301453482902</v>
      </c>
      <c r="L12" s="18">
        <f ca="1">Person1!AB12+Person2!AB12</f>
        <v>0</v>
      </c>
      <c r="M12" s="18">
        <f ca="1">Person1!AC12+Person2!AC12</f>
        <v>85.650902922466997</v>
      </c>
      <c r="N12" s="18">
        <f ca="1">Person1!AD12+Person2!AD12</f>
        <v>12.596760601389287</v>
      </c>
      <c r="O12" s="18">
        <f ca="1">Person1!AE12+Person2!AE12</f>
        <v>20.510298873721432</v>
      </c>
      <c r="P12" s="18">
        <f ca="1">Person1!AF12+Person2!AF12</f>
        <v>0</v>
      </c>
      <c r="Q12" s="18">
        <f ca="1">Person1!AG12+Person2!AG12</f>
        <v>118.75796239757773</v>
      </c>
      <c r="R12" s="18"/>
      <c r="T12" s="4">
        <f>Person1!FX12</f>
        <v>2022</v>
      </c>
      <c r="U12" s="4">
        <f>Person1!FY12+Person2!FY12</f>
        <v>124.98927076683094</v>
      </c>
      <c r="V12" s="4">
        <f>Person1!FZ12+Person2!FZ12</f>
        <v>0</v>
      </c>
      <c r="W12" s="4">
        <f>Person1!GA12+Person2!GA12</f>
        <v>0</v>
      </c>
      <c r="X12" s="4">
        <f>Person1!GB12+Person2!GB12</f>
        <v>0</v>
      </c>
      <c r="Y12" s="4">
        <f ca="1">Person1!GC12+Person2!GC12</f>
        <v>0</v>
      </c>
      <c r="Z12" s="4">
        <f ca="1">Person1!GD12+Person2!GD12</f>
        <v>0</v>
      </c>
      <c r="AA12" s="4">
        <f ca="1">Person1!GE12+Person2!GE12</f>
        <v>0</v>
      </c>
      <c r="AB12" s="4">
        <f ca="1">Person1!GF12+Person2!GF12</f>
        <v>0</v>
      </c>
      <c r="AC12" s="4" t="e">
        <f ca="1">Person1!GG12+Person2!GG12</f>
        <v>#NAME?</v>
      </c>
      <c r="AD12" s="4" t="e">
        <f ca="1">Person1!GH12+Person2!GH12</f>
        <v>#NAME?</v>
      </c>
      <c r="AF12" s="4">
        <f>Person1!GJ12</f>
        <v>2022</v>
      </c>
      <c r="AG12" s="4">
        <f ca="1">Person1!GK12+Person2!GK12</f>
        <v>85.650902922466997</v>
      </c>
      <c r="AH12" s="4">
        <f ca="1">Person1!GL12+Person2!GL12</f>
        <v>12.596760601389287</v>
      </c>
      <c r="AI12" s="4">
        <f ca="1">Person1!GM12+Person2!GM12</f>
        <v>20.510298873721432</v>
      </c>
      <c r="AJ12" s="4">
        <f ca="1">Person1!GN12+Person2!GN12</f>
        <v>0</v>
      </c>
    </row>
    <row r="13" spans="1:36" x14ac:dyDescent="0.25">
      <c r="D13">
        <f>Person1!D13</f>
        <v>2023</v>
      </c>
      <c r="E13" s="2" t="str">
        <f>TEXT(Person1!E13,"0")&amp;" / "&amp;TEXT(Person2!E13,"0")</f>
        <v>28 / 28</v>
      </c>
      <c r="F13" s="18" t="e">
        <f ca="1">Person1!V13+Person2!V13</f>
        <v>#NAME?</v>
      </c>
      <c r="G13" s="18" t="e">
        <f ca="1">Person1!W13+Person2!W13</f>
        <v>#NAME?</v>
      </c>
      <c r="H13" s="18">
        <f>Person1!X13+Person2!X13</f>
        <v>0</v>
      </c>
      <c r="I13" s="18">
        <f ca="1">Person1!Y13+Person2!Y13</f>
        <v>14.909590044540757</v>
      </c>
      <c r="J13" s="18">
        <f ca="1">Person1!Z13+Person2!Z13</f>
        <v>2.4714589619585512</v>
      </c>
      <c r="K13" s="18">
        <f ca="1">Person1!AA13+Person2!AA13</f>
        <v>7.8307762807244119</v>
      </c>
      <c r="L13" s="18">
        <f ca="1">Person1!AB13+Person2!AB13</f>
        <v>0</v>
      </c>
      <c r="M13" s="18">
        <f ca="1">Person1!AC13+Person2!AC13</f>
        <v>102.66878677586661</v>
      </c>
      <c r="N13" s="18">
        <f ca="1">Person1!AD13+Person2!AD13</f>
        <v>15.378433035335188</v>
      </c>
      <c r="O13" s="18">
        <f ca="1">Person1!AE13+Person2!AE13</f>
        <v>28.18641564976058</v>
      </c>
      <c r="P13" s="18">
        <f ca="1">Person1!AF13+Person2!AF13</f>
        <v>0</v>
      </c>
      <c r="Q13" s="18">
        <f ca="1">Person1!AG13+Person2!AG13</f>
        <v>146.23363546096238</v>
      </c>
      <c r="R13" s="18"/>
      <c r="T13" s="4">
        <f>Person1!FX13</f>
        <v>2023</v>
      </c>
      <c r="U13" s="4">
        <f>Person1!FY13+Person2!FY13</f>
        <v>126.01372415142541</v>
      </c>
      <c r="V13" s="4">
        <f>Person1!FZ13+Person2!FZ13</f>
        <v>0</v>
      </c>
      <c r="W13" s="4">
        <f>Person1!GA13+Person2!GA13</f>
        <v>0</v>
      </c>
      <c r="X13" s="4">
        <f>Person1!GB13+Person2!GB13</f>
        <v>0</v>
      </c>
      <c r="Y13" s="4">
        <f ca="1">Person1!GC13+Person2!GC13</f>
        <v>0</v>
      </c>
      <c r="Z13" s="4">
        <f ca="1">Person1!GD13+Person2!GD13</f>
        <v>0</v>
      </c>
      <c r="AA13" s="4">
        <f ca="1">Person1!GE13+Person2!GE13</f>
        <v>0</v>
      </c>
      <c r="AB13" s="4">
        <f ca="1">Person1!GF13+Person2!GF13</f>
        <v>0</v>
      </c>
      <c r="AC13" s="4" t="e">
        <f ca="1">Person1!GG13+Person2!GG13</f>
        <v>#NAME?</v>
      </c>
      <c r="AD13" s="4" t="e">
        <f ca="1">Person1!GH13+Person2!GH13</f>
        <v>#NAME?</v>
      </c>
      <c r="AF13" s="4">
        <f>Person1!GJ13</f>
        <v>2023</v>
      </c>
      <c r="AG13" s="4">
        <f ca="1">Person1!GK13+Person2!GK13</f>
        <v>102.66878677586661</v>
      </c>
      <c r="AH13" s="4">
        <f ca="1">Person1!GL13+Person2!GL13</f>
        <v>15.378433035335188</v>
      </c>
      <c r="AI13" s="4">
        <f ca="1">Person1!GM13+Person2!GM13</f>
        <v>28.18641564976058</v>
      </c>
      <c r="AJ13" s="4">
        <f ca="1">Person1!GN13+Person2!GN13</f>
        <v>0</v>
      </c>
    </row>
    <row r="14" spans="1:36" x14ac:dyDescent="0.25">
      <c r="A14" s="15"/>
      <c r="D14">
        <f>Person1!D14</f>
        <v>2024</v>
      </c>
      <c r="E14" s="2" t="str">
        <f>TEXT(Person1!E14,"0")&amp;" / "&amp;TEXT(Person2!E14,"0")</f>
        <v>29 / 29</v>
      </c>
      <c r="F14" s="18" t="e">
        <f ca="1">Person1!V14+Person2!V14</f>
        <v>#NAME?</v>
      </c>
      <c r="G14" s="18" t="e">
        <f ca="1">Person1!W14+Person2!W14</f>
        <v>#NAME?</v>
      </c>
      <c r="H14" s="18">
        <f>Person1!X14+Person2!X14</f>
        <v>0</v>
      </c>
      <c r="I14" s="18">
        <f ca="1">Person1!Y14+Person2!Y14</f>
        <v>15.031532506134704</v>
      </c>
      <c r="J14" s="18">
        <f ca="1">Person1!Z14+Person2!Z14</f>
        <v>2.4835739568701127</v>
      </c>
      <c r="K14" s="18">
        <f ca="1">Person1!AA14+Person2!AA14</f>
        <v>8.4527767346888378</v>
      </c>
      <c r="L14" s="18">
        <f ca="1">Person1!AB14+Person2!AB14</f>
        <v>0</v>
      </c>
      <c r="M14" s="18">
        <f ca="1">Person1!AC14+Person2!AC14</f>
        <v>120.30570211686344</v>
      </c>
      <c r="N14" s="18">
        <f ca="1">Person1!AD14+Person2!AD14</f>
        <v>18.253738871627942</v>
      </c>
      <c r="O14" s="18">
        <f ca="1">Person1!AE14+Person2!AE14</f>
        <v>36.692659522522575</v>
      </c>
      <c r="P14" s="18">
        <f ca="1">Person1!AF14+Person2!AF14</f>
        <v>0</v>
      </c>
      <c r="Q14" s="18">
        <f ca="1">Person1!AG14+Person2!AG14</f>
        <v>175.25210051101396</v>
      </c>
      <c r="R14" s="18"/>
      <c r="T14" s="4">
        <f>Person1!FX14</f>
        <v>2024</v>
      </c>
      <c r="U14" s="4">
        <f>Person1!FY14+Person2!FY14</f>
        <v>127.0472362377173</v>
      </c>
      <c r="V14" s="4">
        <f>Person1!FZ14+Person2!FZ14</f>
        <v>0</v>
      </c>
      <c r="W14" s="4">
        <f>Person1!GA14+Person2!GA14</f>
        <v>0</v>
      </c>
      <c r="X14" s="4">
        <f>Person1!GB14+Person2!GB14</f>
        <v>0</v>
      </c>
      <c r="Y14" s="4">
        <f ca="1">Person1!GC14+Person2!GC14</f>
        <v>0</v>
      </c>
      <c r="Z14" s="4">
        <f ca="1">Person1!GD14+Person2!GD14</f>
        <v>0</v>
      </c>
      <c r="AA14" s="4">
        <f ca="1">Person1!GE14+Person2!GE14</f>
        <v>0</v>
      </c>
      <c r="AB14" s="4">
        <f ca="1">Person1!GF14+Person2!GF14</f>
        <v>0</v>
      </c>
      <c r="AC14" s="4" t="e">
        <f ca="1">Person1!GG14+Person2!GG14</f>
        <v>#NAME?</v>
      </c>
      <c r="AD14" s="4" t="e">
        <f ca="1">Person1!GH14+Person2!GH14</f>
        <v>#NAME?</v>
      </c>
      <c r="AF14" s="4">
        <f>Person1!GJ14</f>
        <v>2024</v>
      </c>
      <c r="AG14" s="4">
        <f ca="1">Person1!GK14+Person2!GK14</f>
        <v>120.30570211686344</v>
      </c>
      <c r="AH14" s="4">
        <f ca="1">Person1!GL14+Person2!GL14</f>
        <v>18.253738871627942</v>
      </c>
      <c r="AI14" s="4">
        <f ca="1">Person1!GM14+Person2!GM14</f>
        <v>36.692659522522575</v>
      </c>
      <c r="AJ14" s="4">
        <f ca="1">Person1!GN14+Person2!GN14</f>
        <v>0</v>
      </c>
    </row>
    <row r="15" spans="1:36" x14ac:dyDescent="0.25">
      <c r="B15" s="25"/>
      <c r="C15" s="25"/>
      <c r="D15">
        <f>Person1!D15</f>
        <v>2025</v>
      </c>
      <c r="E15" s="2" t="str">
        <f>TEXT(Person1!E15,"0")&amp;" / "&amp;TEXT(Person2!E15,"0")</f>
        <v>30 / 30</v>
      </c>
      <c r="F15" s="18" t="e">
        <f ca="1">Person1!V15+Person2!V15</f>
        <v>#NAME?</v>
      </c>
      <c r="G15" s="18" t="e">
        <f ca="1">Person1!W15+Person2!W15</f>
        <v>#NAME?</v>
      </c>
      <c r="H15" s="18">
        <f>Person1!X15+Person2!X15</f>
        <v>0</v>
      </c>
      <c r="I15" s="18">
        <f ca="1">Person1!Y15+Person2!Y15</f>
        <v>15.154551707598078</v>
      </c>
      <c r="J15" s="18">
        <f ca="1">Person1!Z15+Person2!Z15</f>
        <v>2.4957483390116328</v>
      </c>
      <c r="K15" s="18">
        <f ca="1">Person1!AA15+Person2!AA15</f>
        <v>9.0803818994522487</v>
      </c>
      <c r="L15" s="18">
        <f ca="1">Person1!AB15+Person2!AB15</f>
        <v>0</v>
      </c>
      <c r="M15" s="18">
        <f ca="1">Person1!AC15+Person2!AC15</f>
        <v>138.58090169494244</v>
      </c>
      <c r="N15" s="18">
        <f ca="1">Person1!AD15+Person2!AD15</f>
        <v>21.225489972626907</v>
      </c>
      <c r="O15" s="18">
        <f ca="1">Person1!AE15+Person2!AE15</f>
        <v>46.058891405232878</v>
      </c>
      <c r="P15" s="18">
        <f ca="1">Person1!AF15+Person2!AF15</f>
        <v>0</v>
      </c>
      <c r="Q15" s="18">
        <f ca="1">Person1!AG15+Person2!AG15</f>
        <v>205.86528307280224</v>
      </c>
      <c r="R15" s="18"/>
      <c r="T15" s="4">
        <f>Person1!FX15</f>
        <v>2025</v>
      </c>
      <c r="U15" s="4">
        <f>Person1!FY15+Person2!FY15</f>
        <v>128.08989100827739</v>
      </c>
      <c r="V15" s="4">
        <f>Person1!FZ15+Person2!FZ15</f>
        <v>0</v>
      </c>
      <c r="W15" s="4">
        <f>Person1!GA15+Person2!GA15</f>
        <v>0</v>
      </c>
      <c r="X15" s="4">
        <f>Person1!GB15+Person2!GB15</f>
        <v>0</v>
      </c>
      <c r="Y15" s="4">
        <f ca="1">Person1!GC15+Person2!GC15</f>
        <v>0</v>
      </c>
      <c r="Z15" s="4">
        <f ca="1">Person1!GD15+Person2!GD15</f>
        <v>0</v>
      </c>
      <c r="AA15" s="4">
        <f ca="1">Person1!GE15+Person2!GE15</f>
        <v>0</v>
      </c>
      <c r="AB15" s="4">
        <f ca="1">Person1!GF15+Person2!GF15</f>
        <v>0</v>
      </c>
      <c r="AC15" s="4" t="e">
        <f ca="1">Person1!GG15+Person2!GG15</f>
        <v>#NAME?</v>
      </c>
      <c r="AD15" s="4" t="e">
        <f ca="1">Person1!GH15+Person2!GH15</f>
        <v>#NAME?</v>
      </c>
      <c r="AF15" s="4">
        <f>Person1!GJ15</f>
        <v>2025</v>
      </c>
      <c r="AG15" s="4">
        <f ca="1">Person1!GK15+Person2!GK15</f>
        <v>138.58090169494244</v>
      </c>
      <c r="AH15" s="4">
        <f ca="1">Person1!GL15+Person2!GL15</f>
        <v>21.225489972626907</v>
      </c>
      <c r="AI15" s="4">
        <f ca="1">Person1!GM15+Person2!GM15</f>
        <v>46.058891405232878</v>
      </c>
      <c r="AJ15" s="4">
        <f ca="1">Person1!GN15+Person2!GN15</f>
        <v>0</v>
      </c>
    </row>
    <row r="16" spans="1:36" x14ac:dyDescent="0.25">
      <c r="B16" s="25"/>
      <c r="C16" s="25"/>
      <c r="D16">
        <f>Person1!D16</f>
        <v>2026</v>
      </c>
      <c r="E16" s="2" t="str">
        <f>TEXT(Person1!E16,"0")&amp;" / "&amp;TEXT(Person2!E16,"0")</f>
        <v>31 / 31</v>
      </c>
      <c r="F16" s="18" t="e">
        <f ca="1">Person1!V16+Person2!V16</f>
        <v>#NAME?</v>
      </c>
      <c r="G16" s="18" t="e">
        <f ca="1">Person1!W16+Person2!W16</f>
        <v>#NAME?</v>
      </c>
      <c r="H16" s="18">
        <f>Person1!X16+Person2!X16</f>
        <v>0</v>
      </c>
      <c r="I16" s="18">
        <f ca="1">Person1!Y16+Person2!Y16</f>
        <v>15.278657622976375</v>
      </c>
      <c r="J16" s="18">
        <f ca="1">Person1!Z16+Person2!Z16</f>
        <v>2.5079823994969832</v>
      </c>
      <c r="K16" s="18">
        <f ca="1">Person1!AA16+Person2!AA16</f>
        <v>9.7136426739729771</v>
      </c>
      <c r="L16" s="18">
        <f ca="1">Person1!AB16+Person2!AB16</f>
        <v>0</v>
      </c>
      <c r="M16" s="18">
        <f ca="1">Person1!AC16+Person2!AC16</f>
        <v>157.51421420322319</v>
      </c>
      <c r="N16" s="18">
        <f ca="1">Person1!AD16+Person2!AD16</f>
        <v>24.296581186539104</v>
      </c>
      <c r="O16" s="18">
        <f ca="1">Person1!AE16+Person2!AE16</f>
        <v>56.315899877398792</v>
      </c>
      <c r="P16" s="18">
        <f ca="1">Person1!AF16+Person2!AF16</f>
        <v>0</v>
      </c>
      <c r="Q16" s="18">
        <f ca="1">Person1!AG16+Person2!AG16</f>
        <v>238.12669526716107</v>
      </c>
      <c r="R16" s="18"/>
      <c r="T16" s="4">
        <f>Person1!FX16</f>
        <v>2026</v>
      </c>
      <c r="U16" s="4">
        <f>Person1!FY16+Person2!FY16</f>
        <v>129.1417732453674</v>
      </c>
      <c r="V16" s="4">
        <f>Person1!FZ16+Person2!FZ16</f>
        <v>0</v>
      </c>
      <c r="W16" s="4">
        <f>Person1!GA16+Person2!GA16</f>
        <v>0</v>
      </c>
      <c r="X16" s="4">
        <f>Person1!GB16+Person2!GB16</f>
        <v>0</v>
      </c>
      <c r="Y16" s="4">
        <f ca="1">Person1!GC16+Person2!GC16</f>
        <v>0</v>
      </c>
      <c r="Z16" s="4">
        <f ca="1">Person1!GD16+Person2!GD16</f>
        <v>0</v>
      </c>
      <c r="AA16" s="4">
        <f ca="1">Person1!GE16+Person2!GE16</f>
        <v>0</v>
      </c>
      <c r="AB16" s="4">
        <f ca="1">Person1!GF16+Person2!GF16</f>
        <v>0</v>
      </c>
      <c r="AC16" s="4" t="e">
        <f ca="1">Person1!GG16+Person2!GG16</f>
        <v>#NAME?</v>
      </c>
      <c r="AD16" s="4" t="e">
        <f ca="1">Person1!GH16+Person2!GH16</f>
        <v>#NAME?</v>
      </c>
      <c r="AF16" s="4">
        <f>Person1!GJ16</f>
        <v>2026</v>
      </c>
      <c r="AG16" s="4">
        <f ca="1">Person1!GK16+Person2!GK16</f>
        <v>157.51421420322319</v>
      </c>
      <c r="AH16" s="4">
        <f ca="1">Person1!GL16+Person2!GL16</f>
        <v>24.296581186539104</v>
      </c>
      <c r="AI16" s="4">
        <f ca="1">Person1!GM16+Person2!GM16</f>
        <v>56.315899877398792</v>
      </c>
      <c r="AJ16" s="4">
        <f ca="1">Person1!GN16+Person2!GN16</f>
        <v>0</v>
      </c>
    </row>
    <row r="17" spans="1:36" x14ac:dyDescent="0.25">
      <c r="B17" s="25"/>
      <c r="C17" s="25"/>
      <c r="D17">
        <f>Person1!D17</f>
        <v>2027</v>
      </c>
      <c r="E17" s="2" t="str">
        <f>TEXT(Person1!E17,"0")&amp;" / "&amp;TEXT(Person2!E17,"0")</f>
        <v>32 / 32</v>
      </c>
      <c r="F17" s="18" t="e">
        <f ca="1">Person1!V17+Person2!V17</f>
        <v>#NAME?</v>
      </c>
      <c r="G17" s="18" t="e">
        <f ca="1">Person1!W17+Person2!W17</f>
        <v>#NAME?</v>
      </c>
      <c r="H17" s="18">
        <f>Person1!X17+Person2!X17</f>
        <v>0</v>
      </c>
      <c r="I17" s="18">
        <f ca="1">Person1!Y17+Person2!Y17</f>
        <v>15.403860321245782</v>
      </c>
      <c r="J17" s="18">
        <f ca="1">Person1!Z17+Person2!Z17</f>
        <v>2.5202764308670669</v>
      </c>
      <c r="K17" s="18">
        <f ca="1">Person1!AA17+Person2!AA17</f>
        <v>10.352610468348145</v>
      </c>
      <c r="L17" s="18">
        <f ca="1">Person1!AB17+Person2!AB17</f>
        <v>0</v>
      </c>
      <c r="M17" s="18">
        <f ca="1">Person1!AC17+Person2!AC17</f>
        <v>177.12606131015761</v>
      </c>
      <c r="N17" s="18">
        <f ca="1">Person1!AD17+Person2!AD17</f>
        <v>27.469992789571613</v>
      </c>
      <c r="O17" s="18">
        <f ca="1">Person1!AE17+Person2!AE17</f>
        <v>67.495428965923239</v>
      </c>
      <c r="P17" s="18">
        <f ca="1">Person1!AF17+Person2!AF17</f>
        <v>0</v>
      </c>
      <c r="Q17" s="18">
        <f ca="1">Person1!AG17+Person2!AG17</f>
        <v>272.09148306565243</v>
      </c>
      <c r="R17" s="18"/>
      <c r="T17" s="4">
        <f>Person1!FX17</f>
        <v>2027</v>
      </c>
      <c r="U17" s="4">
        <f>Person1!FY17+Person2!FY17</f>
        <v>130.20296853866373</v>
      </c>
      <c r="V17" s="4">
        <f>Person1!FZ17+Person2!FZ17</f>
        <v>0</v>
      </c>
      <c r="W17" s="4">
        <f>Person1!GA17+Person2!GA17</f>
        <v>0</v>
      </c>
      <c r="X17" s="4">
        <f>Person1!GB17+Person2!GB17</f>
        <v>0</v>
      </c>
      <c r="Y17" s="4">
        <f ca="1">Person1!GC17+Person2!GC17</f>
        <v>0</v>
      </c>
      <c r="Z17" s="4">
        <f ca="1">Person1!GD17+Person2!GD17</f>
        <v>0</v>
      </c>
      <c r="AA17" s="4">
        <f ca="1">Person1!GE17+Person2!GE17</f>
        <v>0</v>
      </c>
      <c r="AB17" s="4">
        <f ca="1">Person1!GF17+Person2!GF17</f>
        <v>0</v>
      </c>
      <c r="AC17" s="4" t="e">
        <f ca="1">Person1!GG17+Person2!GG17</f>
        <v>#NAME?</v>
      </c>
      <c r="AD17" s="4" t="e">
        <f ca="1">Person1!GH17+Person2!GH17</f>
        <v>#NAME?</v>
      </c>
      <c r="AF17" s="4">
        <f>Person1!GJ17</f>
        <v>2027</v>
      </c>
      <c r="AG17" s="4">
        <f ca="1">Person1!GK17+Person2!GK17</f>
        <v>177.12606131015761</v>
      </c>
      <c r="AH17" s="4">
        <f ca="1">Person1!GL17+Person2!GL17</f>
        <v>27.469992789571613</v>
      </c>
      <c r="AI17" s="4">
        <f ca="1">Person1!GM17+Person2!GM17</f>
        <v>67.495428965923239</v>
      </c>
      <c r="AJ17" s="4">
        <f ca="1">Person1!GN17+Person2!GN17</f>
        <v>0</v>
      </c>
    </row>
    <row r="18" spans="1:36" x14ac:dyDescent="0.25">
      <c r="B18" s="24"/>
      <c r="C18" s="24"/>
      <c r="D18">
        <f>Person1!D18</f>
        <v>2028</v>
      </c>
      <c r="E18" s="2" t="str">
        <f>TEXT(Person1!E18,"0")&amp;" / "&amp;TEXT(Person2!E18,"0")</f>
        <v>33 / 33</v>
      </c>
      <c r="F18" s="18" t="e">
        <f ca="1">Person1!V18+Person2!V18</f>
        <v>#NAME?</v>
      </c>
      <c r="G18" s="18" t="e">
        <f ca="1">Person1!W18+Person2!W18</f>
        <v>#NAME?</v>
      </c>
      <c r="H18" s="18">
        <f>Person1!X18+Person2!X18</f>
        <v>0</v>
      </c>
      <c r="I18" s="18">
        <f ca="1">Person1!Y18+Person2!Y18</f>
        <v>15.530169967229886</v>
      </c>
      <c r="J18" s="18">
        <f ca="1">Person1!Z18+Person2!Z18</f>
        <v>2.5326307270968069</v>
      </c>
      <c r="K18" s="18">
        <f ca="1">Person1!AA18+Person2!AA18</f>
        <v>10.997337208256987</v>
      </c>
      <c r="L18" s="18">
        <f ca="1">Person1!AB18+Person2!AB18</f>
        <v>0</v>
      </c>
      <c r="M18" s="18">
        <f ca="1">Person1!AC18+Person2!AC18</f>
        <v>197.43747519305026</v>
      </c>
      <c r="N18" s="18">
        <f ca="1">Person1!AD18+Person2!AD18</f>
        <v>30.748792999918887</v>
      </c>
      <c r="O18" s="18">
        <f ca="1">Person1!AE18+Person2!AE18</f>
        <v>79.630206747615233</v>
      </c>
      <c r="P18" s="18">
        <f ca="1">Person1!AF18+Person2!AF18</f>
        <v>0</v>
      </c>
      <c r="Q18" s="18">
        <f ca="1">Person1!AG18+Person2!AG18</f>
        <v>307.81647494058438</v>
      </c>
      <c r="R18" s="18"/>
      <c r="T18" s="4">
        <f>Person1!FX18</f>
        <v>2028</v>
      </c>
      <c r="U18" s="4">
        <f>Person1!FY18+Person2!FY18</f>
        <v>131.2735632930569</v>
      </c>
      <c r="V18" s="4">
        <f>Person1!FZ18+Person2!FZ18</f>
        <v>0</v>
      </c>
      <c r="W18" s="4">
        <f>Person1!GA18+Person2!GA18</f>
        <v>0</v>
      </c>
      <c r="X18" s="4">
        <f>Person1!GB18+Person2!GB18</f>
        <v>0</v>
      </c>
      <c r="Y18" s="4">
        <f ca="1">Person1!GC18+Person2!GC18</f>
        <v>0</v>
      </c>
      <c r="Z18" s="4">
        <f ca="1">Person1!GD18+Person2!GD18</f>
        <v>0</v>
      </c>
      <c r="AA18" s="4">
        <f ca="1">Person1!GE18+Person2!GE18</f>
        <v>0</v>
      </c>
      <c r="AB18" s="4">
        <f ca="1">Person1!GF18+Person2!GF18</f>
        <v>0</v>
      </c>
      <c r="AC18" s="4" t="e">
        <f ca="1">Person1!GG18+Person2!GG18</f>
        <v>#NAME?</v>
      </c>
      <c r="AD18" s="4" t="e">
        <f ca="1">Person1!GH18+Person2!GH18</f>
        <v>#NAME?</v>
      </c>
      <c r="AF18" s="4">
        <f>Person1!GJ18</f>
        <v>2028</v>
      </c>
      <c r="AG18" s="4">
        <f ca="1">Person1!GK18+Person2!GK18</f>
        <v>197.43747519305026</v>
      </c>
      <c r="AH18" s="4">
        <f ca="1">Person1!GL18+Person2!GL18</f>
        <v>30.748792999918887</v>
      </c>
      <c r="AI18" s="4">
        <f ca="1">Person1!GM18+Person2!GM18</f>
        <v>79.630206747615233</v>
      </c>
      <c r="AJ18" s="4">
        <f ca="1">Person1!GN18+Person2!GN18</f>
        <v>0</v>
      </c>
    </row>
    <row r="19" spans="1:36" x14ac:dyDescent="0.25">
      <c r="B19" s="24"/>
      <c r="C19" s="24"/>
      <c r="D19">
        <f>Person1!D19</f>
        <v>2029</v>
      </c>
      <c r="E19" s="2" t="str">
        <f>TEXT(Person1!E19,"0")&amp;" / "&amp;TEXT(Person2!E19,"0")</f>
        <v>34 / 34</v>
      </c>
      <c r="F19" s="18" t="e">
        <f ca="1">Person1!V19+Person2!V19</f>
        <v>#NAME?</v>
      </c>
      <c r="G19" s="18" t="e">
        <f ca="1">Person1!W19+Person2!W19</f>
        <v>#NAME?</v>
      </c>
      <c r="H19" s="18">
        <f>Person1!X19+Person2!X19</f>
        <v>0</v>
      </c>
      <c r="I19" s="18">
        <f ca="1">Person1!Y19+Person2!Y19</f>
        <v>15.657596822525306</v>
      </c>
      <c r="J19" s="18">
        <f ca="1">Person1!Z19+Person2!Z19</f>
        <v>2.5450455836021835</v>
      </c>
      <c r="K19" s="18">
        <f ca="1">Person1!AA19+Person2!AA19</f>
        <v>11.647875339457737</v>
      </c>
      <c r="L19" s="18">
        <f ca="1">Person1!AB19+Person2!AB19</f>
        <v>0</v>
      </c>
      <c r="M19" s="18">
        <f ca="1">Person1!AC19+Person2!AC19</f>
        <v>218.47011658816928</v>
      </c>
      <c r="N19" s="18">
        <f ca="1">Person1!AD19+Person2!AD19</f>
        <v>34.13614056569768</v>
      </c>
      <c r="O19" s="18">
        <f ca="1">Person1!AE19+Person2!AE19</f>
        <v>92.753974797306853</v>
      </c>
      <c r="P19" s="18">
        <f ca="1">Person1!AF19+Person2!AF19</f>
        <v>0</v>
      </c>
      <c r="Q19" s="18">
        <f ca="1">Person1!AG19+Person2!AG19</f>
        <v>345.36023195117377</v>
      </c>
      <c r="R19" s="18"/>
      <c r="T19" s="4">
        <f>Person1!FX19</f>
        <v>2029</v>
      </c>
      <c r="U19" s="4">
        <f>Person1!FY19+Person2!FY19</f>
        <v>132.35364473652666</v>
      </c>
      <c r="V19" s="4">
        <f>Person1!FZ19+Person2!FZ19</f>
        <v>0</v>
      </c>
      <c r="W19" s="4">
        <f>Person1!GA19+Person2!GA19</f>
        <v>0</v>
      </c>
      <c r="X19" s="4">
        <f>Person1!GB19+Person2!GB19</f>
        <v>0</v>
      </c>
      <c r="Y19" s="4">
        <f ca="1">Person1!GC19+Person2!GC19</f>
        <v>0</v>
      </c>
      <c r="Z19" s="4">
        <f ca="1">Person1!GD19+Person2!GD19</f>
        <v>0</v>
      </c>
      <c r="AA19" s="4">
        <f ca="1">Person1!GE19+Person2!GE19</f>
        <v>0</v>
      </c>
      <c r="AB19" s="4">
        <f ca="1">Person1!GF19+Person2!GF19</f>
        <v>0</v>
      </c>
      <c r="AC19" s="4" t="e">
        <f ca="1">Person1!GG19+Person2!GG19</f>
        <v>#NAME?</v>
      </c>
      <c r="AD19" s="4" t="e">
        <f ca="1">Person1!GH19+Person2!GH19</f>
        <v>#NAME?</v>
      </c>
      <c r="AF19" s="4">
        <f>Person1!GJ19</f>
        <v>2029</v>
      </c>
      <c r="AG19" s="4">
        <f ca="1">Person1!GK19+Person2!GK19</f>
        <v>218.47011658816928</v>
      </c>
      <c r="AH19" s="4">
        <f ca="1">Person1!GL19+Person2!GL19</f>
        <v>34.13614056569768</v>
      </c>
      <c r="AI19" s="4">
        <f ca="1">Person1!GM19+Person2!GM19</f>
        <v>92.753974797306853</v>
      </c>
      <c r="AJ19" s="4">
        <f ca="1">Person1!GN19+Person2!GN19</f>
        <v>0</v>
      </c>
    </row>
    <row r="20" spans="1:36" x14ac:dyDescent="0.25">
      <c r="A20" s="15"/>
      <c r="D20">
        <f>Person1!D20</f>
        <v>2030</v>
      </c>
      <c r="E20" s="2" t="str">
        <f>TEXT(Person1!E20,"0")&amp;" / "&amp;TEXT(Person2!E20,"0")</f>
        <v>35 / 35</v>
      </c>
      <c r="F20" s="18" t="e">
        <f ca="1">Person1!V20+Person2!V20</f>
        <v>#NAME?</v>
      </c>
      <c r="G20" s="18" t="e">
        <f ca="1">Person1!W20+Person2!W20</f>
        <v>#NAME?</v>
      </c>
      <c r="H20" s="18">
        <f>Person1!X20+Person2!X20</f>
        <v>0</v>
      </c>
      <c r="I20" s="18">
        <f ca="1">Person1!Y20+Person2!Y20</f>
        <v>15.786151246436319</v>
      </c>
      <c r="J20" s="18">
        <f ca="1">Person1!Z20+Person2!Z20</f>
        <v>2.557521297247292</v>
      </c>
      <c r="K20" s="18">
        <f ca="1">Person1!AA20+Person2!AA20</f>
        <v>9.557457742829623</v>
      </c>
      <c r="L20" s="18">
        <f ca="1">Person1!AB20+Person2!AB20</f>
        <v>2.7468200895079975</v>
      </c>
      <c r="M20" s="18">
        <f ca="1">Person1!AC20+Person2!AC20</f>
        <v>240.24629337265006</v>
      </c>
      <c r="N20" s="18">
        <f ca="1">Person1!AD20+Person2!AD20</f>
        <v>37.635287429004663</v>
      </c>
      <c r="O20" s="18">
        <f ca="1">Person1!AE20+Person2!AE20</f>
        <v>106.90151850649994</v>
      </c>
      <c r="P20" s="18">
        <f ca="1">Person1!AF20+Person2!AF20</f>
        <v>0</v>
      </c>
      <c r="Q20" s="18">
        <f ca="1">Person1!AG20+Person2!AG20</f>
        <v>384.78309930815465</v>
      </c>
      <c r="R20" s="18"/>
      <c r="T20" s="4">
        <f>Person1!FX20</f>
        <v>2030</v>
      </c>
      <c r="U20" s="4">
        <f>Person1!FY20+Person2!FY20</f>
        <v>133.44330092809375</v>
      </c>
      <c r="V20" s="4">
        <f>Person1!FZ20+Person2!FZ20</f>
        <v>0</v>
      </c>
      <c r="W20" s="4">
        <f>Person1!GA20+Person2!GA20</f>
        <v>0</v>
      </c>
      <c r="X20" s="4">
        <f>Person1!GB20+Person2!GB20</f>
        <v>0</v>
      </c>
      <c r="Y20" s="4">
        <f ca="1">Person1!GC20+Person2!GC20</f>
        <v>0</v>
      </c>
      <c r="Z20" s="4">
        <f ca="1">Person1!GD20+Person2!GD20</f>
        <v>0</v>
      </c>
      <c r="AA20" s="4">
        <f ca="1">Person1!GE20+Person2!GE20</f>
        <v>0</v>
      </c>
      <c r="AB20" s="4">
        <f ca="1">Person1!GF20+Person2!GF20</f>
        <v>0</v>
      </c>
      <c r="AC20" s="4" t="e">
        <f ca="1">Person1!GG20+Person2!GG20</f>
        <v>#NAME?</v>
      </c>
      <c r="AD20" s="4" t="e">
        <f ca="1">Person1!GH20+Person2!GH20</f>
        <v>#NAME?</v>
      </c>
      <c r="AF20" s="4">
        <f>Person1!GJ20</f>
        <v>2030</v>
      </c>
      <c r="AG20" s="4">
        <f ca="1">Person1!GK20+Person2!GK20</f>
        <v>240.24629337265006</v>
      </c>
      <c r="AH20" s="4">
        <f ca="1">Person1!GL20+Person2!GL20</f>
        <v>37.635287429004663</v>
      </c>
      <c r="AI20" s="4">
        <f ca="1">Person1!GM20+Person2!GM20</f>
        <v>106.90151850649994</v>
      </c>
      <c r="AJ20" s="4">
        <f ca="1">Person1!GN20+Person2!GN20</f>
        <v>0</v>
      </c>
    </row>
    <row r="21" spans="1:36" x14ac:dyDescent="0.25">
      <c r="D21">
        <f>Person1!D21</f>
        <v>2031</v>
      </c>
      <c r="E21" s="2" t="str">
        <f>TEXT(Person1!E21,"0")&amp;" / "&amp;TEXT(Person2!E21,"0")</f>
        <v>36 / 36</v>
      </c>
      <c r="F21" s="18" t="e">
        <f ca="1">Person1!V21+Person2!V21</f>
        <v>#NAME?</v>
      </c>
      <c r="G21" s="18" t="e">
        <f ca="1">Person1!W21+Person2!W21</f>
        <v>#NAME?</v>
      </c>
      <c r="H21" s="18">
        <f>Person1!X21+Person2!X21</f>
        <v>0</v>
      </c>
      <c r="I21" s="18">
        <f ca="1">Person1!Y21+Person2!Y21</f>
        <v>15.915843696918564</v>
      </c>
      <c r="J21" s="18">
        <f ca="1">Person1!Z21+Person2!Z21</f>
        <v>2.5700581663514455</v>
      </c>
      <c r="K21" s="18">
        <f ca="1">Person1!AA21+Person2!AA21</f>
        <v>8.6260124336978592</v>
      </c>
      <c r="L21" s="18">
        <f ca="1">Person1!AB21+Person2!AB21</f>
        <v>4.3190336638042703</v>
      </c>
      <c r="M21" s="18">
        <f ca="1">Person1!AC21+Person2!AC21</f>
        <v>262.78897969384207</v>
      </c>
      <c r="N21" s="18">
        <f ca="1">Person1!AD21+Person2!AD21</f>
        <v>41.249581468335471</v>
      </c>
      <c r="O21" s="18">
        <f ca="1">Person1!AE21+Person2!AE21</f>
        <v>119.41573742613194</v>
      </c>
      <c r="P21" s="18">
        <f ca="1">Person1!AF21+Person2!AF21</f>
        <v>2.6929608720666645</v>
      </c>
      <c r="Q21" s="18">
        <f ca="1">Person1!AG21+Person2!AG21</f>
        <v>426.14725946037612</v>
      </c>
      <c r="R21" s="18"/>
      <c r="T21" s="4">
        <f>Person1!FX21</f>
        <v>2031</v>
      </c>
      <c r="U21" s="4">
        <f>Person1!FY21+Person2!FY21</f>
        <v>134.54262076584899</v>
      </c>
      <c r="V21" s="4">
        <f>Person1!FZ21+Person2!FZ21</f>
        <v>0</v>
      </c>
      <c r="W21" s="4">
        <f>Person1!GA21+Person2!GA21</f>
        <v>0</v>
      </c>
      <c r="X21" s="4">
        <f>Person1!GB21+Person2!GB21</f>
        <v>0</v>
      </c>
      <c r="Y21" s="4">
        <f ca="1">Person1!GC21+Person2!GC21</f>
        <v>0</v>
      </c>
      <c r="Z21" s="4">
        <f ca="1">Person1!GD21+Person2!GD21</f>
        <v>0</v>
      </c>
      <c r="AA21" s="4">
        <f ca="1">Person1!GE21+Person2!GE21</f>
        <v>0</v>
      </c>
      <c r="AB21" s="4">
        <f ca="1">Person1!GF21+Person2!GF21</f>
        <v>0</v>
      </c>
      <c r="AC21" s="4" t="e">
        <f ca="1">Person1!GG21+Person2!GG21</f>
        <v>#NAME?</v>
      </c>
      <c r="AD21" s="4" t="e">
        <f ca="1">Person1!GH21+Person2!GH21</f>
        <v>#NAME?</v>
      </c>
      <c r="AF21" s="4">
        <f>Person1!GJ21</f>
        <v>2031</v>
      </c>
      <c r="AG21" s="4">
        <f ca="1">Person1!GK21+Person2!GK21</f>
        <v>262.78897969384207</v>
      </c>
      <c r="AH21" s="4">
        <f ca="1">Person1!GL21+Person2!GL21</f>
        <v>41.249581468335471</v>
      </c>
      <c r="AI21" s="4">
        <f ca="1">Person1!GM21+Person2!GM21</f>
        <v>119.41573742613194</v>
      </c>
      <c r="AJ21" s="4">
        <f ca="1">Person1!GN21+Person2!GN21</f>
        <v>2.6929608720666645</v>
      </c>
    </row>
    <row r="22" spans="1:36" x14ac:dyDescent="0.25">
      <c r="B22" s="23"/>
      <c r="C22" s="23"/>
      <c r="D22">
        <f>Person1!D22</f>
        <v>2032</v>
      </c>
      <c r="E22" s="2" t="str">
        <f>TEXT(Person1!E22,"0")&amp;" / "&amp;TEXT(Person2!E22,"0")</f>
        <v>37 / 37</v>
      </c>
      <c r="F22" s="18" t="e">
        <f ca="1">Person1!V22+Person2!V22</f>
        <v>#NAME?</v>
      </c>
      <c r="G22" s="18" t="e">
        <f ca="1">Person1!W22+Person2!W22</f>
        <v>#NAME?</v>
      </c>
      <c r="H22" s="18">
        <f>Person1!X22+Person2!X22</f>
        <v>0</v>
      </c>
      <c r="I22" s="18">
        <f ca="1">Person1!Y22+Person2!Y22</f>
        <v>16.046684731531965</v>
      </c>
      <c r="J22" s="18">
        <f ca="1">Person1!Z22+Person2!Z22</f>
        <v>2.5826564906963054</v>
      </c>
      <c r="K22" s="18">
        <f ca="1">Person1!AA22+Person2!AA22</f>
        <v>8.6314000174311971</v>
      </c>
      <c r="L22" s="18">
        <f ca="1">Person1!AB22+Person2!AB22</f>
        <v>4.9474164590931506</v>
      </c>
      <c r="M22" s="18">
        <f ca="1">Person1!AC22+Person2!AC22</f>
        <v>286.12183566220858</v>
      </c>
      <c r="N22" s="18">
        <f ca="1">Person1!AD22+Person2!AD22</f>
        <v>44.98246932167028</v>
      </c>
      <c r="O22" s="18">
        <f ca="1">Person1!AE22+Person2!AE22</f>
        <v>131.38483993248664</v>
      </c>
      <c r="P22" s="18">
        <f ca="1">Person1!AF22+Person2!AF22</f>
        <v>7.0065123328179082</v>
      </c>
      <c r="Q22" s="18">
        <f ca="1">Person1!AG22+Person2!AG22</f>
        <v>469.4956572491833</v>
      </c>
      <c r="R22" s="18"/>
      <c r="T22" s="4">
        <f>Person1!FX22</f>
        <v>2032</v>
      </c>
      <c r="U22" s="4">
        <f>Person1!FY22+Person2!FY22</f>
        <v>135.65169399506061</v>
      </c>
      <c r="V22" s="4">
        <f>Person1!FZ22+Person2!FZ22</f>
        <v>0</v>
      </c>
      <c r="W22" s="4">
        <f>Person1!GA22+Person2!GA22</f>
        <v>0</v>
      </c>
      <c r="X22" s="4">
        <f>Person1!GB22+Person2!GB22</f>
        <v>0</v>
      </c>
      <c r="Y22" s="4">
        <f ca="1">Person1!GC22+Person2!GC22</f>
        <v>0</v>
      </c>
      <c r="Z22" s="4">
        <f ca="1">Person1!GD22+Person2!GD22</f>
        <v>0</v>
      </c>
      <c r="AA22" s="4">
        <f ca="1">Person1!GE22+Person2!GE22</f>
        <v>0</v>
      </c>
      <c r="AB22" s="4">
        <f ca="1">Person1!GF22+Person2!GF22</f>
        <v>0</v>
      </c>
      <c r="AC22" s="4" t="e">
        <f ca="1">Person1!GG22+Person2!GG22</f>
        <v>#NAME?</v>
      </c>
      <c r="AD22" s="4" t="e">
        <f ca="1">Person1!GH22+Person2!GH22</f>
        <v>#NAME?</v>
      </c>
      <c r="AF22" s="4">
        <f>Person1!GJ22</f>
        <v>2032</v>
      </c>
      <c r="AG22" s="4">
        <f ca="1">Person1!GK22+Person2!GK22</f>
        <v>286.12183566220858</v>
      </c>
      <c r="AH22" s="4">
        <f ca="1">Person1!GL22+Person2!GL22</f>
        <v>44.98246932167028</v>
      </c>
      <c r="AI22" s="4">
        <f ca="1">Person1!GM22+Person2!GM22</f>
        <v>131.38483993248664</v>
      </c>
      <c r="AJ22" s="4">
        <f ca="1">Person1!GN22+Person2!GN22</f>
        <v>7.0065123328179082</v>
      </c>
    </row>
    <row r="23" spans="1:36" x14ac:dyDescent="0.25">
      <c r="B23" s="24"/>
      <c r="C23" s="24"/>
      <c r="D23">
        <f>Person1!D23</f>
        <v>2033</v>
      </c>
      <c r="E23" s="2" t="str">
        <f>TEXT(Person1!E23,"0")&amp;" / "&amp;TEXT(Person2!E23,"0")</f>
        <v>38 / 38</v>
      </c>
      <c r="F23" s="18" t="e">
        <f ca="1">Person1!V23+Person2!V23</f>
        <v>#NAME?</v>
      </c>
      <c r="G23" s="18" t="e">
        <f ca="1">Person1!W23+Person2!W23</f>
        <v>#NAME?</v>
      </c>
      <c r="H23" s="18">
        <f>Person1!X23+Person2!X23</f>
        <v>0</v>
      </c>
      <c r="I23" s="18">
        <f ca="1">Person1!Y23+Person2!Y23</f>
        <v>16.178685008402901</v>
      </c>
      <c r="J23" s="18">
        <f ca="1">Person1!Z23+Person2!Z23</f>
        <v>2.5953165715330515</v>
      </c>
      <c r="K23" s="18">
        <f ca="1">Person1!AA23+Person2!AA23</f>
        <v>8.6395930089040949</v>
      </c>
      <c r="L23" s="18">
        <f ca="1">Person1!AB23+Person2!AB23</f>
        <v>5.5730745498251464</v>
      </c>
      <c r="M23" s="18">
        <f ca="1">Person1!AC23+Person2!AC23</f>
        <v>310.26922762436368</v>
      </c>
      <c r="N23" s="18">
        <f ca="1">Person1!AD23+Person2!AD23</f>
        <v>48.837499292598132</v>
      </c>
      <c r="O23" s="18">
        <f ca="1">Person1!AE23+Person2!AE23</f>
        <v>143.71125681033547</v>
      </c>
      <c r="P23" s="18">
        <f ca="1">Person1!AF23+Person2!AF23</f>
        <v>12.062994518188191</v>
      </c>
      <c r="Q23" s="18">
        <f ca="1">Person1!AG23+Person2!AG23</f>
        <v>514.88097824548549</v>
      </c>
      <c r="R23" s="18"/>
      <c r="T23" s="4">
        <f>Person1!FX23</f>
        <v>2033</v>
      </c>
      <c r="U23" s="4">
        <f>Person1!FY23+Person2!FY23</f>
        <v>136.77061121636052</v>
      </c>
      <c r="V23" s="4">
        <f>Person1!FZ23+Person2!FZ23</f>
        <v>0</v>
      </c>
      <c r="W23" s="4">
        <f>Person1!GA23+Person2!GA23</f>
        <v>0</v>
      </c>
      <c r="X23" s="4">
        <f>Person1!GB23+Person2!GB23</f>
        <v>0</v>
      </c>
      <c r="Y23" s="4">
        <f ca="1">Person1!GC23+Person2!GC23</f>
        <v>0</v>
      </c>
      <c r="Z23" s="4">
        <f ca="1">Person1!GD23+Person2!GD23</f>
        <v>0</v>
      </c>
      <c r="AA23" s="4">
        <f ca="1">Person1!GE23+Person2!GE23</f>
        <v>0</v>
      </c>
      <c r="AB23" s="4">
        <f ca="1">Person1!GF23+Person2!GF23</f>
        <v>0</v>
      </c>
      <c r="AC23" s="4" t="e">
        <f ca="1">Person1!GG23+Person2!GG23</f>
        <v>#NAME?</v>
      </c>
      <c r="AD23" s="4" t="e">
        <f ca="1">Person1!GH23+Person2!GH23</f>
        <v>#NAME?</v>
      </c>
      <c r="AF23" s="4">
        <f>Person1!GJ23</f>
        <v>2033</v>
      </c>
      <c r="AG23" s="4">
        <f ca="1">Person1!GK23+Person2!GK23</f>
        <v>310.26922762436368</v>
      </c>
      <c r="AH23" s="4">
        <f ca="1">Person1!GL23+Person2!GL23</f>
        <v>48.837499292598132</v>
      </c>
      <c r="AI23" s="4">
        <f ca="1">Person1!GM23+Person2!GM23</f>
        <v>143.71125681033547</v>
      </c>
      <c r="AJ23" s="4">
        <f ca="1">Person1!GN23+Person2!GN23</f>
        <v>12.062994518188191</v>
      </c>
    </row>
    <row r="24" spans="1:36" x14ac:dyDescent="0.25">
      <c r="D24">
        <f>Person1!D24</f>
        <v>2034</v>
      </c>
      <c r="E24" s="2" t="str">
        <f>TEXT(Person1!E24,"0")&amp;" / "&amp;TEXT(Person2!E24,"0")</f>
        <v>39 / 39</v>
      </c>
      <c r="F24" s="18" t="e">
        <f ca="1">Person1!V24+Person2!V24</f>
        <v>#NAME?</v>
      </c>
      <c r="G24" s="18" t="e">
        <f ca="1">Person1!W24+Person2!W24</f>
        <v>#NAME?</v>
      </c>
      <c r="H24" s="18">
        <f>Person1!X24+Person2!X24</f>
        <v>0</v>
      </c>
      <c r="I24" s="18">
        <f ca="1">Person1!Y24+Person2!Y24</f>
        <v>16.311855287195741</v>
      </c>
      <c r="J24" s="18">
        <f ca="1">Person1!Z24+Person2!Z24</f>
        <v>2.6080387115895856</v>
      </c>
      <c r="K24" s="18">
        <f ca="1">Person1!AA24+Person2!AA24</f>
        <v>9.0076319511905893</v>
      </c>
      <c r="L24" s="18">
        <f ca="1">Person1!AB24+Person2!AB24</f>
        <v>5.8388690115720632</v>
      </c>
      <c r="M24" s="18">
        <f ca="1">Person1!AC24+Person2!AC24</f>
        <v>335.25624903331834</v>
      </c>
      <c r="N24" s="18">
        <f ca="1">Person1!AD24+Person2!AD24</f>
        <v>52.818324341922647</v>
      </c>
      <c r="O24" s="18">
        <f ca="1">Person1!AE24+Person2!AE24</f>
        <v>156.40824770564348</v>
      </c>
      <c r="P24" s="18">
        <f ca="1">Person1!AF24+Person2!AF24</f>
        <v>17.881587052865434</v>
      </c>
      <c r="Q24" s="18">
        <f ca="1">Person1!AG24+Person2!AG24</f>
        <v>562.36440813374986</v>
      </c>
      <c r="R24" s="18"/>
      <c r="T24" s="4">
        <f>Person1!FX24</f>
        <v>2034</v>
      </c>
      <c r="U24" s="4">
        <f>Person1!FY24+Person2!FY24</f>
        <v>137.89946389401001</v>
      </c>
      <c r="V24" s="4">
        <f>Person1!FZ24+Person2!FZ24</f>
        <v>0</v>
      </c>
      <c r="W24" s="4">
        <f>Person1!GA24+Person2!GA24</f>
        <v>0</v>
      </c>
      <c r="X24" s="4">
        <f>Person1!GB24+Person2!GB24</f>
        <v>0</v>
      </c>
      <c r="Y24" s="4">
        <f ca="1">Person1!GC24+Person2!GC24</f>
        <v>0</v>
      </c>
      <c r="Z24" s="4">
        <f ca="1">Person1!GD24+Person2!GD24</f>
        <v>0</v>
      </c>
      <c r="AA24" s="4">
        <f ca="1">Person1!GE24+Person2!GE24</f>
        <v>0</v>
      </c>
      <c r="AB24" s="4">
        <f ca="1">Person1!GF24+Person2!GF24</f>
        <v>0</v>
      </c>
      <c r="AC24" s="4" t="e">
        <f ca="1">Person1!GG24+Person2!GG24</f>
        <v>#NAME?</v>
      </c>
      <c r="AD24" s="4" t="e">
        <f ca="1">Person1!GH24+Person2!GH24</f>
        <v>#NAME?</v>
      </c>
      <c r="AF24" s="4">
        <f>Person1!GJ24</f>
        <v>2034</v>
      </c>
      <c r="AG24" s="4">
        <f ca="1">Person1!GK24+Person2!GK24</f>
        <v>335.25624903331834</v>
      </c>
      <c r="AH24" s="4">
        <f ca="1">Person1!GL24+Person2!GL24</f>
        <v>52.818324341922647</v>
      </c>
      <c r="AI24" s="4">
        <f ca="1">Person1!GM24+Person2!GM24</f>
        <v>156.40824770564348</v>
      </c>
      <c r="AJ24" s="4">
        <f ca="1">Person1!GN24+Person2!GN24</f>
        <v>17.881587052865434</v>
      </c>
    </row>
    <row r="25" spans="1:36" x14ac:dyDescent="0.25">
      <c r="D25">
        <f>Person1!D25</f>
        <v>2035</v>
      </c>
      <c r="E25" s="2" t="str">
        <f>TEXT(Person1!E25,"0")&amp;" / "&amp;TEXT(Person2!E25,"0")</f>
        <v>40 / 40</v>
      </c>
      <c r="F25" s="18" t="e">
        <f ca="1">Person1!V25+Person2!V25</f>
        <v>#NAME?</v>
      </c>
      <c r="G25" s="18" t="e">
        <f ca="1">Person1!W25+Person2!W25</f>
        <v>#NAME?</v>
      </c>
      <c r="H25" s="18">
        <f>Person1!X25+Person2!X25</f>
        <v>0</v>
      </c>
      <c r="I25" s="18">
        <f ca="1">Person1!Y25+Person2!Y25</f>
        <v>16.446206430093842</v>
      </c>
      <c r="J25" s="18">
        <f ca="1">Person1!Z25+Person2!Z25</f>
        <v>2.6208232150777699</v>
      </c>
      <c r="K25" s="18">
        <f ca="1">Person1!AA25+Person2!AA25</f>
        <v>9.0143128186552524</v>
      </c>
      <c r="L25" s="18">
        <f ca="1">Person1!AB25+Person2!AB25</f>
        <v>6.4687037042229756</v>
      </c>
      <c r="M25" s="18">
        <f ca="1">Person1!AC25+Person2!AC25</f>
        <v>361.10874193350975</v>
      </c>
      <c r="N25" s="18">
        <f ca="1">Person1!AD25+Person2!AD25</f>
        <v>56.928705167263097</v>
      </c>
      <c r="O25" s="18">
        <f ca="1">Person1!AE25+Person2!AE25</f>
        <v>169.83950200207474</v>
      </c>
      <c r="P25" s="18">
        <f ca="1">Person1!AF25+Person2!AF25</f>
        <v>24.131897467726244</v>
      </c>
      <c r="Q25" s="18">
        <f ca="1">Person1!AG25+Person2!AG25</f>
        <v>612.00884657057384</v>
      </c>
      <c r="R25" s="18"/>
      <c r="T25" s="4">
        <f>Person1!FX25</f>
        <v>2035</v>
      </c>
      <c r="U25" s="4">
        <f>Person1!FY25+Person2!FY25</f>
        <v>139.03834436424626</v>
      </c>
      <c r="V25" s="4">
        <f>Person1!FZ25+Person2!FZ25</f>
        <v>0</v>
      </c>
      <c r="W25" s="4">
        <f>Person1!GA25+Person2!GA25</f>
        <v>0</v>
      </c>
      <c r="X25" s="4">
        <f>Person1!GB25+Person2!GB25</f>
        <v>0</v>
      </c>
      <c r="Y25" s="4">
        <f ca="1">Person1!GC25+Person2!GC25</f>
        <v>0</v>
      </c>
      <c r="Z25" s="4">
        <f ca="1">Person1!GD25+Person2!GD25</f>
        <v>0</v>
      </c>
      <c r="AA25" s="4">
        <f ca="1">Person1!GE25+Person2!GE25</f>
        <v>0</v>
      </c>
      <c r="AB25" s="4">
        <f ca="1">Person1!GF25+Person2!GF25</f>
        <v>0</v>
      </c>
      <c r="AC25" s="4" t="e">
        <f ca="1">Person1!GG25+Person2!GG25</f>
        <v>#NAME?</v>
      </c>
      <c r="AD25" s="4" t="e">
        <f ca="1">Person1!GH25+Person2!GH25</f>
        <v>#NAME?</v>
      </c>
      <c r="AF25" s="4">
        <f>Person1!GJ25</f>
        <v>2035</v>
      </c>
      <c r="AG25" s="4">
        <f ca="1">Person1!GK25+Person2!GK25</f>
        <v>361.10874193350975</v>
      </c>
      <c r="AH25" s="4">
        <f ca="1">Person1!GL25+Person2!GL25</f>
        <v>56.928705167263097</v>
      </c>
      <c r="AI25" s="4">
        <f ca="1">Person1!GM25+Person2!GM25</f>
        <v>169.83950200207474</v>
      </c>
      <c r="AJ25" s="4">
        <f ca="1">Person1!GN25+Person2!GN25</f>
        <v>24.131897467726244</v>
      </c>
    </row>
    <row r="26" spans="1:36" x14ac:dyDescent="0.25">
      <c r="D26">
        <f>Person1!D26</f>
        <v>2036</v>
      </c>
      <c r="E26" s="2" t="str">
        <f>TEXT(Person1!E26,"0")&amp;" / "&amp;TEXT(Person2!E26,"0")</f>
        <v>41 / 41</v>
      </c>
      <c r="F26" s="18" t="e">
        <f ca="1">Person1!V26+Person2!V26</f>
        <v>#NAME?</v>
      </c>
      <c r="G26" s="18" t="e">
        <f ca="1">Person1!W26+Person2!W26</f>
        <v>#NAME?</v>
      </c>
      <c r="H26" s="18">
        <f>Person1!X26+Person2!X26</f>
        <v>0</v>
      </c>
      <c r="I26" s="18">
        <f ca="1">Person1!Y26+Person2!Y26</f>
        <v>16.581749402790077</v>
      </c>
      <c r="J26" s="18">
        <f ca="1">Person1!Z26+Person2!Z26</f>
        <v>2.6336703877007004</v>
      </c>
      <c r="K26" s="18">
        <f ca="1">Person1!AA26+Person2!AA26</f>
        <v>9.0238167550577426</v>
      </c>
      <c r="L26" s="18">
        <f ca="1">Person1!AB26+Person2!AB26</f>
        <v>7.0954957494380642</v>
      </c>
      <c r="M26" s="18">
        <f ca="1">Person1!AC26+Person2!AC26</f>
        <v>387.853319078705</v>
      </c>
      <c r="N26" s="18">
        <f ca="1">Person1!AD26+Person2!AD26</f>
        <v>61.172513373239234</v>
      </c>
      <c r="O26" s="18">
        <f ca="1">Person1!AE26+Person2!AE26</f>
        <v>183.67234305964092</v>
      </c>
      <c r="P26" s="18">
        <f ca="1">Person1!AF26+Person2!AF26</f>
        <v>31.18352553464268</v>
      </c>
      <c r="Q26" s="18">
        <f ca="1">Person1!AG26+Person2!AG26</f>
        <v>663.88170104622782</v>
      </c>
      <c r="R26" s="18"/>
      <c r="T26" s="4">
        <f>Person1!FX26</f>
        <v>2036</v>
      </c>
      <c r="U26" s="4">
        <f>Person1!FY26+Person2!FY26</f>
        <v>140.18734584370964</v>
      </c>
      <c r="V26" s="4">
        <f>Person1!FZ26+Person2!FZ26</f>
        <v>0</v>
      </c>
      <c r="W26" s="4">
        <f>Person1!GA26+Person2!GA26</f>
        <v>0</v>
      </c>
      <c r="X26" s="4">
        <f>Person1!GB26+Person2!GB26</f>
        <v>0</v>
      </c>
      <c r="Y26" s="4">
        <f ca="1">Person1!GC26+Person2!GC26</f>
        <v>0</v>
      </c>
      <c r="Z26" s="4">
        <f ca="1">Person1!GD26+Person2!GD26</f>
        <v>0</v>
      </c>
      <c r="AA26" s="4">
        <f ca="1">Person1!GE26+Person2!GE26</f>
        <v>0</v>
      </c>
      <c r="AB26" s="4">
        <f ca="1">Person1!GF26+Person2!GF26</f>
        <v>0</v>
      </c>
      <c r="AC26" s="4" t="e">
        <f ca="1">Person1!GG26+Person2!GG26</f>
        <v>#NAME?</v>
      </c>
      <c r="AD26" s="4" t="e">
        <f ca="1">Person1!GH26+Person2!GH26</f>
        <v>#NAME?</v>
      </c>
      <c r="AF26" s="4">
        <f>Person1!GJ26</f>
        <v>2036</v>
      </c>
      <c r="AG26" s="4">
        <f ca="1">Person1!GK26+Person2!GK26</f>
        <v>387.853319078705</v>
      </c>
      <c r="AH26" s="4">
        <f ca="1">Person1!GL26+Person2!GL26</f>
        <v>61.172513373239234</v>
      </c>
      <c r="AI26" s="4">
        <f ca="1">Person1!GM26+Person2!GM26</f>
        <v>183.67234305964092</v>
      </c>
      <c r="AJ26" s="4">
        <f ca="1">Person1!GN26+Person2!GN26</f>
        <v>31.18352553464268</v>
      </c>
    </row>
    <row r="27" spans="1:36" x14ac:dyDescent="0.25">
      <c r="A27" s="15"/>
      <c r="D27">
        <f>Person1!D27</f>
        <v>2037</v>
      </c>
      <c r="E27" s="2" t="str">
        <f>TEXT(Person1!E27,"0")&amp;" / "&amp;TEXT(Person2!E27,"0")</f>
        <v>42 / 42</v>
      </c>
      <c r="F27" s="18" t="e">
        <f ca="1">Person1!V27+Person2!V27</f>
        <v>#NAME?</v>
      </c>
      <c r="G27" s="18" t="e">
        <f ca="1">Person1!W27+Person2!W27</f>
        <v>#NAME?</v>
      </c>
      <c r="H27" s="18">
        <f>Person1!X27+Person2!X27</f>
        <v>0</v>
      </c>
      <c r="I27" s="18">
        <f ca="1">Person1!Y27+Person2!Y27</f>
        <v>16.71849527548703</v>
      </c>
      <c r="J27" s="18">
        <f ca="1">Person1!Z27+Person2!Z27</f>
        <v>2.646580536660017</v>
      </c>
      <c r="K27" s="18">
        <f ca="1">Person1!AA27+Person2!AA27</f>
        <v>9.3725885533765254</v>
      </c>
      <c r="L27" s="18">
        <f ca="1">Person1!AB27+Person2!AB27</f>
        <v>7.3826923833344713</v>
      </c>
      <c r="M27" s="18">
        <f ca="1">Person1!AC27+Person2!AC27</f>
        <v>415.51738670140224</v>
      </c>
      <c r="N27" s="18">
        <f ca="1">Person1!AD27+Person2!AD27</f>
        <v>65.553734734903813</v>
      </c>
      <c r="O27" s="18">
        <f ca="1">Person1!AE27+Person2!AE27</f>
        <v>197.92134996831442</v>
      </c>
      <c r="P27" s="18">
        <f ca="1">Person1!AF27+Person2!AF27</f>
        <v>39.057056432169489</v>
      </c>
      <c r="Q27" s="18">
        <f ca="1">Person1!AG27+Person2!AG27</f>
        <v>718.04952783678993</v>
      </c>
      <c r="R27" s="18"/>
      <c r="T27" s="4">
        <f>Person1!FX27</f>
        <v>2037</v>
      </c>
      <c r="U27" s="4">
        <f>Person1!FY27+Person2!FY27</f>
        <v>141.34656243795345</v>
      </c>
      <c r="V27" s="4">
        <f>Person1!FZ27+Person2!FZ27</f>
        <v>0</v>
      </c>
      <c r="W27" s="4">
        <f>Person1!GA27+Person2!GA27</f>
        <v>0</v>
      </c>
      <c r="X27" s="4">
        <f>Person1!GB27+Person2!GB27</f>
        <v>0</v>
      </c>
      <c r="Y27" s="4">
        <f ca="1">Person1!GC27+Person2!GC27</f>
        <v>0</v>
      </c>
      <c r="Z27" s="4">
        <f ca="1">Person1!GD27+Person2!GD27</f>
        <v>0</v>
      </c>
      <c r="AA27" s="4">
        <f ca="1">Person1!GE27+Person2!GE27</f>
        <v>0</v>
      </c>
      <c r="AB27" s="4">
        <f ca="1">Person1!GF27+Person2!GF27</f>
        <v>0</v>
      </c>
      <c r="AC27" s="4" t="e">
        <f ca="1">Person1!GG27+Person2!GG27</f>
        <v>#NAME?</v>
      </c>
      <c r="AD27" s="4" t="e">
        <f ca="1">Person1!GH27+Person2!GH27</f>
        <v>#NAME?</v>
      </c>
      <c r="AF27" s="4">
        <f>Person1!GJ27</f>
        <v>2037</v>
      </c>
      <c r="AG27" s="4">
        <f ca="1">Person1!GK27+Person2!GK27</f>
        <v>415.51738670140224</v>
      </c>
      <c r="AH27" s="4">
        <f ca="1">Person1!GL27+Person2!GL27</f>
        <v>65.553734734903813</v>
      </c>
      <c r="AI27" s="4">
        <f ca="1">Person1!GM27+Person2!GM27</f>
        <v>197.92134996831442</v>
      </c>
      <c r="AJ27" s="4">
        <f ca="1">Person1!GN27+Person2!GN27</f>
        <v>39.057056432169489</v>
      </c>
    </row>
    <row r="28" spans="1:36" x14ac:dyDescent="0.25">
      <c r="B28" s="4"/>
      <c r="C28" s="4"/>
      <c r="D28">
        <f>Person1!D28</f>
        <v>2038</v>
      </c>
      <c r="E28" s="2" t="str">
        <f>TEXT(Person1!E28,"0")&amp;" / "&amp;TEXT(Person2!E28,"0")</f>
        <v>43 / 43</v>
      </c>
      <c r="F28" s="18" t="e">
        <f ca="1">Person1!V28+Person2!V28</f>
        <v>#NAME?</v>
      </c>
      <c r="G28" s="18" t="e">
        <f ca="1">Person1!W28+Person2!W28</f>
        <v>#NAME?</v>
      </c>
      <c r="H28" s="18">
        <f>Person1!X28+Person2!X28</f>
        <v>0</v>
      </c>
      <c r="I28" s="18">
        <f ca="1">Person1!Y28+Person2!Y28</f>
        <v>16.856455223906899</v>
      </c>
      <c r="J28" s="18">
        <f ca="1">Person1!Z28+Person2!Z28</f>
        <v>2.6595539706632518</v>
      </c>
      <c r="K28" s="18">
        <f ca="1">Person1!AA28+Person2!AA28</f>
        <v>9.3810191211868457</v>
      </c>
      <c r="L28" s="18">
        <f ca="1">Person1!AB28+Person2!AB28</f>
        <v>8.0124311039418377</v>
      </c>
      <c r="M28" s="18">
        <f ca="1">Person1!AC28+Person2!AC28</f>
        <v>444.12916795290141</v>
      </c>
      <c r="N28" s="18">
        <f ca="1">Person1!AD28+Person2!AD28</f>
        <v>70.076472557165701</v>
      </c>
      <c r="O28" s="18">
        <f ca="1">Person1!AE28+Person2!AE28</f>
        <v>212.93137845108498</v>
      </c>
      <c r="P28" s="18">
        <f ca="1">Person1!AF28+Person2!AF28</f>
        <v>47.443727095208267</v>
      </c>
      <c r="Q28" s="18">
        <f ca="1">Person1!AG28+Person2!AG28</f>
        <v>774.58074605636045</v>
      </c>
      <c r="R28" s="18"/>
      <c r="T28" s="4">
        <f>Person1!FX28</f>
        <v>2038</v>
      </c>
      <c r="U28" s="4">
        <f>Person1!FY28+Person2!FY28</f>
        <v>142.51608915003629</v>
      </c>
      <c r="V28" s="4">
        <f>Person1!FZ28+Person2!FZ28</f>
        <v>0</v>
      </c>
      <c r="W28" s="4">
        <f>Person1!GA28+Person2!GA28</f>
        <v>0</v>
      </c>
      <c r="X28" s="4">
        <f>Person1!GB28+Person2!GB28</f>
        <v>0</v>
      </c>
      <c r="Y28" s="4">
        <f ca="1">Person1!GC28+Person2!GC28</f>
        <v>0</v>
      </c>
      <c r="Z28" s="4">
        <f ca="1">Person1!GD28+Person2!GD28</f>
        <v>0</v>
      </c>
      <c r="AA28" s="4">
        <f ca="1">Person1!GE28+Person2!GE28</f>
        <v>0</v>
      </c>
      <c r="AB28" s="4">
        <f ca="1">Person1!GF28+Person2!GF28</f>
        <v>0</v>
      </c>
      <c r="AC28" s="4" t="e">
        <f ca="1">Person1!GG28+Person2!GG28</f>
        <v>#NAME?</v>
      </c>
      <c r="AD28" s="4" t="e">
        <f ca="1">Person1!GH28+Person2!GH28</f>
        <v>#NAME?</v>
      </c>
      <c r="AF28" s="4">
        <f>Person1!GJ28</f>
        <v>2038</v>
      </c>
      <c r="AG28" s="4">
        <f ca="1">Person1!GK28+Person2!GK28</f>
        <v>444.12916795290141</v>
      </c>
      <c r="AH28" s="4">
        <f ca="1">Person1!GL28+Person2!GL28</f>
        <v>70.076472557165701</v>
      </c>
      <c r="AI28" s="4">
        <f ca="1">Person1!GM28+Person2!GM28</f>
        <v>212.93137845108498</v>
      </c>
      <c r="AJ28" s="4">
        <f ca="1">Person1!GN28+Person2!GN28</f>
        <v>47.443727095208267</v>
      </c>
    </row>
    <row r="29" spans="1:36" x14ac:dyDescent="0.25">
      <c r="B29" s="4"/>
      <c r="C29" s="4"/>
      <c r="D29">
        <f>Person1!D29</f>
        <v>2039</v>
      </c>
      <c r="E29" s="2" t="str">
        <f>TEXT(Person1!E29,"0")&amp;" / "&amp;TEXT(Person2!E29,"0")</f>
        <v>44 / 44</v>
      </c>
      <c r="F29" s="18" t="e">
        <f ca="1">Person1!V29+Person2!V29</f>
        <v>#NAME?</v>
      </c>
      <c r="G29" s="18" t="e">
        <f ca="1">Person1!W29+Person2!W29</f>
        <v>#NAME?</v>
      </c>
      <c r="H29" s="18">
        <f>Person1!X29+Person2!X29</f>
        <v>0</v>
      </c>
      <c r="I29" s="18">
        <f ca="1">Person1!Y29+Person2!Y29</f>
        <v>16.995640530311249</v>
      </c>
      <c r="J29" s="18">
        <f ca="1">Person1!Z29+Person2!Z29</f>
        <v>2.6725909999312085</v>
      </c>
      <c r="K29" s="18">
        <f ca="1">Person1!AA29+Person2!AA29</f>
        <v>9.3922821055368022</v>
      </c>
      <c r="L29" s="18">
        <f ca="1">Person1!AB29+Person2!AB29</f>
        <v>8.6387877317615036</v>
      </c>
      <c r="M29" s="18">
        <f ca="1">Person1!AC29+Person2!AC29</f>
        <v>473.71772703377775</v>
      </c>
      <c r="N29" s="18">
        <f ca="1">Person1!AD29+Person2!AD29</f>
        <v>74.744951133026717</v>
      </c>
      <c r="O29" s="18">
        <f ca="1">Person1!AE29+Person2!AE29</f>
        <v>228.39114362237848</v>
      </c>
      <c r="P29" s="18">
        <f ca="1">Person1!AF29+Person2!AF29</f>
        <v>56.694455445010313</v>
      </c>
      <c r="Q29" s="18">
        <f ca="1">Person1!AG29+Person2!AG29</f>
        <v>833.54827723419316</v>
      </c>
      <c r="R29" s="18"/>
      <c r="T29" s="4">
        <f>Person1!FX29</f>
        <v>2039</v>
      </c>
      <c r="U29" s="4">
        <f>Person1!FY29+Person2!FY29</f>
        <v>143.69602188919816</v>
      </c>
      <c r="V29" s="4">
        <f>Person1!FZ29+Person2!FZ29</f>
        <v>0</v>
      </c>
      <c r="W29" s="4">
        <f>Person1!GA29+Person2!GA29</f>
        <v>0</v>
      </c>
      <c r="X29" s="4">
        <f>Person1!GB29+Person2!GB29</f>
        <v>0</v>
      </c>
      <c r="Y29" s="4">
        <f ca="1">Person1!GC29+Person2!GC29</f>
        <v>0</v>
      </c>
      <c r="Z29" s="4">
        <f ca="1">Person1!GD29+Person2!GD29</f>
        <v>0</v>
      </c>
      <c r="AA29" s="4">
        <f ca="1">Person1!GE29+Person2!GE29</f>
        <v>0</v>
      </c>
      <c r="AB29" s="4">
        <f ca="1">Person1!GF29+Person2!GF29</f>
        <v>0</v>
      </c>
      <c r="AC29" s="4" t="e">
        <f ca="1">Person1!GG29+Person2!GG29</f>
        <v>#NAME?</v>
      </c>
      <c r="AD29" s="4" t="e">
        <f ca="1">Person1!GH29+Person2!GH29</f>
        <v>#NAME?</v>
      </c>
      <c r="AF29" s="4">
        <f>Person1!GJ29</f>
        <v>2039</v>
      </c>
      <c r="AG29" s="4">
        <f ca="1">Person1!GK29+Person2!GK29</f>
        <v>473.71772703377775</v>
      </c>
      <c r="AH29" s="4">
        <f ca="1">Person1!GL29+Person2!GL29</f>
        <v>74.744951133026717</v>
      </c>
      <c r="AI29" s="4">
        <f ca="1">Person1!GM29+Person2!GM29</f>
        <v>228.39114362237848</v>
      </c>
      <c r="AJ29" s="4">
        <f ca="1">Person1!GN29+Person2!GN29</f>
        <v>56.694455445010313</v>
      </c>
    </row>
    <row r="30" spans="1:36" x14ac:dyDescent="0.25">
      <c r="B30" s="4"/>
      <c r="C30" s="4"/>
      <c r="D30">
        <f>Person1!D30</f>
        <v>2040</v>
      </c>
      <c r="E30" s="2" t="str">
        <f>TEXT(Person1!E30,"0")&amp;" / "&amp;TEXT(Person2!E30,"0")</f>
        <v>45 / 45</v>
      </c>
      <c r="F30" s="18" t="e">
        <f ca="1">Person1!V30+Person2!V30</f>
        <v>#NAME?</v>
      </c>
      <c r="G30" s="18" t="e">
        <f ca="1">Person1!W30+Person2!W30</f>
        <v>#NAME?</v>
      </c>
      <c r="H30" s="18">
        <f>Person1!X30+Person2!X30</f>
        <v>0</v>
      </c>
      <c r="I30" s="18">
        <f ca="1">Person1!Y30+Person2!Y30</f>
        <v>17.136062584530663</v>
      </c>
      <c r="J30" s="18">
        <f ca="1">Person1!Z30+Person2!Z30</f>
        <v>2.6856919362053819</v>
      </c>
      <c r="K30" s="18">
        <f ca="1">Person1!AA30+Person2!AA30</f>
        <v>9.723414622410667</v>
      </c>
      <c r="L30" s="18">
        <f ca="1">Person1!AB30+Person2!AB30</f>
        <v>8.9446067793183097</v>
      </c>
      <c r="M30" s="18">
        <f ca="1">Person1!AC30+Person2!AC30</f>
        <v>504.31299403507643</v>
      </c>
      <c r="N30" s="18">
        <f ca="1">Person1!AD30+Person2!AD30</f>
        <v>79.563519303538484</v>
      </c>
      <c r="O30" s="18">
        <f ca="1">Person1!AE30+Person2!AE30</f>
        <v>244.31664991081783</v>
      </c>
      <c r="P30" s="18">
        <f ca="1">Person1!AF30+Person2!AF30</f>
        <v>66.831339165708172</v>
      </c>
      <c r="Q30" s="18">
        <f ca="1">Person1!AG30+Person2!AG30</f>
        <v>895.02450241514089</v>
      </c>
      <c r="R30" s="18"/>
      <c r="T30" s="4">
        <f>Person1!FX30</f>
        <v>2040</v>
      </c>
      <c r="U30" s="4">
        <f>Person1!FY30+Person2!FY30</f>
        <v>144.88645747962079</v>
      </c>
      <c r="V30" s="4">
        <f>Person1!FZ30+Person2!FZ30</f>
        <v>0</v>
      </c>
      <c r="W30" s="4">
        <f>Person1!GA30+Person2!GA30</f>
        <v>0</v>
      </c>
      <c r="X30" s="4">
        <f>Person1!GB30+Person2!GB30</f>
        <v>0</v>
      </c>
      <c r="Y30" s="4">
        <f ca="1">Person1!GC30+Person2!GC30</f>
        <v>0</v>
      </c>
      <c r="Z30" s="4">
        <f ca="1">Person1!GD30+Person2!GD30</f>
        <v>0</v>
      </c>
      <c r="AA30" s="4">
        <f ca="1">Person1!GE30+Person2!GE30</f>
        <v>0</v>
      </c>
      <c r="AB30" s="4">
        <f ca="1">Person1!GF30+Person2!GF30</f>
        <v>0</v>
      </c>
      <c r="AC30" s="4" t="e">
        <f ca="1">Person1!GG30+Person2!GG30</f>
        <v>#NAME?</v>
      </c>
      <c r="AD30" s="4" t="e">
        <f ca="1">Person1!GH30+Person2!GH30</f>
        <v>#NAME?</v>
      </c>
      <c r="AF30" s="4">
        <f>Person1!GJ30</f>
        <v>2040</v>
      </c>
      <c r="AG30" s="4">
        <f ca="1">Person1!GK30+Person2!GK30</f>
        <v>504.31299403507643</v>
      </c>
      <c r="AH30" s="4">
        <f ca="1">Person1!GL30+Person2!GL30</f>
        <v>79.563519303538484</v>
      </c>
      <c r="AI30" s="4">
        <f ca="1">Person1!GM30+Person2!GM30</f>
        <v>244.31664991081783</v>
      </c>
      <c r="AJ30" s="4">
        <f ca="1">Person1!GN30+Person2!GN30</f>
        <v>66.831339165708172</v>
      </c>
    </row>
    <row r="31" spans="1:36" x14ac:dyDescent="0.25">
      <c r="B31" s="4"/>
      <c r="C31" s="4"/>
      <c r="D31">
        <f>Person1!D31</f>
        <v>2041</v>
      </c>
      <c r="E31" s="2" t="str">
        <f>TEXT(Person1!E31,"0")&amp;" / "&amp;TEXT(Person2!E31,"0")</f>
        <v>46 / 46</v>
      </c>
      <c r="F31" s="18" t="e">
        <f ca="1">Person1!V31+Person2!V31</f>
        <v>#NAME?</v>
      </c>
      <c r="G31" s="18" t="e">
        <f ca="1">Person1!W31+Person2!W31</f>
        <v>#NAME?</v>
      </c>
      <c r="H31" s="18">
        <f>Person1!X31+Person2!X31</f>
        <v>0</v>
      </c>
      <c r="I31" s="18">
        <f ca="1">Person1!Y31+Person2!Y31</f>
        <v>17.27773288500444</v>
      </c>
      <c r="J31" s="18">
        <f ca="1">Person1!Z31+Person2!Z31</f>
        <v>2.6988570927554072</v>
      </c>
      <c r="K31" s="18">
        <f ca="1">Person1!AA31+Person2!AA31</f>
        <v>9.7340035692402544</v>
      </c>
      <c r="L31" s="18">
        <f ca="1">Person1!AB31+Person2!AB31</f>
        <v>9.5726668186533654</v>
      </c>
      <c r="M31" s="18">
        <f ca="1">Person1!AC31+Person2!AC31</f>
        <v>535.94579051113806</v>
      </c>
      <c r="N31" s="18">
        <f ca="1">Person1!AD31+Person2!AD31</f>
        <v>84.536654122471376</v>
      </c>
      <c r="O31" s="18">
        <f ca="1">Person1!AE31+Person2!AE31</f>
        <v>261.03519316546021</v>
      </c>
      <c r="P31" s="18">
        <f ca="1">Person1!AF31+Person2!AF31</f>
        <v>77.566189120894009</v>
      </c>
      <c r="Q31" s="18">
        <f ca="1">Person1!AG31+Person2!AG31</f>
        <v>959.08382691996371</v>
      </c>
      <c r="R31" s="18"/>
      <c r="T31" s="4">
        <f>Person1!FX31</f>
        <v>2041</v>
      </c>
      <c r="U31" s="4">
        <f>Person1!FY31+Person2!FY31</f>
        <v>146.08749366927347</v>
      </c>
      <c r="V31" s="4">
        <f>Person1!FZ31+Person2!FZ31</f>
        <v>0</v>
      </c>
      <c r="W31" s="4">
        <f>Person1!GA31+Person2!GA31</f>
        <v>0</v>
      </c>
      <c r="X31" s="4">
        <f>Person1!GB31+Person2!GB31</f>
        <v>0</v>
      </c>
      <c r="Y31" s="4">
        <f ca="1">Person1!GC31+Person2!GC31</f>
        <v>0</v>
      </c>
      <c r="Z31" s="4">
        <f ca="1">Person1!GD31+Person2!GD31</f>
        <v>0</v>
      </c>
      <c r="AA31" s="4">
        <f ca="1">Person1!GE31+Person2!GE31</f>
        <v>0</v>
      </c>
      <c r="AB31" s="4">
        <f ca="1">Person1!GF31+Person2!GF31</f>
        <v>0</v>
      </c>
      <c r="AC31" s="4" t="e">
        <f ca="1">Person1!GG31+Person2!GG31</f>
        <v>#NAME?</v>
      </c>
      <c r="AD31" s="4" t="e">
        <f ca="1">Person1!GH31+Person2!GH31</f>
        <v>#NAME?</v>
      </c>
      <c r="AF31" s="4">
        <f>Person1!GJ31</f>
        <v>2041</v>
      </c>
      <c r="AG31" s="4">
        <f ca="1">Person1!GK31+Person2!GK31</f>
        <v>535.94579051113806</v>
      </c>
      <c r="AH31" s="4">
        <f ca="1">Person1!GL31+Person2!GL31</f>
        <v>84.536654122471376</v>
      </c>
      <c r="AI31" s="4">
        <f ca="1">Person1!GM31+Person2!GM31</f>
        <v>261.03519316546021</v>
      </c>
      <c r="AJ31" s="4">
        <f ca="1">Person1!GN31+Person2!GN31</f>
        <v>77.566189120894009</v>
      </c>
    </row>
    <row r="32" spans="1:36" x14ac:dyDescent="0.25">
      <c r="B32" s="4"/>
      <c r="C32" s="4"/>
      <c r="D32">
        <f>Person1!D32</f>
        <v>2042</v>
      </c>
      <c r="E32" s="2" t="str">
        <f>TEXT(Person1!E32,"0")&amp;" / "&amp;TEXT(Person2!E32,"0")</f>
        <v>47 / 47</v>
      </c>
      <c r="F32" s="18" t="e">
        <f ca="1">Person1!V32+Person2!V32</f>
        <v>#NAME?</v>
      </c>
      <c r="G32" s="18" t="e">
        <f ca="1">Person1!W32+Person2!W32</f>
        <v>#NAME?</v>
      </c>
      <c r="H32" s="18">
        <f>Person1!X32+Person2!X32</f>
        <v>0</v>
      </c>
      <c r="I32" s="18">
        <f ca="1">Person1!Y32+Person2!Y32</f>
        <v>17.420663039830409</v>
      </c>
      <c r="J32" s="18">
        <f ca="1">Person1!Z32+Person2!Z32</f>
        <v>2.7120867843865617</v>
      </c>
      <c r="K32" s="18">
        <f ca="1">Person1!AA32+Person2!AA32</f>
        <v>9.7474269120480894</v>
      </c>
      <c r="L32" s="18">
        <f ca="1">Person1!AB32+Person2!AB32</f>
        <v>10.196980405683544</v>
      </c>
      <c r="M32" s="18">
        <f ca="1">Person1!AC32+Person2!AC32</f>
        <v>568.6478558055876</v>
      </c>
      <c r="N32" s="18">
        <f ca="1">Person1!AD32+Person2!AD32</f>
        <v>89.66896462877483</v>
      </c>
      <c r="O32" s="18">
        <f ca="1">Person1!AE32+Person2!AE32</f>
        <v>278.25583960095429</v>
      </c>
      <c r="P32" s="18">
        <f ca="1">Person1!AF32+Person2!AF32</f>
        <v>89.232515093717723</v>
      </c>
      <c r="Q32" s="18">
        <f ca="1">Person1!AG32+Person2!AG32</f>
        <v>1025.8051751290345</v>
      </c>
      <c r="R32" s="18"/>
      <c r="T32" s="4">
        <f>Person1!FX32</f>
        <v>2042</v>
      </c>
      <c r="U32" s="4">
        <f>Person1!FY32+Person2!FY32</f>
        <v>147.29922913884513</v>
      </c>
      <c r="V32" s="4">
        <f>Person1!FZ32+Person2!FZ32</f>
        <v>0</v>
      </c>
      <c r="W32" s="4">
        <f>Person1!GA32+Person2!GA32</f>
        <v>0</v>
      </c>
      <c r="X32" s="4">
        <f>Person1!GB32+Person2!GB32</f>
        <v>0</v>
      </c>
      <c r="Y32" s="4">
        <f ca="1">Person1!GC32+Person2!GC32</f>
        <v>0</v>
      </c>
      <c r="Z32" s="4">
        <f ca="1">Person1!GD32+Person2!GD32</f>
        <v>0</v>
      </c>
      <c r="AA32" s="4">
        <f ca="1">Person1!GE32+Person2!GE32</f>
        <v>0</v>
      </c>
      <c r="AB32" s="4">
        <f ca="1">Person1!GF32+Person2!GF32</f>
        <v>0</v>
      </c>
      <c r="AC32" s="4" t="e">
        <f ca="1">Person1!GG32+Person2!GG32</f>
        <v>#NAME?</v>
      </c>
      <c r="AD32" s="4" t="e">
        <f ca="1">Person1!GH32+Person2!GH32</f>
        <v>#NAME?</v>
      </c>
      <c r="AF32" s="4">
        <f>Person1!GJ32</f>
        <v>2042</v>
      </c>
      <c r="AG32" s="4">
        <f ca="1">Person1!GK32+Person2!GK32</f>
        <v>568.6478558055876</v>
      </c>
      <c r="AH32" s="4">
        <f ca="1">Person1!GL32+Person2!GL32</f>
        <v>89.66896462877483</v>
      </c>
      <c r="AI32" s="4">
        <f ca="1">Person1!GM32+Person2!GM32</f>
        <v>278.25583960095429</v>
      </c>
      <c r="AJ32" s="4">
        <f ca="1">Person1!GN32+Person2!GN32</f>
        <v>89.232515093717723</v>
      </c>
    </row>
    <row r="33" spans="1:36" x14ac:dyDescent="0.25">
      <c r="A33" s="15"/>
      <c r="D33">
        <f>Person1!D33</f>
        <v>2043</v>
      </c>
      <c r="E33" s="2" t="str">
        <f>TEXT(Person1!E33,"0")&amp;" / "&amp;TEXT(Person2!E33,"0")</f>
        <v>48 / 48</v>
      </c>
      <c r="F33" s="18" t="e">
        <f ca="1">Person1!V33+Person2!V33</f>
        <v>#NAME?</v>
      </c>
      <c r="G33" s="18" t="e">
        <f ca="1">Person1!W33+Person2!W33</f>
        <v>#NAME?</v>
      </c>
      <c r="H33" s="18">
        <f>Person1!X33+Person2!X33</f>
        <v>0</v>
      </c>
      <c r="I33" s="18">
        <f ca="1">Person1!Y33+Person2!Y33</f>
        <v>17.564864767824957</v>
      </c>
      <c r="J33" s="18">
        <f ca="1">Person1!Z33+Person2!Z33</f>
        <v>2.7253813274472796</v>
      </c>
      <c r="K33" s="18">
        <f ca="1">Person1!AA33+Person2!AA33</f>
        <v>10.062433628732681</v>
      </c>
      <c r="L33" s="18">
        <f ca="1">Person1!AB33+Person2!AB33</f>
        <v>10.518668931161061</v>
      </c>
      <c r="M33" s="18">
        <f ca="1">Person1!AC33+Person2!AC33</f>
        <v>602.45187415264456</v>
      </c>
      <c r="N33" s="18">
        <f ca="1">Person1!AD33+Person2!AD33</f>
        <v>94.965195730000119</v>
      </c>
      <c r="O33" s="18">
        <f ca="1">Person1!AE33+Person2!AE33</f>
        <v>295.99613577750011</v>
      </c>
      <c r="P33" s="18">
        <f ca="1">Person1!AF33+Person2!AF33</f>
        <v>101.85404044518347</v>
      </c>
      <c r="Q33" s="18">
        <f ca="1">Person1!AG33+Person2!AG33</f>
        <v>1095.2672461053282</v>
      </c>
      <c r="R33" s="18"/>
      <c r="T33" s="4">
        <f>Person1!FX33</f>
        <v>2043</v>
      </c>
      <c r="U33" s="4">
        <f>Person1!FY33+Person2!FY33</f>
        <v>148.52176351076304</v>
      </c>
      <c r="V33" s="4">
        <f>Person1!FZ33+Person2!FZ33</f>
        <v>0</v>
      </c>
      <c r="W33" s="4">
        <f>Person1!GA33+Person2!GA33</f>
        <v>0</v>
      </c>
      <c r="X33" s="4">
        <f>Person1!GB33+Person2!GB33</f>
        <v>0</v>
      </c>
      <c r="Y33" s="4">
        <f ca="1">Person1!GC33+Person2!GC33</f>
        <v>0</v>
      </c>
      <c r="Z33" s="4">
        <f ca="1">Person1!GD33+Person2!GD33</f>
        <v>0</v>
      </c>
      <c r="AA33" s="4">
        <f ca="1">Person1!GE33+Person2!GE33</f>
        <v>0</v>
      </c>
      <c r="AB33" s="4">
        <f ca="1">Person1!GF33+Person2!GF33</f>
        <v>0</v>
      </c>
      <c r="AC33" s="4" t="e">
        <f ca="1">Person1!GG33+Person2!GG33</f>
        <v>#NAME?</v>
      </c>
      <c r="AD33" s="4" t="e">
        <f ca="1">Person1!GH33+Person2!GH33</f>
        <v>#NAME?</v>
      </c>
      <c r="AF33" s="4">
        <f>Person1!GJ33</f>
        <v>2043</v>
      </c>
      <c r="AG33" s="4">
        <f ca="1">Person1!GK33+Person2!GK33</f>
        <v>602.45187415264456</v>
      </c>
      <c r="AH33" s="4">
        <f ca="1">Person1!GL33+Person2!GL33</f>
        <v>94.965195730000119</v>
      </c>
      <c r="AI33" s="4">
        <f ca="1">Person1!GM33+Person2!GM33</f>
        <v>295.99613577750011</v>
      </c>
      <c r="AJ33" s="4">
        <f ca="1">Person1!GN33+Person2!GN33</f>
        <v>101.85404044518347</v>
      </c>
    </row>
    <row r="34" spans="1:36" x14ac:dyDescent="0.25">
      <c r="D34">
        <f>Person1!D34</f>
        <v>2044</v>
      </c>
      <c r="E34" s="2" t="str">
        <f>TEXT(Person1!E34,"0")&amp;" / "&amp;TEXT(Person2!E34,"0")</f>
        <v>49 / 49</v>
      </c>
      <c r="F34" s="18" t="e">
        <f ca="1">Person1!V34+Person2!V34</f>
        <v>#NAME?</v>
      </c>
      <c r="G34" s="18" t="e">
        <f ca="1">Person1!W34+Person2!W34</f>
        <v>#NAME?</v>
      </c>
      <c r="H34" s="18">
        <f>Person1!X34+Person2!X34</f>
        <v>0</v>
      </c>
      <c r="I34" s="18">
        <f ca="1">Person1!Y34+Person2!Y34</f>
        <v>17.710349899593361</v>
      </c>
      <c r="J34" s="18">
        <f ca="1">Person1!Z34+Person2!Z34</f>
        <v>2.7387410398367269</v>
      </c>
      <c r="K34" s="18">
        <f ca="1">Person1!AA34+Person2!AA34</f>
        <v>10.075546019946477</v>
      </c>
      <c r="L34" s="18">
        <f ca="1">Person1!AB34+Person2!AB34</f>
        <v>11.125868454665296</v>
      </c>
      <c r="M34" s="18">
        <f ca="1">Person1!AC34+Person2!AC34</f>
        <v>637.39150257657036</v>
      </c>
      <c r="N34" s="18">
        <f ca="1">Person1!AD34+Person2!AD34</f>
        <v>100.43023219994843</v>
      </c>
      <c r="O34" s="18">
        <f ca="1">Person1!AE34+Person2!AE34</f>
        <v>314.56703548539986</v>
      </c>
      <c r="P34" s="18">
        <f ca="1">Person1!AF34+Person2!AF34</f>
        <v>115.16216803784675</v>
      </c>
      <c r="Q34" s="18">
        <f ca="1">Person1!AG34+Person2!AG34</f>
        <v>1167.5509382997652</v>
      </c>
      <c r="R34" s="18"/>
      <c r="T34" s="4">
        <f>Person1!FX34</f>
        <v>2044</v>
      </c>
      <c r="U34" s="4">
        <f>Person1!FY34+Person2!FY34</f>
        <v>149.75519735829931</v>
      </c>
      <c r="V34" s="4">
        <f>Person1!FZ34+Person2!FZ34</f>
        <v>0</v>
      </c>
      <c r="W34" s="4">
        <f>Person1!GA34+Person2!GA34</f>
        <v>0</v>
      </c>
      <c r="X34" s="4">
        <f>Person1!GB34+Person2!GB34</f>
        <v>0</v>
      </c>
      <c r="Y34" s="4">
        <f ca="1">Person1!GC34+Person2!GC34</f>
        <v>0</v>
      </c>
      <c r="Z34" s="4">
        <f ca="1">Person1!GD34+Person2!GD34</f>
        <v>0</v>
      </c>
      <c r="AA34" s="4">
        <f ca="1">Person1!GE34+Person2!GE34</f>
        <v>0</v>
      </c>
      <c r="AB34" s="4">
        <f ca="1">Person1!GF34+Person2!GF34</f>
        <v>0</v>
      </c>
      <c r="AC34" s="4" t="e">
        <f ca="1">Person1!GG34+Person2!GG34</f>
        <v>#NAME?</v>
      </c>
      <c r="AD34" s="4" t="e">
        <f ca="1">Person1!GH34+Person2!GH34</f>
        <v>#NAME?</v>
      </c>
      <c r="AF34" s="4">
        <f>Person1!GJ34</f>
        <v>2044</v>
      </c>
      <c r="AG34" s="4">
        <f ca="1">Person1!GK34+Person2!GK34</f>
        <v>637.39150257657036</v>
      </c>
      <c r="AH34" s="4">
        <f ca="1">Person1!GL34+Person2!GL34</f>
        <v>100.43023219994843</v>
      </c>
      <c r="AI34" s="4">
        <f ca="1">Person1!GM34+Person2!GM34</f>
        <v>314.56703548539986</v>
      </c>
      <c r="AJ34" s="4">
        <f ca="1">Person1!GN34+Person2!GN34</f>
        <v>115.16216803784675</v>
      </c>
    </row>
    <row r="35" spans="1:36" x14ac:dyDescent="0.25">
      <c r="B35" s="25"/>
      <c r="C35" s="25"/>
      <c r="D35">
        <f>Person1!D35</f>
        <v>2045</v>
      </c>
      <c r="E35" s="2" t="str">
        <f>TEXT(Person1!E35,"0")&amp;" / "&amp;TEXT(Person2!E35,"0")</f>
        <v>50 / 50</v>
      </c>
      <c r="F35" s="18" t="e">
        <f ca="1">Person1!V35+Person2!V35</f>
        <v>#NAME?</v>
      </c>
      <c r="G35" s="18" t="e">
        <f ca="1">Person1!W35+Person2!W35</f>
        <v>#NAME?</v>
      </c>
      <c r="H35" s="18">
        <f>Person1!X35+Person2!X35</f>
        <v>0</v>
      </c>
      <c r="I35" s="18">
        <f ca="1">Person1!Y35+Person2!Y35</f>
        <v>17.857130378610584</v>
      </c>
      <c r="J35" s="18">
        <f ca="1">Person1!Z35+Person2!Z35</f>
        <v>2.7521662410123966</v>
      </c>
      <c r="K35" s="18">
        <f ca="1">Person1!AA35+Person2!AA35</f>
        <v>10.378675559558127</v>
      </c>
      <c r="L35" s="18">
        <f ca="1">Person1!AB35+Person2!AB35</f>
        <v>11.384809671395136</v>
      </c>
      <c r="M35" s="18">
        <f ca="1">Person1!AC35+Person2!AC35</f>
        <v>673.50139961273749</v>
      </c>
      <c r="N35" s="18">
        <f ca="1">Person1!AD35+Person2!AD35</f>
        <v>106.06910279390449</v>
      </c>
      <c r="O35" s="18">
        <f ca="1">Person1!AE35+Person2!AE35</f>
        <v>333.69699341138852</v>
      </c>
      <c r="P35" s="18">
        <f ca="1">Person1!AF35+Person2!AF35</f>
        <v>129.45700479843569</v>
      </c>
      <c r="Q35" s="18">
        <f ca="1">Person1!AG35+Person2!AG35</f>
        <v>1242.7245006164662</v>
      </c>
      <c r="R35" s="18"/>
      <c r="T35" s="4">
        <f>Person1!FX35</f>
        <v>2045</v>
      </c>
      <c r="U35" s="4">
        <f>Person1!FY35+Person2!FY35</f>
        <v>150.99963221476656</v>
      </c>
      <c r="V35" s="4">
        <f>Person1!FZ35+Person2!FZ35</f>
        <v>0</v>
      </c>
      <c r="W35" s="4">
        <f>Person1!GA35+Person2!GA35</f>
        <v>0</v>
      </c>
      <c r="X35" s="4">
        <f>Person1!GB35+Person2!GB35</f>
        <v>0</v>
      </c>
      <c r="Y35" s="4">
        <f ca="1">Person1!GC35+Person2!GC35</f>
        <v>0</v>
      </c>
      <c r="Z35" s="4">
        <f ca="1">Person1!GD35+Person2!GD35</f>
        <v>0</v>
      </c>
      <c r="AA35" s="4">
        <f ca="1">Person1!GE35+Person2!GE35</f>
        <v>0</v>
      </c>
      <c r="AB35" s="4">
        <f ca="1">Person1!GF35+Person2!GF35</f>
        <v>0</v>
      </c>
      <c r="AC35" s="4" t="e">
        <f ca="1">Person1!GG35+Person2!GG35</f>
        <v>#NAME?</v>
      </c>
      <c r="AD35" s="4" t="e">
        <f ca="1">Person1!GH35+Person2!GH35</f>
        <v>#NAME?</v>
      </c>
      <c r="AF35" s="4">
        <f>Person1!GJ35</f>
        <v>2045</v>
      </c>
      <c r="AG35" s="4">
        <f ca="1">Person1!GK35+Person2!GK35</f>
        <v>673.50139961273749</v>
      </c>
      <c r="AH35" s="4">
        <f ca="1">Person1!GL35+Person2!GL35</f>
        <v>106.06910279390449</v>
      </c>
      <c r="AI35" s="4">
        <f ca="1">Person1!GM35+Person2!GM35</f>
        <v>333.69699341138852</v>
      </c>
      <c r="AJ35" s="4">
        <f ca="1">Person1!GN35+Person2!GN35</f>
        <v>129.45700479843569</v>
      </c>
    </row>
    <row r="36" spans="1:36" x14ac:dyDescent="0.25">
      <c r="B36" s="25"/>
      <c r="D36">
        <f>Person1!D36</f>
        <v>2046</v>
      </c>
      <c r="E36" s="2" t="str">
        <f>TEXT(Person1!E36,"0")&amp;" / "&amp;TEXT(Person2!E36,"0")</f>
        <v>51 / 51</v>
      </c>
      <c r="F36" s="18" t="e">
        <f ca="1">Person1!V36+Person2!V36</f>
        <v>#NAME?</v>
      </c>
      <c r="G36" s="18" t="e">
        <f ca="1">Person1!W36+Person2!W36</f>
        <v>#NAME?</v>
      </c>
      <c r="H36" s="18">
        <f>Person1!X36+Person2!X36</f>
        <v>0</v>
      </c>
      <c r="I36" s="18">
        <f ca="1">Person1!Y36+Person2!Y36</f>
        <v>18.005218262312525</v>
      </c>
      <c r="J36" s="18">
        <f ca="1">Person1!Z36+Person2!Z36</f>
        <v>2.7656572519977516</v>
      </c>
      <c r="K36" s="18">
        <f ca="1">Person1!AA36+Person2!AA36</f>
        <v>10.391776216163468</v>
      </c>
      <c r="L36" s="18">
        <f ca="1">Person1!AB36+Person2!AB36</f>
        <v>11.933501668310168</v>
      </c>
      <c r="M36" s="18">
        <f ca="1">Person1!AC36+Person2!AC36</f>
        <v>710.81725487449501</v>
      </c>
      <c r="N36" s="18">
        <f ca="1">Person1!AD36+Person2!AD36</f>
        <v>111.88698448491382</v>
      </c>
      <c r="O36" s="18">
        <f ca="1">Person1!AE36+Person2!AE36</f>
        <v>353.68678298187842</v>
      </c>
      <c r="P36" s="18">
        <f ca="1">Person1!AF36+Person2!AF36</f>
        <v>144.42614187230646</v>
      </c>
      <c r="Q36" s="18">
        <f ca="1">Person1!AG36+Person2!AG36</f>
        <v>1320.817164213594</v>
      </c>
      <c r="R36" s="18"/>
      <c r="T36" s="4">
        <f>Person1!FX36</f>
        <v>2046</v>
      </c>
      <c r="U36" s="4">
        <f>Person1!FY36+Person2!FY36</f>
        <v>152.25517058280244</v>
      </c>
      <c r="V36" s="4">
        <f>Person1!FZ36+Person2!FZ36</f>
        <v>0</v>
      </c>
      <c r="W36" s="4">
        <f>Person1!GA36+Person2!GA36</f>
        <v>0</v>
      </c>
      <c r="X36" s="4">
        <f>Person1!GB36+Person2!GB36</f>
        <v>0</v>
      </c>
      <c r="Y36" s="4">
        <f ca="1">Person1!GC36+Person2!GC36</f>
        <v>0</v>
      </c>
      <c r="Z36" s="4">
        <f ca="1">Person1!GD36+Person2!GD36</f>
        <v>0</v>
      </c>
      <c r="AA36" s="4">
        <f ca="1">Person1!GE36+Person2!GE36</f>
        <v>0</v>
      </c>
      <c r="AB36" s="4">
        <f ca="1">Person1!GF36+Person2!GF36</f>
        <v>0</v>
      </c>
      <c r="AC36" s="4" t="e">
        <f ca="1">Person1!GG36+Person2!GG36</f>
        <v>#NAME?</v>
      </c>
      <c r="AD36" s="4" t="e">
        <f ca="1">Person1!GH36+Person2!GH36</f>
        <v>#NAME?</v>
      </c>
      <c r="AF36" s="4">
        <f>Person1!GJ36</f>
        <v>2046</v>
      </c>
      <c r="AG36" s="4">
        <f ca="1">Person1!GK36+Person2!GK36</f>
        <v>710.81725487449501</v>
      </c>
      <c r="AH36" s="4">
        <f ca="1">Person1!GL36+Person2!GL36</f>
        <v>111.88698448491382</v>
      </c>
      <c r="AI36" s="4">
        <f ca="1">Person1!GM36+Person2!GM36</f>
        <v>353.68678298187842</v>
      </c>
      <c r="AJ36" s="4">
        <f ca="1">Person1!GN36+Person2!GN36</f>
        <v>144.42614187230646</v>
      </c>
    </row>
    <row r="37" spans="1:36" x14ac:dyDescent="0.25">
      <c r="D37">
        <f>Person1!D37</f>
        <v>2047</v>
      </c>
      <c r="E37" s="2" t="str">
        <f>TEXT(Person1!E37,"0")&amp;" / "&amp;TEXT(Person2!E37,"0")</f>
        <v>52 / 52</v>
      </c>
      <c r="F37" s="18" t="e">
        <f ca="1">Person1!V37+Person2!V37</f>
        <v>#NAME?</v>
      </c>
      <c r="G37" s="18" t="e">
        <f ca="1">Person1!W37+Person2!W37</f>
        <v>#NAME?</v>
      </c>
      <c r="H37" s="18">
        <f>Person1!X37+Person2!X37</f>
        <v>0</v>
      </c>
      <c r="I37" s="18">
        <f ca="1">Person1!Y37+Person2!Y37</f>
        <v>18.154625723197963</v>
      </c>
      <c r="J37" s="18">
        <f ca="1">Person1!Z37+Person2!Z37</f>
        <v>2.7792143953898973</v>
      </c>
      <c r="K37" s="18">
        <f ca="1">Person1!AA37+Person2!AA37</f>
        <v>10.407737313474199</v>
      </c>
      <c r="L37" s="18">
        <f ca="1">Person1!AB37+Person2!AB37</f>
        <v>12.476147640813201</v>
      </c>
      <c r="M37" s="18">
        <f ca="1">Person1!AC37+Person2!AC37</f>
        <v>749.37581949071796</v>
      </c>
      <c r="N37" s="18">
        <f ca="1">Person1!AD37+Person2!AD37</f>
        <v>117.88920682466402</v>
      </c>
      <c r="O37" s="18">
        <f ca="1">Person1!AE37+Person2!AE37</f>
        <v>374.27735132072144</v>
      </c>
      <c r="P37" s="18">
        <f ca="1">Person1!AF37+Person2!AF37</f>
        <v>160.3734810139529</v>
      </c>
      <c r="Q37" s="18">
        <f ca="1">Person1!AG37+Person2!AG37</f>
        <v>1401.9158586500562</v>
      </c>
      <c r="R37" s="18"/>
      <c r="T37" s="4">
        <f>Person1!FX37</f>
        <v>2047</v>
      </c>
      <c r="U37" s="4">
        <f>Person1!FY37+Person2!FY37</f>
        <v>153.52191594374514</v>
      </c>
      <c r="V37" s="4">
        <f>Person1!FZ37+Person2!FZ37</f>
        <v>0</v>
      </c>
      <c r="W37" s="4">
        <f>Person1!GA37+Person2!GA37</f>
        <v>0</v>
      </c>
      <c r="X37" s="4">
        <f>Person1!GB37+Person2!GB37</f>
        <v>0</v>
      </c>
      <c r="Y37" s="4">
        <f ca="1">Person1!GC37+Person2!GC37</f>
        <v>0</v>
      </c>
      <c r="Z37" s="4">
        <f ca="1">Person1!GD37+Person2!GD37</f>
        <v>0</v>
      </c>
      <c r="AA37" s="4">
        <f ca="1">Person1!GE37+Person2!GE37</f>
        <v>0</v>
      </c>
      <c r="AB37" s="4">
        <f ca="1">Person1!GF37+Person2!GF37</f>
        <v>0</v>
      </c>
      <c r="AC37" s="4" t="e">
        <f ca="1">Person1!GG37+Person2!GG37</f>
        <v>#NAME?</v>
      </c>
      <c r="AD37" s="4" t="e">
        <f ca="1">Person1!GH37+Person2!GH37</f>
        <v>#NAME?</v>
      </c>
      <c r="AF37" s="4">
        <f>Person1!GJ37</f>
        <v>2047</v>
      </c>
      <c r="AG37" s="4">
        <f ca="1">Person1!GK37+Person2!GK37</f>
        <v>749.37581949071796</v>
      </c>
      <c r="AH37" s="4">
        <f ca="1">Person1!GL37+Person2!GL37</f>
        <v>117.88920682466402</v>
      </c>
      <c r="AI37" s="4">
        <f ca="1">Person1!GM37+Person2!GM37</f>
        <v>374.27735132072144</v>
      </c>
      <c r="AJ37" s="4">
        <f ca="1">Person1!GN37+Person2!GN37</f>
        <v>160.3734810139529</v>
      </c>
    </row>
    <row r="38" spans="1:36" x14ac:dyDescent="0.25">
      <c r="A38" s="15"/>
      <c r="D38">
        <f>Person1!D38</f>
        <v>2048</v>
      </c>
      <c r="E38" s="2" t="str">
        <f>TEXT(Person1!E38,"0")&amp;" / "&amp;TEXT(Person2!E38,"0")</f>
        <v>53 / 53</v>
      </c>
      <c r="F38" s="18" t="e">
        <f ca="1">Person1!V38+Person2!V38</f>
        <v>#NAME?</v>
      </c>
      <c r="G38" s="18" t="e">
        <f ca="1">Person1!W38+Person2!W38</f>
        <v>#NAME?</v>
      </c>
      <c r="H38" s="18">
        <f>Person1!X38+Person2!X38</f>
        <v>0</v>
      </c>
      <c r="I38" s="18">
        <f ca="1">Person1!Y38+Person2!Y38</f>
        <v>18.305365049941184</v>
      </c>
      <c r="J38" s="18">
        <f ca="1">Person1!Z38+Person2!Z38</f>
        <v>2.7928379953672993</v>
      </c>
      <c r="K38" s="18">
        <f ca="1">Person1!AA38+Person2!AA38</f>
        <v>10.697141030174137</v>
      </c>
      <c r="L38" s="18">
        <f ca="1">Person1!AB38+Person2!AB38</f>
        <v>12.742000961551408</v>
      </c>
      <c r="M38" s="18">
        <f ca="1">Person1!AC38+Person2!AC38</f>
        <v>789.21493743965857</v>
      </c>
      <c r="N38" s="18">
        <f ca="1">Person1!AD38+Person2!AD38</f>
        <v>124.08125643263442</v>
      </c>
      <c r="O38" s="18">
        <f ca="1">Person1!AE38+Person2!AE38</f>
        <v>395.48917274532516</v>
      </c>
      <c r="P38" s="18">
        <f ca="1">Person1!AF38+Person2!AF38</f>
        <v>177.32186539751345</v>
      </c>
      <c r="Q38" s="18">
        <f ca="1">Person1!AG38+Person2!AG38</f>
        <v>1486.1072320151316</v>
      </c>
      <c r="R38" s="18"/>
      <c r="T38" s="4">
        <f>Person1!FX38</f>
        <v>2048</v>
      </c>
      <c r="U38" s="4">
        <f>Person1!FY38+Person2!FY38</f>
        <v>154.79997276709969</v>
      </c>
      <c r="V38" s="4">
        <f>Person1!FZ38+Person2!FZ38</f>
        <v>0</v>
      </c>
      <c r="W38" s="4">
        <f>Person1!GA38+Person2!GA38</f>
        <v>0</v>
      </c>
      <c r="X38" s="4">
        <f>Person1!GB38+Person2!GB38</f>
        <v>0</v>
      </c>
      <c r="Y38" s="4">
        <f ca="1">Person1!GC38+Person2!GC38</f>
        <v>0</v>
      </c>
      <c r="Z38" s="4">
        <f ca="1">Person1!GD38+Person2!GD38</f>
        <v>0</v>
      </c>
      <c r="AA38" s="4">
        <f ca="1">Person1!GE38+Person2!GE38</f>
        <v>0</v>
      </c>
      <c r="AB38" s="4">
        <f ca="1">Person1!GF38+Person2!GF38</f>
        <v>0</v>
      </c>
      <c r="AC38" s="4" t="e">
        <f ca="1">Person1!GG38+Person2!GG38</f>
        <v>#NAME?</v>
      </c>
      <c r="AD38" s="4" t="e">
        <f ca="1">Person1!GH38+Person2!GH38</f>
        <v>#NAME?</v>
      </c>
      <c r="AF38" s="4">
        <f>Person1!GJ38</f>
        <v>2048</v>
      </c>
      <c r="AG38" s="4">
        <f ca="1">Person1!GK38+Person2!GK38</f>
        <v>789.21493743965857</v>
      </c>
      <c r="AH38" s="4">
        <f ca="1">Person1!GL38+Person2!GL38</f>
        <v>124.08125643263442</v>
      </c>
      <c r="AI38" s="4">
        <f ca="1">Person1!GM38+Person2!GM38</f>
        <v>395.48917274532516</v>
      </c>
      <c r="AJ38" s="4">
        <f ca="1">Person1!GN38+Person2!GN38</f>
        <v>177.32186539751345</v>
      </c>
    </row>
    <row r="39" spans="1:36" x14ac:dyDescent="0.25">
      <c r="D39">
        <f>Person1!D39</f>
        <v>2049</v>
      </c>
      <c r="E39" s="2" t="str">
        <f>TEXT(Person1!E39,"0")&amp;" / "&amp;TEXT(Person2!E39,"0")</f>
        <v>54 / 54</v>
      </c>
      <c r="F39" s="18" t="e">
        <f ca="1">Person1!V39+Person2!V39</f>
        <v>#NAME?</v>
      </c>
      <c r="G39" s="18" t="e">
        <f ca="1">Person1!W39+Person2!W39</f>
        <v>#NAME?</v>
      </c>
      <c r="H39" s="18">
        <f>Person1!X39+Person2!X39</f>
        <v>0</v>
      </c>
      <c r="I39" s="18">
        <f ca="1">Person1!Y39+Person2!Y39</f>
        <v>18.457448648515431</v>
      </c>
      <c r="J39" s="18">
        <f ca="1">Person1!Z39+Person2!Z39</f>
        <v>2.8065283776975298</v>
      </c>
      <c r="K39" s="18">
        <f ca="1">Person1!AA39+Person2!AA39</f>
        <v>10.713395132556132</v>
      </c>
      <c r="L39" s="18">
        <f ca="1">Person1!AB39+Person2!AB39</f>
        <v>13.280073476265637</v>
      </c>
      <c r="M39" s="18">
        <f ca="1">Person1!AC39+Person2!AC39</f>
        <v>830.37357780547313</v>
      </c>
      <c r="N39" s="18">
        <f ca="1">Person1!AD39+Person2!AD39</f>
        <v>130.46878161728768</v>
      </c>
      <c r="O39" s="18">
        <f ca="1">Person1!AE39+Person2!AE39</f>
        <v>417.60860040467207</v>
      </c>
      <c r="P39" s="18">
        <f ca="1">Person1!AF39+Person2!AF39</f>
        <v>195.02937218523579</v>
      </c>
      <c r="Q39" s="18">
        <f ca="1">Person1!AG39+Person2!AG39</f>
        <v>1573.4803320126687</v>
      </c>
      <c r="R39" s="18"/>
      <c r="T39" s="4">
        <f>Person1!FX39</f>
        <v>2049</v>
      </c>
      <c r="U39" s="4">
        <f>Person1!FY39+Person2!FY39</f>
        <v>156.08944652009674</v>
      </c>
      <c r="V39" s="4">
        <f>Person1!FZ39+Person2!FZ39</f>
        <v>0</v>
      </c>
      <c r="W39" s="4">
        <f>Person1!GA39+Person2!GA39</f>
        <v>0</v>
      </c>
      <c r="X39" s="4">
        <f>Person1!GB39+Person2!GB39</f>
        <v>0</v>
      </c>
      <c r="Y39" s="4">
        <f ca="1">Person1!GC39+Person2!GC39</f>
        <v>0</v>
      </c>
      <c r="Z39" s="4">
        <f ca="1">Person1!GD39+Person2!GD39</f>
        <v>0</v>
      </c>
      <c r="AA39" s="4">
        <f ca="1">Person1!GE39+Person2!GE39</f>
        <v>0</v>
      </c>
      <c r="AB39" s="4">
        <f ca="1">Person1!GF39+Person2!GF39</f>
        <v>0</v>
      </c>
      <c r="AC39" s="4" t="e">
        <f ca="1">Person1!GG39+Person2!GG39</f>
        <v>#NAME?</v>
      </c>
      <c r="AD39" s="4" t="e">
        <f ca="1">Person1!GH39+Person2!GH39</f>
        <v>#NAME?</v>
      </c>
      <c r="AF39" s="4">
        <f>Person1!GJ39</f>
        <v>2049</v>
      </c>
      <c r="AG39" s="4">
        <f ca="1">Person1!GK39+Person2!GK39</f>
        <v>830.37357780547313</v>
      </c>
      <c r="AH39" s="4">
        <f ca="1">Person1!GL39+Person2!GL39</f>
        <v>130.46878161728768</v>
      </c>
      <c r="AI39" s="4">
        <f ca="1">Person1!GM39+Person2!GM39</f>
        <v>417.60860040467207</v>
      </c>
      <c r="AJ39" s="4">
        <f ca="1">Person1!GN39+Person2!GN39</f>
        <v>195.02937218523579</v>
      </c>
    </row>
    <row r="40" spans="1:36" x14ac:dyDescent="0.25">
      <c r="D40">
        <f>Person1!D40</f>
        <v>2050</v>
      </c>
      <c r="E40" s="2" t="str">
        <f>TEXT(Person1!E40,"0")&amp;" / "&amp;TEXT(Person2!E40,"0")</f>
        <v>55 / 55</v>
      </c>
      <c r="F40" s="18" t="e">
        <f ca="1">Person1!V40+Person2!V40</f>
        <v>#NAME?</v>
      </c>
      <c r="G40" s="18" t="e">
        <f ca="1">Person1!W40+Person2!W40</f>
        <v>#NAME?</v>
      </c>
      <c r="H40" s="18">
        <f>Person1!X40+Person2!X40</f>
        <v>0</v>
      </c>
      <c r="I40" s="18">
        <f ca="1">Person1!Y40+Person2!Y40</f>
        <v>18.610889043327376</v>
      </c>
      <c r="J40" s="18">
        <f ca="1">Person1!Z40+Person2!Z40</f>
        <v>2.8202858697450672</v>
      </c>
      <c r="K40" s="18">
        <f ca="1">Person1!AA40+Person2!AA40</f>
        <v>10.99260827581727</v>
      </c>
      <c r="L40" s="18">
        <f ca="1">Person1!AB40+Person2!AB40</f>
        <v>13.551494141957743</v>
      </c>
      <c r="M40" s="18">
        <f ca="1">Person1!AC40+Person2!AC40</f>
        <v>872.89186798457081</v>
      </c>
      <c r="N40" s="18">
        <f ca="1">Person1!AD40+Person2!AD40</f>
        <v>137.05759713318588</v>
      </c>
      <c r="O40" s="18">
        <f ca="1">Person1!AE40+Person2!AE40</f>
        <v>440.39453486025667</v>
      </c>
      <c r="P40" s="18">
        <f ca="1">Person1!AF40+Person2!AF40</f>
        <v>213.78521006937569</v>
      </c>
      <c r="Q40" s="18">
        <f ca="1">Person1!AG40+Person2!AG40</f>
        <v>1664.1292100473893</v>
      </c>
      <c r="R40" s="18"/>
      <c r="T40" s="4">
        <f>Person1!FX40</f>
        <v>2050</v>
      </c>
      <c r="U40" s="4">
        <f>Person1!FY40+Person2!FY40</f>
        <v>157.39044367734465</v>
      </c>
      <c r="V40" s="4">
        <f>Person1!FZ40+Person2!FZ40</f>
        <v>0</v>
      </c>
      <c r="W40" s="4">
        <f>Person1!GA40+Person2!GA40</f>
        <v>0</v>
      </c>
      <c r="X40" s="4">
        <f>Person1!GB40+Person2!GB40</f>
        <v>0</v>
      </c>
      <c r="Y40" s="4">
        <f ca="1">Person1!GC40+Person2!GC40</f>
        <v>0</v>
      </c>
      <c r="Z40" s="4">
        <f ca="1">Person1!GD40+Person2!GD40</f>
        <v>0</v>
      </c>
      <c r="AA40" s="4">
        <f ca="1">Person1!GE40+Person2!GE40</f>
        <v>0</v>
      </c>
      <c r="AB40" s="4">
        <f ca="1">Person1!GF40+Person2!GF40</f>
        <v>0</v>
      </c>
      <c r="AC40" s="4" t="e">
        <f ca="1">Person1!GG40+Person2!GG40</f>
        <v>#NAME?</v>
      </c>
      <c r="AD40" s="4" t="e">
        <f ca="1">Person1!GH40+Person2!GH40</f>
        <v>#NAME?</v>
      </c>
      <c r="AF40" s="4">
        <f>Person1!GJ40</f>
        <v>2050</v>
      </c>
      <c r="AG40" s="4">
        <f ca="1">Person1!GK40+Person2!GK40</f>
        <v>872.89186798457081</v>
      </c>
      <c r="AH40" s="4">
        <f ca="1">Person1!GL40+Person2!GL40</f>
        <v>137.05759713318588</v>
      </c>
      <c r="AI40" s="4">
        <f ca="1">Person1!GM40+Person2!GM40</f>
        <v>440.39453486025667</v>
      </c>
      <c r="AJ40" s="4">
        <f ca="1">Person1!GN40+Person2!GN40</f>
        <v>213.78521006937569</v>
      </c>
    </row>
    <row r="41" spans="1:36" x14ac:dyDescent="0.25">
      <c r="B41" s="25"/>
      <c r="C41" s="25"/>
      <c r="D41">
        <f>Person1!D41</f>
        <v>2051</v>
      </c>
      <c r="E41" s="2" t="str">
        <f>TEXT(Person1!E41,"0")&amp;" / "&amp;TEXT(Person2!E41,"0")</f>
        <v>56 / 56</v>
      </c>
      <c r="F41" s="18" t="e">
        <f ca="1">Person1!V41+Person2!V41</f>
        <v>#NAME?</v>
      </c>
      <c r="G41" s="18" t="e">
        <f ca="1">Person1!W41+Person2!W41</f>
        <v>#NAME?</v>
      </c>
      <c r="H41" s="18">
        <f>Person1!X41+Person2!X41</f>
        <v>0</v>
      </c>
      <c r="I41" s="18">
        <f ca="1">Person1!Y41+Person2!Y41</f>
        <v>18.765698878362493</v>
      </c>
      <c r="J41" s="18">
        <f ca="1">Person1!Z41+Person2!Z41</f>
        <v>2.8341108004791113</v>
      </c>
      <c r="K41" s="18">
        <f ca="1">Person1!AA41+Person2!AA41</f>
        <v>11.009411178179221</v>
      </c>
      <c r="L41" s="18">
        <f ca="1">Person1!AB41+Person2!AB41</f>
        <v>14.083942436928767</v>
      </c>
      <c r="M41" s="18">
        <f ca="1">Person1!AC41+Person2!AC41</f>
        <v>916.81112786973199</v>
      </c>
      <c r="N41" s="18">
        <f ca="1">Person1!AD41+Person2!AD41</f>
        <v>143.85368907802962</v>
      </c>
      <c r="O41" s="18">
        <f ca="1">Person1!AE41+Person2!AE41</f>
        <v>464.12438223439881</v>
      </c>
      <c r="P41" s="18">
        <f ca="1">Person1!AF41+Person2!AF41</f>
        <v>233.35878893608057</v>
      </c>
      <c r="Q41" s="18">
        <f ca="1">Person1!AG41+Person2!AG41</f>
        <v>1758.1479881182408</v>
      </c>
      <c r="R41" s="18"/>
      <c r="T41" s="4">
        <f>Person1!FX41</f>
        <v>2051</v>
      </c>
      <c r="U41" s="4">
        <f>Person1!FY41+Person2!FY41</f>
        <v>158.70307173057469</v>
      </c>
      <c r="V41" s="4">
        <f>Person1!FZ41+Person2!FZ41</f>
        <v>0</v>
      </c>
      <c r="W41" s="4">
        <f>Person1!GA41+Person2!GA41</f>
        <v>0</v>
      </c>
      <c r="X41" s="4">
        <f>Person1!GB41+Person2!GB41</f>
        <v>0</v>
      </c>
      <c r="Y41" s="4">
        <f ca="1">Person1!GC41+Person2!GC41</f>
        <v>0</v>
      </c>
      <c r="Z41" s="4">
        <f ca="1">Person1!GD41+Person2!GD41</f>
        <v>0</v>
      </c>
      <c r="AA41" s="4">
        <f ca="1">Person1!GE41+Person2!GE41</f>
        <v>0</v>
      </c>
      <c r="AB41" s="4">
        <f ca="1">Person1!GF41+Person2!GF41</f>
        <v>0</v>
      </c>
      <c r="AC41" s="4" t="e">
        <f ca="1">Person1!GG41+Person2!GG41</f>
        <v>#NAME?</v>
      </c>
      <c r="AD41" s="4" t="e">
        <f ca="1">Person1!GH41+Person2!GH41</f>
        <v>#NAME?</v>
      </c>
      <c r="AF41" s="4">
        <f>Person1!GJ41</f>
        <v>2051</v>
      </c>
      <c r="AG41" s="4">
        <f ca="1">Person1!GK41+Person2!GK41</f>
        <v>916.81112786973199</v>
      </c>
      <c r="AH41" s="4">
        <f ca="1">Person1!GL41+Person2!GL41</f>
        <v>143.85368907802962</v>
      </c>
      <c r="AI41" s="4">
        <f ca="1">Person1!GM41+Person2!GM41</f>
        <v>464.12438223439881</v>
      </c>
      <c r="AJ41" s="4">
        <f ca="1">Person1!GN41+Person2!GN41</f>
        <v>233.35878893608057</v>
      </c>
    </row>
    <row r="42" spans="1:36" x14ac:dyDescent="0.25">
      <c r="B42" s="25"/>
      <c r="C42" s="25"/>
      <c r="D42">
        <f>Person1!D42</f>
        <v>2052</v>
      </c>
      <c r="E42" s="2" t="str">
        <f>TEXT(Person1!E42,"0")&amp;" / "&amp;TEXT(Person2!E42,"0")</f>
        <v>57 / 57</v>
      </c>
      <c r="F42" s="18" t="e">
        <f ca="1">Person1!V42+Person2!V42</f>
        <v>#NAME?</v>
      </c>
      <c r="G42" s="18" t="e">
        <f ca="1">Person1!W42+Person2!W42</f>
        <v>#NAME?</v>
      </c>
      <c r="H42" s="18">
        <f>Person1!X42+Person2!X42</f>
        <v>0</v>
      </c>
      <c r="I42" s="18">
        <f ca="1">Person1!Y42+Person2!Y42</f>
        <v>18.921890918341745</v>
      </c>
      <c r="J42" s="18">
        <f ca="1">Person1!Z42+Person2!Z42</f>
        <v>2.8480035004814601</v>
      </c>
      <c r="K42" s="18">
        <f ca="1">Person1!AA42+Person2!AA42</f>
        <v>11.029079085752105</v>
      </c>
      <c r="L42" s="18">
        <f ca="1">Person1!AB42+Person2!AB42</f>
        <v>14.609472141735282</v>
      </c>
      <c r="M42" s="18">
        <f ca="1">Person1!AC42+Person2!AC42</f>
        <v>962.17390504076582</v>
      </c>
      <c r="N42" s="18">
        <f ca="1">Person1!AD42+Person2!AD42</f>
        <v>150.86321993373556</v>
      </c>
      <c r="O42" s="18">
        <f ca="1">Person1!AE42+Person2!AE42</f>
        <v>488.56863972970393</v>
      </c>
      <c r="P42" s="18">
        <f ca="1">Person1!AF42+Person2!AF42</f>
        <v>254.03006943118962</v>
      </c>
      <c r="Q42" s="18">
        <f ca="1">Person1!AG42+Person2!AG42</f>
        <v>1855.6358341353948</v>
      </c>
      <c r="R42" s="18"/>
      <c r="T42" s="4">
        <f>Person1!FX42</f>
        <v>2052</v>
      </c>
      <c r="U42" s="4">
        <f>Person1!FY42+Person2!FY42</f>
        <v>160.0274391984824</v>
      </c>
      <c r="V42" s="4">
        <f>Person1!FZ42+Person2!FZ42</f>
        <v>0</v>
      </c>
      <c r="W42" s="4">
        <f>Person1!GA42+Person2!GA42</f>
        <v>0</v>
      </c>
      <c r="X42" s="4">
        <f>Person1!GB42+Person2!GB42</f>
        <v>0</v>
      </c>
      <c r="Y42" s="4">
        <f ca="1">Person1!GC42+Person2!GC42</f>
        <v>0</v>
      </c>
      <c r="Z42" s="4">
        <f ca="1">Person1!GD42+Person2!GD42</f>
        <v>0</v>
      </c>
      <c r="AA42" s="4">
        <f ca="1">Person1!GE42+Person2!GE42</f>
        <v>0</v>
      </c>
      <c r="AB42" s="4">
        <f ca="1">Person1!GF42+Person2!GF42</f>
        <v>0</v>
      </c>
      <c r="AC42" s="4" t="e">
        <f ca="1">Person1!GG42+Person2!GG42</f>
        <v>#NAME?</v>
      </c>
      <c r="AD42" s="4" t="e">
        <f ca="1">Person1!GH42+Person2!GH42</f>
        <v>#NAME?</v>
      </c>
      <c r="AF42" s="4">
        <f>Person1!GJ42</f>
        <v>2052</v>
      </c>
      <c r="AG42" s="4">
        <f ca="1">Person1!GK42+Person2!GK42</f>
        <v>962.17390504076582</v>
      </c>
      <c r="AH42" s="4">
        <f ca="1">Person1!GL42+Person2!GL42</f>
        <v>150.86321993373556</v>
      </c>
      <c r="AI42" s="4">
        <f ca="1">Person1!GM42+Person2!GM42</f>
        <v>488.56863972970393</v>
      </c>
      <c r="AJ42" s="4">
        <f ca="1">Person1!GN42+Person2!GN42</f>
        <v>254.03006943118962</v>
      </c>
    </row>
    <row r="43" spans="1:36" x14ac:dyDescent="0.25">
      <c r="D43">
        <f>Person1!D43</f>
        <v>2053</v>
      </c>
      <c r="E43" s="2" t="str">
        <f>TEXT(Person1!E43,"0")&amp;" / "&amp;TEXT(Person2!E43,"0")</f>
        <v>58 / 58</v>
      </c>
      <c r="F43" s="18" t="e">
        <f ca="1">Person1!V43+Person2!V43</f>
        <v>#NAME?</v>
      </c>
      <c r="G43" s="18" t="e">
        <f ca="1">Person1!W43+Person2!W43</f>
        <v>#NAME?</v>
      </c>
      <c r="H43" s="18">
        <f>Person1!X43+Person2!X43</f>
        <v>0</v>
      </c>
      <c r="I43" s="18">
        <f ca="1">Person1!Y43+Person2!Y43</f>
        <v>19.079478049889396</v>
      </c>
      <c r="J43" s="18">
        <f ca="1">Person1!Z43+Person2!Z43</f>
        <v>2.8619643019544085</v>
      </c>
      <c r="K43" s="18">
        <f ca="1">Person1!AA43+Person2!AA43</f>
        <v>11.29668305632498</v>
      </c>
      <c r="L43" s="18">
        <f ca="1">Person1!AB43+Person2!AB43</f>
        <v>14.882824727877418</v>
      </c>
      <c r="M43" s="18">
        <f ca="1">Person1!AC43+Person2!AC43</f>
        <v>1009.0240109913195</v>
      </c>
      <c r="N43" s="18">
        <f ca="1">Person1!AD43+Person2!AD43</f>
        <v>158.09253375578803</v>
      </c>
      <c r="O43" s="18">
        <f ca="1">Person1!AE43+Person2!AE43</f>
        <v>513.75112823719735</v>
      </c>
      <c r="P43" s="18">
        <f ca="1">Person1!AF43+Person2!AF43</f>
        <v>275.82455396518077</v>
      </c>
      <c r="Q43" s="18">
        <f ca="1">Person1!AG43+Person2!AG43</f>
        <v>1956.6922269494858</v>
      </c>
      <c r="R43" s="18"/>
      <c r="T43" s="4">
        <f>Person1!FX43</f>
        <v>2053</v>
      </c>
      <c r="U43" s="4">
        <f>Person1!FY43+Person2!FY43</f>
        <v>161.36365563666348</v>
      </c>
      <c r="V43" s="4">
        <f>Person1!FZ43+Person2!FZ43</f>
        <v>0</v>
      </c>
      <c r="W43" s="4">
        <f>Person1!GA43+Person2!GA43</f>
        <v>0</v>
      </c>
      <c r="X43" s="4">
        <f>Person1!GB43+Person2!GB43</f>
        <v>0</v>
      </c>
      <c r="Y43" s="4">
        <f ca="1">Person1!GC43+Person2!GC43</f>
        <v>0</v>
      </c>
      <c r="Z43" s="4">
        <f ca="1">Person1!GD43+Person2!GD43</f>
        <v>0</v>
      </c>
      <c r="AA43" s="4">
        <f ca="1">Person1!GE43+Person2!GE43</f>
        <v>0</v>
      </c>
      <c r="AB43" s="4">
        <f ca="1">Person1!GF43+Person2!GF43</f>
        <v>0</v>
      </c>
      <c r="AC43" s="4" t="e">
        <f ca="1">Person1!GG43+Person2!GG43</f>
        <v>#NAME?</v>
      </c>
      <c r="AD43" s="4" t="e">
        <f ca="1">Person1!GH43+Person2!GH43</f>
        <v>#NAME?</v>
      </c>
      <c r="AF43" s="4">
        <f>Person1!GJ43</f>
        <v>2053</v>
      </c>
      <c r="AG43" s="4">
        <f ca="1">Person1!GK43+Person2!GK43</f>
        <v>1009.0240109913195</v>
      </c>
      <c r="AH43" s="4">
        <f ca="1">Person1!GL43+Person2!GL43</f>
        <v>158.09253375578803</v>
      </c>
      <c r="AI43" s="4">
        <f ca="1">Person1!GM43+Person2!GM43</f>
        <v>513.75112823719735</v>
      </c>
      <c r="AJ43" s="4">
        <f ca="1">Person1!GN43+Person2!GN43</f>
        <v>275.82455396518077</v>
      </c>
    </row>
    <row r="44" spans="1:36" x14ac:dyDescent="0.25">
      <c r="D44">
        <f>Person1!D44</f>
        <v>2054</v>
      </c>
      <c r="E44" s="2" t="str">
        <f>TEXT(Person1!E44,"0")&amp;" / "&amp;TEXT(Person2!E44,"0")</f>
        <v>59 / 59</v>
      </c>
      <c r="F44" s="18" t="e">
        <f ca="1">Person1!V44+Person2!V44</f>
        <v>#NAME?</v>
      </c>
      <c r="G44" s="18" t="e">
        <f ca="1">Person1!W44+Person2!W44</f>
        <v>#NAME?</v>
      </c>
      <c r="H44" s="18">
        <f>Person1!X44+Person2!X44</f>
        <v>0</v>
      </c>
      <c r="I44" s="18">
        <f ca="1">Person1!Y44+Person2!Y44</f>
        <v>19.238473282712281</v>
      </c>
      <c r="J44" s="18">
        <f ca="1">Person1!Z44+Person2!Z44</f>
        <v>2.8759935387286939</v>
      </c>
      <c r="K44" s="18">
        <f ca="1">Person1!AA44+Person2!AA44</f>
        <v>11.317154184060641</v>
      </c>
      <c r="L44" s="18">
        <f ca="1">Person1!AB44+Person2!AB44</f>
        <v>15.401221128116459</v>
      </c>
      <c r="M44" s="18">
        <f ca="1">Person1!AC44+Person2!AC44</f>
        <v>1057.4065584223281</v>
      </c>
      <c r="N44" s="18">
        <f ca="1">Person1!AD44+Person2!AD44</f>
        <v>165.54816151522726</v>
      </c>
      <c r="O44" s="18">
        <f ca="1">Person1!AE44+Person2!AE44</f>
        <v>539.93663500527657</v>
      </c>
      <c r="P44" s="18">
        <f ca="1">Person1!AF44+Person2!AF44</f>
        <v>298.52804548168353</v>
      </c>
      <c r="Q44" s="18">
        <f ca="1">Person1!AG44+Person2!AG44</f>
        <v>2061.4194004245155</v>
      </c>
      <c r="R44" s="18"/>
      <c r="T44" s="4">
        <f>Person1!FX44</f>
        <v>2054</v>
      </c>
      <c r="U44" s="4">
        <f>Person1!FY44+Person2!FY44</f>
        <v>162.71183164764753</v>
      </c>
      <c r="V44" s="4">
        <f>Person1!FZ44+Person2!FZ44</f>
        <v>0</v>
      </c>
      <c r="W44" s="4">
        <f>Person1!GA44+Person2!GA44</f>
        <v>0</v>
      </c>
      <c r="X44" s="4">
        <f>Person1!GB44+Person2!GB44</f>
        <v>0</v>
      </c>
      <c r="Y44" s="4">
        <f ca="1">Person1!GC44+Person2!GC44</f>
        <v>0</v>
      </c>
      <c r="Z44" s="4">
        <f ca="1">Person1!GD44+Person2!GD44</f>
        <v>0</v>
      </c>
      <c r="AA44" s="4">
        <f ca="1">Person1!GE44+Person2!GE44</f>
        <v>0</v>
      </c>
      <c r="AB44" s="4">
        <f ca="1">Person1!GF44+Person2!GF44</f>
        <v>0</v>
      </c>
      <c r="AC44" s="4" t="e">
        <f ca="1">Person1!GG44+Person2!GG44</f>
        <v>#NAME?</v>
      </c>
      <c r="AD44" s="4" t="e">
        <f ca="1">Person1!GH44+Person2!GH44</f>
        <v>#NAME?</v>
      </c>
      <c r="AF44" s="4">
        <f>Person1!GJ44</f>
        <v>2054</v>
      </c>
      <c r="AG44" s="4">
        <f ca="1">Person1!GK44+Person2!GK44</f>
        <v>1057.4065584223281</v>
      </c>
      <c r="AH44" s="4">
        <f ca="1">Person1!GL44+Person2!GL44</f>
        <v>165.54816151522726</v>
      </c>
      <c r="AI44" s="4">
        <f ca="1">Person1!GM44+Person2!GM44</f>
        <v>539.93663500527657</v>
      </c>
      <c r="AJ44" s="4">
        <f ca="1">Person1!GN44+Person2!GN44</f>
        <v>298.52804548168353</v>
      </c>
    </row>
    <row r="45" spans="1:36" x14ac:dyDescent="0.25">
      <c r="D45">
        <f>Person1!D45</f>
        <v>2055</v>
      </c>
      <c r="E45" s="2" t="str">
        <f>TEXT(Person1!E45,"0")&amp;" / "&amp;TEXT(Person2!E45,"0")</f>
        <v>60 / 60</v>
      </c>
      <c r="F45" s="18" t="e">
        <f ca="1">Person1!V45+Person2!V45</f>
        <v>#NAME?</v>
      </c>
      <c r="G45" s="18" t="e">
        <f ca="1">Person1!W45+Person2!W45</f>
        <v>#NAME?</v>
      </c>
      <c r="H45" s="18" t="e">
        <f ca="1">Person1!X45+Person2!X45</f>
        <v>#NAME?</v>
      </c>
      <c r="I45" s="18">
        <f ca="1">Person1!Y45+Person2!Y45</f>
        <v>-27.863781094165237</v>
      </c>
      <c r="J45" s="18">
        <f ca="1">Person1!Z45+Person2!Z45</f>
        <v>0</v>
      </c>
      <c r="K45" s="18">
        <f ca="1">Person1!AA45+Person2!AA45</f>
        <v>1.304403697762913</v>
      </c>
      <c r="L45" s="18">
        <f ca="1">Person1!AB45+Person2!AB45</f>
        <v>-28.312758713667765</v>
      </c>
      <c r="M45" s="18">
        <f ca="1">Person1!AC45+Person2!AC45</f>
        <v>1107.367999633487</v>
      </c>
      <c r="N45" s="18">
        <f ca="1">Person1!AD45+Person2!AD45</f>
        <v>173.23682659776208</v>
      </c>
      <c r="O45" s="18">
        <f ca="1">Person1!AE45+Person2!AE45</f>
        <v>566.91237347019705</v>
      </c>
      <c r="P45" s="18">
        <f ca="1">Person1!AF45+Person2!AF45</f>
        <v>322.40751851361188</v>
      </c>
      <c r="Q45" s="18">
        <f ca="1">Person1!AG45+Person2!AG45</f>
        <v>2169.9247182150575</v>
      </c>
      <c r="R45" s="18"/>
      <c r="T45" s="4">
        <f>Person1!FX45</f>
        <v>2055</v>
      </c>
      <c r="U45" s="4">
        <f>Person1!FY45+Person2!FY45</f>
        <v>0</v>
      </c>
      <c r="V45" s="4">
        <f>Person1!FZ45+Person2!FZ45</f>
        <v>0</v>
      </c>
      <c r="W45" s="4">
        <f>Person1!GA45+Person2!GA45</f>
        <v>0</v>
      </c>
      <c r="X45" s="4">
        <f>Person1!GB45+Person2!GB45</f>
        <v>29.999999999999975</v>
      </c>
      <c r="Y45" s="4">
        <f ca="1">Person1!GC45+Person2!GC45</f>
        <v>27.863781094165237</v>
      </c>
      <c r="Z45" s="4">
        <f ca="1">Person1!GD45+Person2!GD45</f>
        <v>0</v>
      </c>
      <c r="AA45" s="4">
        <f ca="1">Person1!GE45+Person2!GE45</f>
        <v>28.312758713667765</v>
      </c>
      <c r="AB45" s="4">
        <f ca="1">Person1!GF45+Person2!GF45</f>
        <v>4.349842557741721</v>
      </c>
      <c r="AC45" s="4" t="e">
        <f ca="1">Person1!GG45+Person2!GG45</f>
        <v>#NAME?</v>
      </c>
      <c r="AD45" s="4" t="e">
        <f ca="1">Person1!GH45+Person2!GH45</f>
        <v>#NAME?</v>
      </c>
      <c r="AF45" s="4">
        <f>Person1!GJ45</f>
        <v>2055</v>
      </c>
      <c r="AG45" s="4">
        <f ca="1">Person1!GK45+Person2!GK45</f>
        <v>1107.367999633487</v>
      </c>
      <c r="AH45" s="4">
        <f ca="1">Person1!GL45+Person2!GL45</f>
        <v>173.23682659776208</v>
      </c>
      <c r="AI45" s="4">
        <f ca="1">Person1!GM45+Person2!GM45</f>
        <v>566.91237347019705</v>
      </c>
      <c r="AJ45" s="4">
        <f ca="1">Person1!GN45+Person2!GN45</f>
        <v>322.40751851361188</v>
      </c>
    </row>
    <row r="46" spans="1:36" x14ac:dyDescent="0.25">
      <c r="D46">
        <f>Person1!D46</f>
        <v>2056</v>
      </c>
      <c r="E46" s="2" t="str">
        <f>TEXT(Person1!E46,"0")&amp;" / "&amp;TEXT(Person2!E46,"0")</f>
        <v>61 / 61</v>
      </c>
      <c r="F46" s="18" t="e">
        <f ca="1">Person1!V46+Person2!V46</f>
        <v>#NAME?</v>
      </c>
      <c r="G46" s="18" t="e">
        <f ca="1">Person1!W46+Person2!W46</f>
        <v>#NAME?</v>
      </c>
      <c r="H46" s="18" t="e">
        <f ca="1">Person1!X46+Person2!X46</f>
        <v>#NAME?</v>
      </c>
      <c r="I46" s="18">
        <f ca="1">Person1!Y46+Person2!Y46</f>
        <v>-27.999781872202881</v>
      </c>
      <c r="J46" s="18">
        <f ca="1">Person1!Z46+Person2!Z46</f>
        <v>0</v>
      </c>
      <c r="K46" s="18">
        <f ca="1">Person1!AA46+Person2!AA46</f>
        <v>1.1707058948216247</v>
      </c>
      <c r="L46" s="18">
        <f ca="1">Person1!AB46+Person2!AB46</f>
        <v>-28.302466900753544</v>
      </c>
      <c r="M46" s="18">
        <f ca="1">Person1!AC46+Person2!AC46</f>
        <v>1112.6202142362708</v>
      </c>
      <c r="N46" s="18">
        <f ca="1">Person1!AD46+Person2!AD46</f>
        <v>178.3320273800492</v>
      </c>
      <c r="O46" s="18">
        <f ca="1">Person1!AE46+Person2!AE46</f>
        <v>584.86509396222527</v>
      </c>
      <c r="P46" s="18">
        <f ca="1">Person1!AF46+Person2!AF46</f>
        <v>304.13248600551447</v>
      </c>
      <c r="Q46" s="18">
        <f ca="1">Person1!AG46+Person2!AG46</f>
        <v>2179.9498215840595</v>
      </c>
      <c r="R46" s="18"/>
      <c r="T46" s="4">
        <f>Person1!FX46</f>
        <v>2056</v>
      </c>
      <c r="U46" s="4">
        <f>Person1!FY46+Person2!FY46</f>
        <v>0</v>
      </c>
      <c r="V46" s="4">
        <f>Person1!FZ46+Person2!FZ46</f>
        <v>0</v>
      </c>
      <c r="W46" s="4">
        <f>Person1!GA46+Person2!GA46</f>
        <v>0</v>
      </c>
      <c r="X46" s="4">
        <f>Person1!GB46+Person2!GB46</f>
        <v>29.55882352941174</v>
      </c>
      <c r="Y46" s="4">
        <f ca="1">Person1!GC46+Person2!GC46</f>
        <v>27.999781872202881</v>
      </c>
      <c r="Z46" s="4">
        <f ca="1">Person1!GD46+Person2!GD46</f>
        <v>0</v>
      </c>
      <c r="AA46" s="4">
        <f ca="1">Person1!GE46+Person2!GE46</f>
        <v>28.302466900753544</v>
      </c>
      <c r="AB46" s="4">
        <f ca="1">Person1!GF46+Person2!GF46</f>
        <v>4.3726727870456639</v>
      </c>
      <c r="AC46" s="4" t="e">
        <f ca="1">Person1!GG46+Person2!GG46</f>
        <v>#NAME?</v>
      </c>
      <c r="AD46" s="4" t="e">
        <f ca="1">Person1!GH46+Person2!GH46</f>
        <v>#NAME?</v>
      </c>
      <c r="AF46" s="4">
        <f>Person1!GJ46</f>
        <v>2056</v>
      </c>
      <c r="AG46" s="4">
        <f ca="1">Person1!GK46+Person2!GK46</f>
        <v>1112.6202142362708</v>
      </c>
      <c r="AH46" s="4">
        <f ca="1">Person1!GL46+Person2!GL46</f>
        <v>178.3320273800492</v>
      </c>
      <c r="AI46" s="4">
        <f ca="1">Person1!GM46+Person2!GM46</f>
        <v>584.86509396222527</v>
      </c>
      <c r="AJ46" s="4">
        <f ca="1">Person1!GN46+Person2!GN46</f>
        <v>304.13248600551447</v>
      </c>
    </row>
    <row r="47" spans="1:36" x14ac:dyDescent="0.25">
      <c r="D47">
        <f>Person1!D47</f>
        <v>2057</v>
      </c>
      <c r="E47" s="2" t="str">
        <f>TEXT(Person1!E47,"0")&amp;" / "&amp;TEXT(Person2!E47,"0")</f>
        <v>62 / 62</v>
      </c>
      <c r="F47" s="18" t="e">
        <f ca="1">Person1!V47+Person2!V47</f>
        <v>#NAME?</v>
      </c>
      <c r="G47" s="18" t="e">
        <f ca="1">Person1!W47+Person2!W47</f>
        <v>#NAME?</v>
      </c>
      <c r="H47" s="18" t="e">
        <f ca="1">Person1!X47+Person2!X47</f>
        <v>#NAME?</v>
      </c>
      <c r="I47" s="18">
        <f ca="1">Person1!Y47+Person2!Y47</f>
        <v>-28.132901893735102</v>
      </c>
      <c r="J47" s="18">
        <f ca="1">Person1!Z47+Person2!Z47</f>
        <v>0</v>
      </c>
      <c r="K47" s="18">
        <f ca="1">Person1!AA47+Person2!AA47</f>
        <v>1.2659629121326663</v>
      </c>
      <c r="L47" s="18">
        <f ca="1">Person1!AB47+Person2!AB47</f>
        <v>-28.517737440150427</v>
      </c>
      <c r="M47" s="18">
        <f ca="1">Person1!AC47+Person2!AC47</f>
        <v>1117.893571643021</v>
      </c>
      <c r="N47" s="18">
        <f ca="1">Person1!AD47+Person2!AD47</f>
        <v>183.57708700887417</v>
      </c>
      <c r="O47" s="18">
        <f ca="1">Person1!AE47+Person2!AE47</f>
        <v>603.21475936780212</v>
      </c>
      <c r="P47" s="18">
        <f ca="1">Person1!AF47+Person2!AF47</f>
        <v>285.33004255395747</v>
      </c>
      <c r="Q47" s="18">
        <f ca="1">Person1!AG47+Person2!AG47</f>
        <v>2190.0154605736543</v>
      </c>
      <c r="R47" s="18"/>
      <c r="T47" s="4">
        <f>Person1!FX47</f>
        <v>2057</v>
      </c>
      <c r="U47" s="4">
        <f>Person1!FY47+Person2!FY47</f>
        <v>0</v>
      </c>
      <c r="V47" s="4">
        <f>Person1!FZ47+Person2!FZ47</f>
        <v>0</v>
      </c>
      <c r="W47" s="4">
        <f>Person1!GA47+Person2!GA47</f>
        <v>0</v>
      </c>
      <c r="X47" s="4">
        <f>Person1!GB47+Person2!GB47</f>
        <v>29.124134948096852</v>
      </c>
      <c r="Y47" s="4">
        <f ca="1">Person1!GC47+Person2!GC47</f>
        <v>28.132901893735102</v>
      </c>
      <c r="Z47" s="4">
        <f ca="1">Person1!GD47+Person2!GD47</f>
        <v>0</v>
      </c>
      <c r="AA47" s="4">
        <f ca="1">Person1!GE47+Person2!GE47</f>
        <v>28.517737440150427</v>
      </c>
      <c r="AB47" s="4">
        <f ca="1">Person1!GF47+Person2!GF47</f>
        <v>4.3951672776827833</v>
      </c>
      <c r="AC47" s="4" t="e">
        <f ca="1">Person1!GG47+Person2!GG47</f>
        <v>#NAME?</v>
      </c>
      <c r="AD47" s="4" t="e">
        <f ca="1">Person1!GH47+Person2!GH47</f>
        <v>#NAME?</v>
      </c>
      <c r="AF47" s="4">
        <f>Person1!GJ47</f>
        <v>2057</v>
      </c>
      <c r="AG47" s="4">
        <f ca="1">Person1!GK47+Person2!GK47</f>
        <v>1117.893571643021</v>
      </c>
      <c r="AH47" s="4">
        <f ca="1">Person1!GL47+Person2!GL47</f>
        <v>183.57708700887417</v>
      </c>
      <c r="AI47" s="4">
        <f ca="1">Person1!GM47+Person2!GM47</f>
        <v>603.21475936780212</v>
      </c>
      <c r="AJ47" s="4">
        <f ca="1">Person1!GN47+Person2!GN47</f>
        <v>285.33004255395747</v>
      </c>
    </row>
    <row r="48" spans="1:36" x14ac:dyDescent="0.25">
      <c r="A48" s="15"/>
      <c r="D48">
        <f>Person1!D48</f>
        <v>2058</v>
      </c>
      <c r="E48" s="2" t="str">
        <f>TEXT(Person1!E48,"0")&amp;" / "&amp;TEXT(Person2!E48,"0")</f>
        <v>63 / 63</v>
      </c>
      <c r="F48" s="18" t="e">
        <f ca="1">Person1!V48+Person2!V48</f>
        <v>#NAME?</v>
      </c>
      <c r="G48" s="18" t="e">
        <f ca="1">Person1!W48+Person2!W48</f>
        <v>#NAME?</v>
      </c>
      <c r="H48" s="18" t="e">
        <f ca="1">Person1!X48+Person2!X48</f>
        <v>#NAME?</v>
      </c>
      <c r="I48" s="18">
        <f ca="1">Person1!Y48+Person2!Y48</f>
        <v>-28.267431491391946</v>
      </c>
      <c r="J48" s="18">
        <f ca="1">Person1!Z48+Person2!Z48</f>
        <v>0</v>
      </c>
      <c r="K48" s="18">
        <f ca="1">Person1!AA48+Person2!AA48</f>
        <v>1.1327966700863836</v>
      </c>
      <c r="L48" s="18">
        <f ca="1">Person1!AB48+Person2!AB48</f>
        <v>-28.508851505093013</v>
      </c>
      <c r="M48" s="18">
        <f ca="1">Person1!AC48+Person2!AC48</f>
        <v>1123.1915179719972</v>
      </c>
      <c r="N48" s="18">
        <f ca="1">Person1!AD48+Person2!AD48</f>
        <v>188.97641309737048</v>
      </c>
      <c r="O48" s="18">
        <f ca="1">Person1!AE48+Person2!AE48</f>
        <v>622.19751004737736</v>
      </c>
      <c r="P48" s="18">
        <f ca="1">Person1!AF48+Person2!AF48</f>
        <v>265.76353651127937</v>
      </c>
      <c r="Q48" s="18">
        <f ca="1">Person1!AG48+Person2!AG48</f>
        <v>2200.1289776280246</v>
      </c>
      <c r="R48" s="18"/>
      <c r="T48" s="4">
        <f>Person1!FX48</f>
        <v>2058</v>
      </c>
      <c r="U48" s="4">
        <f>Person1!FY48+Person2!FY48</f>
        <v>0</v>
      </c>
      <c r="V48" s="4">
        <f>Person1!FZ48+Person2!FZ48</f>
        <v>0</v>
      </c>
      <c r="W48" s="4">
        <f>Person1!GA48+Person2!GA48</f>
        <v>0</v>
      </c>
      <c r="X48" s="4">
        <f>Person1!GB48+Person2!GB48</f>
        <v>28.695838845918956</v>
      </c>
      <c r="Y48" s="4">
        <f ca="1">Person1!GC48+Person2!GC48</f>
        <v>28.267431491391946</v>
      </c>
      <c r="Z48" s="4">
        <f ca="1">Person1!GD48+Person2!GD48</f>
        <v>0</v>
      </c>
      <c r="AA48" s="4">
        <f ca="1">Person1!GE48+Person2!GE48</f>
        <v>28.508851505093013</v>
      </c>
      <c r="AB48" s="4">
        <f ca="1">Person1!GF48+Person2!GF48</f>
        <v>4.4173309669875866</v>
      </c>
      <c r="AC48" s="4" t="e">
        <f ca="1">Person1!GG48+Person2!GG48</f>
        <v>#NAME?</v>
      </c>
      <c r="AD48" s="4" t="e">
        <f ca="1">Person1!GH48+Person2!GH48</f>
        <v>#NAME?</v>
      </c>
      <c r="AF48" s="4">
        <f>Person1!GJ48</f>
        <v>2058</v>
      </c>
      <c r="AG48" s="4">
        <f ca="1">Person1!GK48+Person2!GK48</f>
        <v>1123.1915179719972</v>
      </c>
      <c r="AH48" s="4">
        <f ca="1">Person1!GL48+Person2!GL48</f>
        <v>188.97641309737048</v>
      </c>
      <c r="AI48" s="4">
        <f ca="1">Person1!GM48+Person2!GM48</f>
        <v>622.19751004737736</v>
      </c>
      <c r="AJ48" s="4">
        <f ca="1">Person1!GN48+Person2!GN48</f>
        <v>265.76353651127937</v>
      </c>
    </row>
    <row r="49" spans="1:36" x14ac:dyDescent="0.25">
      <c r="D49">
        <f>Person1!D49</f>
        <v>2059</v>
      </c>
      <c r="E49" s="2" t="str">
        <f>TEXT(Person1!E49,"0")&amp;" / "&amp;TEXT(Person2!E49,"0")</f>
        <v>64 / 64</v>
      </c>
      <c r="F49" s="18" t="e">
        <f ca="1">Person1!V49+Person2!V49</f>
        <v>#NAME?</v>
      </c>
      <c r="G49" s="18" t="e">
        <f ca="1">Person1!W49+Person2!W49</f>
        <v>#NAME?</v>
      </c>
      <c r="H49" s="18" t="e">
        <f ca="1">Person1!X49+Person2!X49</f>
        <v>#NAME?</v>
      </c>
      <c r="I49" s="18">
        <f ca="1">Person1!Y49+Person2!Y49</f>
        <v>-28.405701161485887</v>
      </c>
      <c r="J49" s="18">
        <f ca="1">Person1!Z49+Person2!Z49</f>
        <v>0</v>
      </c>
      <c r="K49" s="18">
        <f ca="1">Person1!AA49+Person2!AA49</f>
        <v>1.2197849494884947</v>
      </c>
      <c r="L49" s="18">
        <f ca="1">Person1!AB49+Person2!AB49</f>
        <v>-28.728535867125753</v>
      </c>
      <c r="M49" s="18">
        <f ca="1">Person1!AC49+Person2!AC49</f>
        <v>1128.5133944894169</v>
      </c>
      <c r="N49" s="18">
        <f ca="1">Person1!AD49+Person2!AD49</f>
        <v>194.534542894352</v>
      </c>
      <c r="O49" s="18">
        <f ca="1">Person1!AE49+Person2!AE49</f>
        <v>641.60802178414974</v>
      </c>
      <c r="P49" s="18">
        <f ca="1">Person1!AF49+Person2!AF49</f>
        <v>245.63025669779447</v>
      </c>
      <c r="Q49" s="18">
        <f ca="1">Person1!AG49+Person2!AG49</f>
        <v>2210.2862158657126</v>
      </c>
      <c r="R49" s="18"/>
      <c r="T49" s="4">
        <f>Person1!FX49</f>
        <v>2059</v>
      </c>
      <c r="U49" s="4">
        <f>Person1!FY49+Person2!FY49</f>
        <v>0</v>
      </c>
      <c r="V49" s="4">
        <f>Person1!FZ49+Person2!FZ49</f>
        <v>0</v>
      </c>
      <c r="W49" s="4">
        <f>Person1!GA49+Person2!GA49</f>
        <v>0</v>
      </c>
      <c r="X49" s="4">
        <f>Person1!GB49+Person2!GB49</f>
        <v>28.273841215831908</v>
      </c>
      <c r="Y49" s="4">
        <f ca="1">Person1!GC49+Person2!GC49</f>
        <v>28.405701161485887</v>
      </c>
      <c r="Z49" s="4">
        <f ca="1">Person1!GD49+Person2!GD49</f>
        <v>0</v>
      </c>
      <c r="AA49" s="4">
        <f ca="1">Person1!GE49+Person2!GE49</f>
        <v>28.728535867125753</v>
      </c>
      <c r="AB49" s="4">
        <f ca="1">Person1!GF49+Person2!GF49</f>
        <v>4.4391687196849663</v>
      </c>
      <c r="AC49" s="4" t="e">
        <f ca="1">Person1!GG49+Person2!GG49</f>
        <v>#NAME?</v>
      </c>
      <c r="AD49" s="4" t="e">
        <f ca="1">Person1!GH49+Person2!GH49</f>
        <v>#NAME?</v>
      </c>
      <c r="AF49" s="4">
        <f>Person1!GJ49</f>
        <v>2059</v>
      </c>
      <c r="AG49" s="4">
        <f ca="1">Person1!GK49+Person2!GK49</f>
        <v>1128.5133944894169</v>
      </c>
      <c r="AH49" s="4">
        <f ca="1">Person1!GL49+Person2!GL49</f>
        <v>194.534542894352</v>
      </c>
      <c r="AI49" s="4">
        <f ca="1">Person1!GM49+Person2!GM49</f>
        <v>641.60802178414974</v>
      </c>
      <c r="AJ49" s="4">
        <f ca="1">Person1!GN49+Person2!GN49</f>
        <v>245.63025669779447</v>
      </c>
    </row>
    <row r="50" spans="1:36" x14ac:dyDescent="0.25">
      <c r="D50">
        <f>Person1!D50</f>
        <v>2060</v>
      </c>
      <c r="E50" s="2" t="str">
        <f>TEXT(Person1!E50,"0")&amp;" / "&amp;TEXT(Person2!E50,"0")</f>
        <v>65 / 65</v>
      </c>
      <c r="F50" s="18" t="e">
        <f ca="1">Person1!V50+Person2!V50</f>
        <v>#NAME?</v>
      </c>
      <c r="G50" s="18" t="e">
        <f ca="1">Person1!W50+Person2!W50</f>
        <v>#NAME?</v>
      </c>
      <c r="H50" s="18" t="e">
        <f ca="1">Person1!X50+Person2!X50</f>
        <v>#NAME?</v>
      </c>
      <c r="I50" s="18">
        <f ca="1">Person1!Y50+Person2!Y50</f>
        <v>-15.349076580044219</v>
      </c>
      <c r="J50" s="18">
        <f ca="1">Person1!Z50+Person2!Z50</f>
        <v>0</v>
      </c>
      <c r="K50" s="18">
        <f ca="1">Person1!AA50+Person2!AA50</f>
        <v>3.9822034644641402</v>
      </c>
      <c r="L50" s="18">
        <f ca="1">Person1!AB50+Person2!AB50</f>
        <v>-23.232328799547524</v>
      </c>
      <c r="M50" s="18">
        <f ca="1">Person1!AC50+Person2!AC50</f>
        <v>1133.8562382866683</v>
      </c>
      <c r="N50" s="18">
        <f ca="1">Person1!AD50+Person2!AD50</f>
        <v>200.25614709712701</v>
      </c>
      <c r="O50" s="18">
        <f ca="1">Person1!AE50+Person2!AE50</f>
        <v>661.67471355180942</v>
      </c>
      <c r="P50" s="18">
        <f ca="1">Person1!AF50+Person2!AF50</f>
        <v>224.68944477015526</v>
      </c>
      <c r="Q50" s="18">
        <f ca="1">Person1!AG50+Person2!AG50</f>
        <v>2220.4765437057599</v>
      </c>
      <c r="R50" s="18"/>
      <c r="T50" s="4">
        <f>Person1!FX50</f>
        <v>2060</v>
      </c>
      <c r="U50" s="4">
        <f>Person1!FY50+Person2!FY50</f>
        <v>0</v>
      </c>
      <c r="V50" s="4">
        <f>Person1!FZ50+Person2!FZ50</f>
        <v>20</v>
      </c>
      <c r="W50" s="4">
        <f ca="1">Person1!GA50+Person2!GA50</f>
        <v>13.692</v>
      </c>
      <c r="X50" s="4">
        <f>Person1!GB50+Person2!GB50</f>
        <v>15.858049433246137</v>
      </c>
      <c r="Y50" s="4">
        <f ca="1">Person1!GC50+Person2!GC50</f>
        <v>15.349076580044219</v>
      </c>
      <c r="Z50" s="4">
        <f ca="1">Person1!GD50+Person2!GD50</f>
        <v>0</v>
      </c>
      <c r="AA50" s="4">
        <f ca="1">Person1!GE50+Person2!GE50</f>
        <v>23.232328799547524</v>
      </c>
      <c r="AB50" s="4">
        <f ca="1">Person1!GF50+Person2!GF50</f>
        <v>1.5657903288431729</v>
      </c>
      <c r="AC50" s="4" t="e">
        <f ca="1">Person1!GG50+Person2!GG50</f>
        <v>#NAME?</v>
      </c>
      <c r="AD50" s="4" t="e">
        <f ca="1">Person1!GH50+Person2!GH50</f>
        <v>#NAME?</v>
      </c>
      <c r="AF50" s="4">
        <f>Person1!GJ50</f>
        <v>2060</v>
      </c>
      <c r="AG50" s="4">
        <f ca="1">Person1!GK50+Person2!GK50</f>
        <v>1133.8562382866683</v>
      </c>
      <c r="AH50" s="4">
        <f ca="1">Person1!GL50+Person2!GL50</f>
        <v>200.25614709712701</v>
      </c>
      <c r="AI50" s="4">
        <f ca="1">Person1!GM50+Person2!GM50</f>
        <v>661.67471355180942</v>
      </c>
      <c r="AJ50" s="4">
        <f ca="1">Person1!GN50+Person2!GN50</f>
        <v>224.68944477015526</v>
      </c>
    </row>
    <row r="51" spans="1:36" x14ac:dyDescent="0.25">
      <c r="A51" s="15"/>
      <c r="D51">
        <f>Person1!D51</f>
        <v>2061</v>
      </c>
      <c r="E51" s="2" t="str">
        <f>TEXT(Person1!E51,"0")&amp;" / "&amp;TEXT(Person2!E51,"0")</f>
        <v>66 / 66</v>
      </c>
      <c r="F51" s="18" t="e">
        <f ca="1">Person1!V51+Person2!V51</f>
        <v>#NAME?</v>
      </c>
      <c r="G51" s="18" t="e">
        <f ca="1">Person1!W51+Person2!W51</f>
        <v>#NAME?</v>
      </c>
      <c r="H51" s="18" t="e">
        <f ca="1">Person1!X51+Person2!X51</f>
        <v>#NAME?</v>
      </c>
      <c r="I51" s="18">
        <f ca="1">Person1!Y51+Person2!Y51</f>
        <v>-15.46192156088544</v>
      </c>
      <c r="J51" s="18">
        <f ca="1">Person1!Z51+Person2!Z51</f>
        <v>0</v>
      </c>
      <c r="K51" s="18">
        <f ca="1">Person1!AA51+Person2!AA51</f>
        <v>4.0614194531678525</v>
      </c>
      <c r="L51" s="18">
        <f ca="1">Person1!AB51+Person2!AB51</f>
        <v>-23.402054823148934</v>
      </c>
      <c r="M51" s="18">
        <f ca="1">Person1!AC51+Person2!AC51</f>
        <v>1152.1568368832918</v>
      </c>
      <c r="N51" s="18">
        <f ca="1">Person1!AD51+Person2!AD51</f>
        <v>206.14603377645432</v>
      </c>
      <c r="O51" s="18">
        <f ca="1">Person1!AE51+Person2!AE51</f>
        <v>685.03985558221962</v>
      </c>
      <c r="P51" s="18">
        <f ca="1">Person1!AF51+Person2!AF51</f>
        <v>208.52116491089762</v>
      </c>
      <c r="Q51" s="18">
        <f ca="1">Person1!AG51+Person2!AG51</f>
        <v>2251.8638911528637</v>
      </c>
      <c r="R51" s="18"/>
      <c r="T51" s="4">
        <f>Person1!FX51</f>
        <v>2061</v>
      </c>
      <c r="U51" s="4">
        <f>Person1!FY51+Person2!FY51</f>
        <v>0</v>
      </c>
      <c r="V51" s="4">
        <f>Person1!FZ51+Person2!FZ51</f>
        <v>20</v>
      </c>
      <c r="W51" s="4">
        <f ca="1">Person1!GA51+Person2!GA51</f>
        <v>13.692</v>
      </c>
      <c r="X51" s="4">
        <f>Person1!GB51+Person2!GB51</f>
        <v>15.448372235698395</v>
      </c>
      <c r="Y51" s="4">
        <f ca="1">Person1!GC51+Person2!GC51</f>
        <v>15.46192156088544</v>
      </c>
      <c r="Z51" s="4">
        <f ca="1">Person1!GD51+Person2!GD51</f>
        <v>0</v>
      </c>
      <c r="AA51" s="4">
        <f ca="1">Person1!GE51+Person2!GE51</f>
        <v>23.402054823148934</v>
      </c>
      <c r="AB51" s="4">
        <f ca="1">Person1!GF51+Person2!GF51</f>
        <v>1.586990517393893</v>
      </c>
      <c r="AC51" s="4" t="e">
        <f ca="1">Person1!GG51+Person2!GG51</f>
        <v>#NAME?</v>
      </c>
      <c r="AD51" s="4" t="e">
        <f ca="1">Person1!GH51+Person2!GH51</f>
        <v>#NAME?</v>
      </c>
      <c r="AF51" s="4">
        <f>Person1!GJ51</f>
        <v>2061</v>
      </c>
      <c r="AG51" s="4">
        <f ca="1">Person1!GK51+Person2!GK51</f>
        <v>1152.1568368832918</v>
      </c>
      <c r="AH51" s="4">
        <f ca="1">Person1!GL51+Person2!GL51</f>
        <v>206.14603377645432</v>
      </c>
      <c r="AI51" s="4">
        <f ca="1">Person1!GM51+Person2!GM51</f>
        <v>685.03985558221962</v>
      </c>
      <c r="AJ51" s="4">
        <f ca="1">Person1!GN51+Person2!GN51</f>
        <v>208.52116491089762</v>
      </c>
    </row>
    <row r="52" spans="1:36" x14ac:dyDescent="0.25">
      <c r="D52">
        <f>Person1!D52</f>
        <v>2062</v>
      </c>
      <c r="E52" s="2" t="str">
        <f>TEXT(Person1!E52,"0")&amp;" / "&amp;TEXT(Person2!E52,"0")</f>
        <v>67 / 67</v>
      </c>
      <c r="F52" s="18" t="e">
        <f ca="1">Person1!V52+Person2!V52</f>
        <v>#NAME?</v>
      </c>
      <c r="G52" s="18" t="e">
        <f ca="1">Person1!W52+Person2!W52</f>
        <v>#NAME?</v>
      </c>
      <c r="H52" s="18" t="e">
        <f ca="1">Person1!X52+Person2!X52</f>
        <v>#NAME?</v>
      </c>
      <c r="I52" s="18">
        <f ca="1">Person1!Y52+Person2!Y52</f>
        <v>-15.56426975055891</v>
      </c>
      <c r="J52" s="18">
        <f ca="1">Person1!Z52+Person2!Z52</f>
        <v>0</v>
      </c>
      <c r="K52" s="18">
        <f ca="1">Person1!AA52+Person2!AA52</f>
        <v>3.9297778954181375</v>
      </c>
      <c r="L52" s="18">
        <f ca="1">Person1!AB52+Person2!AB52</f>
        <v>-23.343762050606497</v>
      </c>
      <c r="M52" s="18">
        <f ca="1">Person1!AC52+Person2!AC52</f>
        <v>1170.8850560456576</v>
      </c>
      <c r="N52" s="18">
        <f ca="1">Person1!AD52+Person2!AD52</f>
        <v>212.20915241693825</v>
      </c>
      <c r="O52" s="18">
        <f ca="1">Person1!AE52+Person2!AE52</f>
        <v>709.16987040637105</v>
      </c>
      <c r="P52" s="18">
        <f ca="1">Person1!AF52+Person2!AF52</f>
        <v>191.71094934636622</v>
      </c>
      <c r="Q52" s="18">
        <f ca="1">Person1!AG52+Person2!AG52</f>
        <v>2283.9750282153336</v>
      </c>
      <c r="R52" s="18"/>
      <c r="T52" s="4">
        <f>Person1!FX52</f>
        <v>2062</v>
      </c>
      <c r="U52" s="4">
        <f>Person1!FY52+Person2!FY52</f>
        <v>0</v>
      </c>
      <c r="V52" s="4">
        <f>Person1!FZ52+Person2!FZ52</f>
        <v>20</v>
      </c>
      <c r="W52" s="4">
        <f ca="1">Person1!GA52+Person2!GA52</f>
        <v>13.692</v>
      </c>
      <c r="X52" s="4">
        <f>Person1!GB52+Person2!GB52</f>
        <v>15.044719702820473</v>
      </c>
      <c r="Y52" s="4">
        <f ca="1">Person1!GC52+Person2!GC52</f>
        <v>15.56426975055891</v>
      </c>
      <c r="Z52" s="4">
        <f ca="1">Person1!GD52+Person2!GD52</f>
        <v>0</v>
      </c>
      <c r="AA52" s="4">
        <f ca="1">Person1!GE52+Person2!GE52</f>
        <v>23.343762050606497</v>
      </c>
      <c r="AB52" s="4">
        <f ca="1">Person1!GF52+Person2!GF52</f>
        <v>1.6078789384659256</v>
      </c>
      <c r="AC52" s="4" t="e">
        <f ca="1">Person1!GG52+Person2!GG52</f>
        <v>#NAME?</v>
      </c>
      <c r="AD52" s="4" t="e">
        <f ca="1">Person1!GH52+Person2!GH52</f>
        <v>#NAME?</v>
      </c>
      <c r="AF52" s="4">
        <f>Person1!GJ52</f>
        <v>2062</v>
      </c>
      <c r="AG52" s="4">
        <f ca="1">Person1!GK52+Person2!GK52</f>
        <v>1170.8850560456576</v>
      </c>
      <c r="AH52" s="4">
        <f ca="1">Person1!GL52+Person2!GL52</f>
        <v>212.20915241693825</v>
      </c>
      <c r="AI52" s="4">
        <f ca="1">Person1!GM52+Person2!GM52</f>
        <v>709.16987040637105</v>
      </c>
      <c r="AJ52" s="4">
        <f ca="1">Person1!GN52+Person2!GN52</f>
        <v>191.71094934636622</v>
      </c>
    </row>
    <row r="53" spans="1:36" x14ac:dyDescent="0.25">
      <c r="D53">
        <f>Person1!D53</f>
        <v>2063</v>
      </c>
      <c r="E53" s="2" t="str">
        <f>TEXT(Person1!E53,"0")&amp;" / "&amp;TEXT(Person2!E53,"0")</f>
        <v>68 / 68</v>
      </c>
      <c r="F53" s="18" t="e">
        <f ca="1">Person1!V53+Person2!V53</f>
        <v>#NAME?</v>
      </c>
      <c r="G53" s="18" t="e">
        <f ca="1">Person1!W53+Person2!W53</f>
        <v>#NAME?</v>
      </c>
      <c r="H53" s="18" t="e">
        <f ca="1">Person1!X53+Person2!X53</f>
        <v>#NAME?</v>
      </c>
      <c r="I53" s="18">
        <f ca="1">Person1!Y53+Person2!Y53</f>
        <v>-15.664696666132148</v>
      </c>
      <c r="J53" s="18">
        <f ca="1">Person1!Z53+Person2!Z53</f>
        <v>0</v>
      </c>
      <c r="K53" s="18">
        <f ca="1">Person1!AA53+Person2!AA53</f>
        <v>4.0016920144296524</v>
      </c>
      <c r="L53" s="18">
        <f ca="1">Person1!AB53+Person2!AB53</f>
        <v>-23.487200842320693</v>
      </c>
      <c r="M53" s="18">
        <f ca="1">Person1!AC53+Person2!AC53</f>
        <v>1190.0637638209623</v>
      </c>
      <c r="N53" s="18">
        <f ca="1">Person1!AD53+Person2!AD53</f>
        <v>218.45059807625995</v>
      </c>
      <c r="O53" s="18">
        <f ca="1">Person1!AE53+Person2!AE53</f>
        <v>733.88053119814481</v>
      </c>
      <c r="P53" s="18">
        <f ca="1">Person1!AF53+Person2!AF53</f>
        <v>174.46346545399808</v>
      </c>
      <c r="Q53" s="18">
        <f ca="1">Person1!AG53+Person2!AG53</f>
        <v>2316.8583585493652</v>
      </c>
      <c r="R53" s="18"/>
      <c r="T53" s="4">
        <f>Person1!FX53</f>
        <v>2063</v>
      </c>
      <c r="U53" s="4">
        <f>Person1!FY53+Person2!FY53</f>
        <v>0</v>
      </c>
      <c r="V53" s="4">
        <f>Person1!FZ53+Person2!FZ53</f>
        <v>20</v>
      </c>
      <c r="W53" s="4">
        <f ca="1">Person1!GA53+Person2!GA53</f>
        <v>13.692</v>
      </c>
      <c r="X53" s="4">
        <f>Person1!GB53+Person2!GB53</f>
        <v>14.647003236602522</v>
      </c>
      <c r="Y53" s="4">
        <f ca="1">Person1!GC53+Person2!GC53</f>
        <v>15.664696666132148</v>
      </c>
      <c r="Z53" s="4">
        <f ca="1">Person1!GD53+Person2!GD53</f>
        <v>0</v>
      </c>
      <c r="AA53" s="4">
        <f ca="1">Person1!GE53+Person2!GE53</f>
        <v>23.487200842320693</v>
      </c>
      <c r="AB53" s="4">
        <f ca="1">Person1!GF53+Person2!GF53</f>
        <v>1.6284601768831208</v>
      </c>
      <c r="AC53" s="4" t="e">
        <f ca="1">Person1!GG53+Person2!GG53</f>
        <v>#NAME?</v>
      </c>
      <c r="AD53" s="4" t="e">
        <f ca="1">Person1!GH53+Person2!GH53</f>
        <v>#NAME?</v>
      </c>
      <c r="AF53" s="4">
        <f>Person1!GJ53</f>
        <v>2063</v>
      </c>
      <c r="AG53" s="4">
        <f ca="1">Person1!GK53+Person2!GK53</f>
        <v>1190.0637638209623</v>
      </c>
      <c r="AH53" s="4">
        <f ca="1">Person1!GL53+Person2!GL53</f>
        <v>218.45059807625995</v>
      </c>
      <c r="AI53" s="4">
        <f ca="1">Person1!GM53+Person2!GM53</f>
        <v>733.88053119814481</v>
      </c>
      <c r="AJ53" s="4">
        <f ca="1">Person1!GN53+Person2!GN53</f>
        <v>174.46346545399808</v>
      </c>
    </row>
    <row r="54" spans="1:36" x14ac:dyDescent="0.25">
      <c r="D54">
        <f>Person1!D54</f>
        <v>2064</v>
      </c>
      <c r="E54" s="2" t="str">
        <f>TEXT(Person1!E54,"0")&amp;" / "&amp;TEXT(Person2!E54,"0")</f>
        <v>69 / 69</v>
      </c>
      <c r="F54" s="18" t="e">
        <f ca="1">Person1!V54+Person2!V54</f>
        <v>#NAME?</v>
      </c>
      <c r="G54" s="18" t="e">
        <f ca="1">Person1!W54+Person2!W54</f>
        <v>#NAME?</v>
      </c>
      <c r="H54" s="18" t="e">
        <f ca="1">Person1!X54+Person2!X54</f>
        <v>#NAME?</v>
      </c>
      <c r="I54" s="18">
        <f ca="1">Person1!Y54+Person2!Y54</f>
        <v>-15.754367934464087</v>
      </c>
      <c r="J54" s="18">
        <f ca="1">Person1!Z54+Person2!Z54</f>
        <v>0</v>
      </c>
      <c r="K54" s="18">
        <f ca="1">Person1!AA54+Person2!AA54</f>
        <v>3.8710183002850496</v>
      </c>
      <c r="L54" s="18">
        <f ca="1">Person1!AB54+Person2!AB54</f>
        <v>-23.41037893647314</v>
      </c>
      <c r="M54" s="18">
        <f ca="1">Person1!AC54+Person2!AC54</f>
        <v>1209.7080934763515</v>
      </c>
      <c r="N54" s="18">
        <f ca="1">Person1!AD54+Person2!AD54</f>
        <v>224.87561566673821</v>
      </c>
      <c r="O54" s="18">
        <f ca="1">Person1!AE54+Person2!AE54</f>
        <v>759.38848016909969</v>
      </c>
      <c r="P54" s="18">
        <f ca="1">Person1!AF54+Person2!AF54</f>
        <v>156.56807635723263</v>
      </c>
      <c r="Q54" s="18">
        <f ca="1">Person1!AG54+Person2!AG54</f>
        <v>2350.5402656694218</v>
      </c>
      <c r="R54" s="18"/>
      <c r="T54" s="4">
        <f>Person1!FX54</f>
        <v>2064</v>
      </c>
      <c r="U54" s="4">
        <f>Person1!FY54+Person2!FY54</f>
        <v>0</v>
      </c>
      <c r="V54" s="4">
        <f>Person1!FZ54+Person2!FZ54</f>
        <v>19.999999999999996</v>
      </c>
      <c r="W54" s="4">
        <f ca="1">Person1!GA54+Person2!GA54</f>
        <v>13.692</v>
      </c>
      <c r="X54" s="4">
        <f>Person1!GB54+Person2!GB54</f>
        <v>14.255135541946602</v>
      </c>
      <c r="Y54" s="4">
        <f ca="1">Person1!GC54+Person2!GC54</f>
        <v>15.754367934464087</v>
      </c>
      <c r="Z54" s="4">
        <f ca="1">Person1!GD54+Person2!GD54</f>
        <v>0</v>
      </c>
      <c r="AA54" s="4">
        <f ca="1">Person1!GE54+Person2!GE54</f>
        <v>23.41037893647314</v>
      </c>
      <c r="AB54" s="4">
        <f ca="1">Person1!GF54+Person2!GF54</f>
        <v>1.6487387500215902</v>
      </c>
      <c r="AC54" s="4" t="e">
        <f ca="1">Person1!GG54+Person2!GG54</f>
        <v>#NAME?</v>
      </c>
      <c r="AD54" s="4" t="e">
        <f ca="1">Person1!GH54+Person2!GH54</f>
        <v>#NAME?</v>
      </c>
      <c r="AF54" s="4">
        <f>Person1!GJ54</f>
        <v>2064</v>
      </c>
      <c r="AG54" s="4">
        <f ca="1">Person1!GK54+Person2!GK54</f>
        <v>1209.7080934763515</v>
      </c>
      <c r="AH54" s="4">
        <f ca="1">Person1!GL54+Person2!GL54</f>
        <v>224.87561566673821</v>
      </c>
      <c r="AI54" s="4">
        <f ca="1">Person1!GM54+Person2!GM54</f>
        <v>759.38848016909969</v>
      </c>
      <c r="AJ54" s="4">
        <f ca="1">Person1!GN54+Person2!GN54</f>
        <v>156.56807635723263</v>
      </c>
    </row>
    <row r="55" spans="1:36" x14ac:dyDescent="0.25">
      <c r="D55">
        <f>Person1!D55</f>
        <v>2065</v>
      </c>
      <c r="E55" s="2" t="str">
        <f>TEXT(Person1!E55,"0")&amp;" / "&amp;TEXT(Person2!E55,"0")</f>
        <v>70 / 70</v>
      </c>
      <c r="F55" s="18" t="e">
        <f ca="1">Person1!V55+Person2!V55</f>
        <v>#NAME?</v>
      </c>
      <c r="G55" s="18" t="e">
        <f ca="1">Person1!W55+Person2!W55</f>
        <v>#NAME?</v>
      </c>
      <c r="H55" s="18" t="e">
        <f ca="1">Person1!X55+Person2!X55</f>
        <v>#NAME?</v>
      </c>
      <c r="I55" s="18">
        <f ca="1">Person1!Y55+Person2!Y55</f>
        <v>-15.842263331939517</v>
      </c>
      <c r="J55" s="18">
        <f ca="1">Person1!Z55+Person2!Z55</f>
        <v>0</v>
      </c>
      <c r="K55" s="18">
        <f ca="1">Person1!AA55+Person2!AA55</f>
        <v>3.9360762153417141</v>
      </c>
      <c r="L55" s="18">
        <f ca="1">Person1!AB55+Person2!AB55</f>
        <v>-23.527677784995799</v>
      </c>
      <c r="M55" s="18">
        <f ca="1">Person1!AC55+Person2!AC55</f>
        <v>1229.8422845252012</v>
      </c>
      <c r="N55" s="18">
        <f ca="1">Person1!AD55+Person2!AD55</f>
        <v>231.4896043628188</v>
      </c>
      <c r="O55" s="18">
        <f ca="1">Person1!AE55+Person2!AE55</f>
        <v>785.51855144886269</v>
      </c>
      <c r="P55" s="18">
        <f ca="1">Person1!AF55+Person2!AF55</f>
        <v>138.22166788100111</v>
      </c>
      <c r="Q55" s="18">
        <f ca="1">Person1!AG55+Person2!AG55</f>
        <v>2385.0721082178839</v>
      </c>
      <c r="R55" s="18"/>
      <c r="T55" s="4">
        <f>Person1!FX55</f>
        <v>2065</v>
      </c>
      <c r="U55" s="4">
        <f>Person1!FY55+Person2!FY55</f>
        <v>0</v>
      </c>
      <c r="V55" s="4">
        <f>Person1!FZ55+Person2!FZ55</f>
        <v>20</v>
      </c>
      <c r="W55" s="4">
        <f ca="1">Person1!GA55+Person2!GA55</f>
        <v>13.692</v>
      </c>
      <c r="X55" s="4">
        <f>Person1!GB55+Person2!GB55</f>
        <v>13.869030607506208</v>
      </c>
      <c r="Y55" s="4">
        <f ca="1">Person1!GC55+Person2!GC55</f>
        <v>15.842263331939517</v>
      </c>
      <c r="Z55" s="4">
        <f ca="1">Person1!GD55+Person2!GD55</f>
        <v>0</v>
      </c>
      <c r="AA55" s="4">
        <f ca="1">Person1!GE55+Person2!GE55</f>
        <v>23.527677784995799</v>
      </c>
      <c r="AB55" s="4">
        <f ca="1">Person1!GF55+Person2!GF55</f>
        <v>1.6687191088492026</v>
      </c>
      <c r="AC55" s="4" t="e">
        <f ca="1">Person1!GG55+Person2!GG55</f>
        <v>#NAME?</v>
      </c>
      <c r="AD55" s="4" t="e">
        <f ca="1">Person1!GH55+Person2!GH55</f>
        <v>#NAME?</v>
      </c>
      <c r="AF55" s="4">
        <f>Person1!GJ55</f>
        <v>2065</v>
      </c>
      <c r="AG55" s="4">
        <f ca="1">Person1!GK55+Person2!GK55</f>
        <v>1229.8422845252012</v>
      </c>
      <c r="AH55" s="4">
        <f ca="1">Person1!GL55+Person2!GL55</f>
        <v>231.4896043628188</v>
      </c>
      <c r="AI55" s="4">
        <f ca="1">Person1!GM55+Person2!GM55</f>
        <v>785.51855144886269</v>
      </c>
      <c r="AJ55" s="4">
        <f ca="1">Person1!GN55+Person2!GN55</f>
        <v>138.22166788100111</v>
      </c>
    </row>
    <row r="56" spans="1:36" x14ac:dyDescent="0.25">
      <c r="D56">
        <f>Person1!D56</f>
        <v>2066</v>
      </c>
      <c r="E56" s="2" t="str">
        <f>TEXT(Person1!E56,"0")&amp;" / "&amp;TEXT(Person2!E56,"0")</f>
        <v>71 / 71</v>
      </c>
      <c r="F56" s="18" t="e">
        <f ca="1">Person1!V56+Person2!V56</f>
        <v>#NAME?</v>
      </c>
      <c r="G56" s="18" t="e">
        <f ca="1">Person1!W56+Person2!W56</f>
        <v>#NAME?</v>
      </c>
      <c r="H56" s="18" t="e">
        <f ca="1">Person1!X56+Person2!X56</f>
        <v>#NAME?</v>
      </c>
      <c r="I56" s="18" t="e">
        <f ca="1">Person1!Y56+Person2!Y56</f>
        <v>#NAME?</v>
      </c>
      <c r="J56" s="18" t="e">
        <f ca="1">Person1!Z56+Person2!Z56</f>
        <v>#NAME?</v>
      </c>
      <c r="K56" s="18" t="e">
        <f ca="1">Person1!AA56+Person2!AA56</f>
        <v>#NAME?</v>
      </c>
      <c r="L56" s="18" t="e">
        <f ca="1">Person1!AB56+Person2!AB56</f>
        <v>#NAME?</v>
      </c>
      <c r="M56" s="18">
        <f ca="1">Person1!AC56+Person2!AC56</f>
        <v>1250.4824857054132</v>
      </c>
      <c r="N56" s="18">
        <f ca="1">Person1!AD56+Person2!AD56</f>
        <v>238.29812213819579</v>
      </c>
      <c r="O56" s="18">
        <f ca="1">Person1!AE56+Person2!AE56</f>
        <v>812.4809365065172</v>
      </c>
      <c r="P56" s="18">
        <f ca="1">Person1!AF56+Person2!AF56</f>
        <v>119.22066028436797</v>
      </c>
      <c r="Q56" s="18">
        <f ca="1">Person1!AG56+Person2!AG56</f>
        <v>2420.4822046344943</v>
      </c>
      <c r="R56" s="18"/>
      <c r="T56" s="4">
        <f>Person1!FX56</f>
        <v>2066</v>
      </c>
      <c r="U56" s="4">
        <f>Person1!FY56+Person2!FY56</f>
        <v>0</v>
      </c>
      <c r="V56" s="4">
        <f>Person1!FZ56+Person2!FZ56</f>
        <v>20</v>
      </c>
      <c r="W56" s="4">
        <f ca="1">Person1!GA56+Person2!GA56</f>
        <v>13.692</v>
      </c>
      <c r="X56" s="4">
        <f>Person1!GB56+Person2!GB56</f>
        <v>13.488603686807581</v>
      </c>
      <c r="Y56" s="4" t="e">
        <f ca="1">Person1!GC56+Person2!GC56</f>
        <v>#NAME?</v>
      </c>
      <c r="Z56" s="4" t="e">
        <f ca="1">Person1!GD56+Person2!GD56</f>
        <v>#NAME?</v>
      </c>
      <c r="AA56" s="4" t="e">
        <f ca="1">Person1!GE56+Person2!GE56</f>
        <v>#NAME?</v>
      </c>
      <c r="AB56" s="4" t="e">
        <f ca="1">Person1!GF56+Person2!GF56</f>
        <v>#NAME?</v>
      </c>
      <c r="AC56" s="4" t="e">
        <f ca="1">Person1!GG56+Person2!GG56</f>
        <v>#NAME?</v>
      </c>
      <c r="AD56" s="4" t="e">
        <f ca="1">Person1!GH56+Person2!GH56</f>
        <v>#NAME?</v>
      </c>
      <c r="AF56" s="4">
        <f>Person1!GJ56</f>
        <v>2066</v>
      </c>
      <c r="AG56" s="4">
        <f ca="1">Person1!GK56+Person2!GK56</f>
        <v>1250.4824857054132</v>
      </c>
      <c r="AH56" s="4">
        <f ca="1">Person1!GL56+Person2!GL56</f>
        <v>238.29812213819579</v>
      </c>
      <c r="AI56" s="4">
        <f ca="1">Person1!GM56+Person2!GM56</f>
        <v>812.4809365065172</v>
      </c>
      <c r="AJ56" s="4">
        <f ca="1">Person1!GN56+Person2!GN56</f>
        <v>119.22066028436797</v>
      </c>
    </row>
    <row r="57" spans="1:36" x14ac:dyDescent="0.25">
      <c r="D57">
        <f>Person1!D57</f>
        <v>2067</v>
      </c>
      <c r="E57" s="2" t="str">
        <f>TEXT(Person1!E57,"0")&amp;" / "&amp;TEXT(Person2!E57,"0")</f>
        <v>72 / 72</v>
      </c>
      <c r="F57" s="18" t="e">
        <f ca="1">Person1!V57+Person2!V57</f>
        <v>#NAME?</v>
      </c>
      <c r="G57" s="18" t="e">
        <f ca="1">Person1!W57+Person2!W57</f>
        <v>#NAME?</v>
      </c>
      <c r="H57" s="18" t="e">
        <f ca="1">Person1!X57+Person2!X57</f>
        <v>#NAME?</v>
      </c>
      <c r="I57" s="18" t="e">
        <f ca="1">Person1!Y57+Person2!Y57</f>
        <v>#NAME?</v>
      </c>
      <c r="J57" s="18" t="e">
        <f ca="1">Person1!Z57+Person2!Z57</f>
        <v>#NAME?</v>
      </c>
      <c r="K57" s="18" t="e">
        <f ca="1">Person1!AA57+Person2!AA57</f>
        <v>#NAME?</v>
      </c>
      <c r="L57" s="18" t="e">
        <f ca="1">Person1!AB57+Person2!AB57</f>
        <v>#NAME?</v>
      </c>
      <c r="M57" s="18" t="e">
        <f ca="1">Person1!AC57+Person2!AC57</f>
        <v>#NAME?</v>
      </c>
      <c r="N57" s="18" t="e">
        <f ca="1">Person1!AD57+Person2!AD57</f>
        <v>#NAME?</v>
      </c>
      <c r="O57" s="18" t="e">
        <f ca="1">Person1!AE57+Person2!AE57</f>
        <v>#NAME?</v>
      </c>
      <c r="P57" s="18" t="e">
        <f ca="1">Person1!AF57+Person2!AF57</f>
        <v>#NAME?</v>
      </c>
      <c r="Q57" s="18" t="e">
        <f ca="1">Person1!AG57+Person2!AG57</f>
        <v>#NAME?</v>
      </c>
      <c r="R57" s="18"/>
      <c r="T57" s="4">
        <f>Person1!FX57</f>
        <v>2067</v>
      </c>
      <c r="U57" s="4">
        <f>Person1!FY57+Person2!FY57</f>
        <v>0</v>
      </c>
      <c r="V57" s="4">
        <f>Person1!FZ57+Person2!FZ57</f>
        <v>20</v>
      </c>
      <c r="W57" s="4" t="e">
        <f ca="1">Person1!GA57+Person2!GA57</f>
        <v>#NAME?</v>
      </c>
      <c r="X57" s="4">
        <f>Person1!GB57+Person2!GB57</f>
        <v>13.113771279648644</v>
      </c>
      <c r="Y57" s="4" t="e">
        <f ca="1">Person1!GC57+Person2!GC57</f>
        <v>#NAME?</v>
      </c>
      <c r="Z57" s="4" t="e">
        <f ca="1">Person1!GD57+Person2!GD57</f>
        <v>#NAME?</v>
      </c>
      <c r="AA57" s="4" t="e">
        <f ca="1">Person1!GE57+Person2!GE57</f>
        <v>#NAME?</v>
      </c>
      <c r="AB57" s="4" t="e">
        <f ca="1">Person1!GF57+Person2!GF57</f>
        <v>#NAME?</v>
      </c>
      <c r="AC57" s="4" t="e">
        <f ca="1">Person1!GG57+Person2!GG57</f>
        <v>#NAME?</v>
      </c>
      <c r="AD57" s="4" t="e">
        <f ca="1">Person1!GH57+Person2!GH57</f>
        <v>#NAME?</v>
      </c>
      <c r="AF57" s="4">
        <f>Person1!GJ57</f>
        <v>2067</v>
      </c>
      <c r="AG57" s="4" t="e">
        <f ca="1">Person1!GK57+Person2!GK57</f>
        <v>#NAME?</v>
      </c>
      <c r="AH57" s="4" t="e">
        <f ca="1">Person1!GL57+Person2!GL57</f>
        <v>#NAME?</v>
      </c>
      <c r="AI57" s="4" t="e">
        <f ca="1">Person1!GM57+Person2!GM57</f>
        <v>#NAME?</v>
      </c>
      <c r="AJ57" s="4" t="e">
        <f ca="1">Person1!GN57+Person2!GN57</f>
        <v>#NAME?</v>
      </c>
    </row>
    <row r="58" spans="1:36" x14ac:dyDescent="0.25">
      <c r="B58" s="4"/>
      <c r="C58" s="4"/>
      <c r="D58">
        <f>Person1!D58</f>
        <v>2068</v>
      </c>
      <c r="E58" s="2" t="str">
        <f>TEXT(Person1!E58,"0")&amp;" / "&amp;TEXT(Person2!E58,"0")</f>
        <v>73 / 73</v>
      </c>
      <c r="F58" s="18" t="e">
        <f ca="1">Person1!V58+Person2!V58</f>
        <v>#NAME?</v>
      </c>
      <c r="G58" s="18" t="e">
        <f ca="1">Person1!W58+Person2!W58</f>
        <v>#NAME?</v>
      </c>
      <c r="H58" s="18" t="e">
        <f ca="1">Person1!X58+Person2!X58</f>
        <v>#NAME?</v>
      </c>
      <c r="I58" s="18" t="e">
        <f ca="1">Person1!Y58+Person2!Y58</f>
        <v>#NAME?</v>
      </c>
      <c r="J58" s="18" t="e">
        <f ca="1">Person1!Z58+Person2!Z58</f>
        <v>#NAME?</v>
      </c>
      <c r="K58" s="18" t="e">
        <f ca="1">Person1!AA58+Person2!AA58</f>
        <v>#NAME?</v>
      </c>
      <c r="L58" s="18" t="e">
        <f ca="1">Person1!AB58+Person2!AB58</f>
        <v>#NAME?</v>
      </c>
      <c r="M58" s="18" t="e">
        <f ca="1">Person1!AC58+Person2!AC58</f>
        <v>#NAME?</v>
      </c>
      <c r="N58" s="18" t="e">
        <f ca="1">Person1!AD58+Person2!AD58</f>
        <v>#NAME?</v>
      </c>
      <c r="O58" s="18" t="e">
        <f ca="1">Person1!AE58+Person2!AE58</f>
        <v>#NAME?</v>
      </c>
      <c r="P58" s="18" t="e">
        <f ca="1">Person1!AF58+Person2!AF58</f>
        <v>#NAME?</v>
      </c>
      <c r="Q58" s="18" t="e">
        <f ca="1">Person1!AG58+Person2!AG58</f>
        <v>#NAME?</v>
      </c>
      <c r="R58" s="18"/>
      <c r="T58" s="4">
        <f>Person1!FX58</f>
        <v>2068</v>
      </c>
      <c r="U58" s="4">
        <f>Person1!FY58+Person2!FY58</f>
        <v>0</v>
      </c>
      <c r="V58" s="4">
        <f>Person1!FZ58+Person2!FZ58</f>
        <v>20</v>
      </c>
      <c r="W58" s="4" t="e">
        <f ca="1">Person1!GA58+Person2!GA58</f>
        <v>#NAME?</v>
      </c>
      <c r="X58" s="4">
        <f>Person1!GB58+Person2!GB58</f>
        <v>12.744451113771456</v>
      </c>
      <c r="Y58" s="4" t="e">
        <f ca="1">Person1!GC58+Person2!GC58</f>
        <v>#NAME?</v>
      </c>
      <c r="Z58" s="4" t="e">
        <f ca="1">Person1!GD58+Person2!GD58</f>
        <v>#NAME?</v>
      </c>
      <c r="AA58" s="4" t="e">
        <f ca="1">Person1!GE58+Person2!GE58</f>
        <v>#NAME?</v>
      </c>
      <c r="AB58" s="4" t="e">
        <f ca="1">Person1!GF58+Person2!GF58</f>
        <v>#NAME?</v>
      </c>
      <c r="AC58" s="4" t="e">
        <f ca="1">Person1!GG58+Person2!GG58</f>
        <v>#NAME?</v>
      </c>
      <c r="AD58" s="4" t="e">
        <f ca="1">Person1!GH58+Person2!GH58</f>
        <v>#NAME?</v>
      </c>
      <c r="AF58" s="4">
        <f>Person1!GJ58</f>
        <v>2068</v>
      </c>
      <c r="AG58" s="4" t="e">
        <f ca="1">Person1!GK58+Person2!GK58</f>
        <v>#NAME?</v>
      </c>
      <c r="AH58" s="4" t="e">
        <f ca="1">Person1!GL58+Person2!GL58</f>
        <v>#NAME?</v>
      </c>
      <c r="AI58" s="4" t="e">
        <f ca="1">Person1!GM58+Person2!GM58</f>
        <v>#NAME?</v>
      </c>
      <c r="AJ58" s="4" t="e">
        <f ca="1">Person1!GN58+Person2!GN58</f>
        <v>#NAME?</v>
      </c>
    </row>
    <row r="59" spans="1:36" x14ac:dyDescent="0.25">
      <c r="B59" s="4"/>
      <c r="C59" s="4"/>
      <c r="D59">
        <f>Person1!D59</f>
        <v>2069</v>
      </c>
      <c r="E59" s="2" t="str">
        <f>TEXT(Person1!E59,"0")&amp;" / "&amp;TEXT(Person2!E59,"0")</f>
        <v>74 / 74</v>
      </c>
      <c r="F59" s="18" t="e">
        <f ca="1">Person1!V59+Person2!V59</f>
        <v>#NAME?</v>
      </c>
      <c r="G59" s="18" t="e">
        <f ca="1">Person1!W59+Person2!W59</f>
        <v>#NAME?</v>
      </c>
      <c r="H59" s="18" t="e">
        <f ca="1">Person1!X59+Person2!X59</f>
        <v>#NAME?</v>
      </c>
      <c r="I59" s="18" t="e">
        <f ca="1">Person1!Y59+Person2!Y59</f>
        <v>#NAME?</v>
      </c>
      <c r="J59" s="18" t="e">
        <f ca="1">Person1!Z59+Person2!Z59</f>
        <v>#NAME?</v>
      </c>
      <c r="K59" s="18" t="e">
        <f ca="1">Person1!AA59+Person2!AA59</f>
        <v>#NAME?</v>
      </c>
      <c r="L59" s="18" t="e">
        <f ca="1">Person1!AB59+Person2!AB59</f>
        <v>#NAME?</v>
      </c>
      <c r="M59" s="18" t="e">
        <f ca="1">Person1!AC59+Person2!AC59</f>
        <v>#NAME?</v>
      </c>
      <c r="N59" s="18" t="e">
        <f ca="1">Person1!AD59+Person2!AD59</f>
        <v>#NAME?</v>
      </c>
      <c r="O59" s="18" t="e">
        <f ca="1">Person1!AE59+Person2!AE59</f>
        <v>#NAME?</v>
      </c>
      <c r="P59" s="18" t="e">
        <f ca="1">Person1!AF59+Person2!AF59</f>
        <v>#NAME?</v>
      </c>
      <c r="Q59" s="18" t="e">
        <f ca="1">Person1!AG59+Person2!AG59</f>
        <v>#NAME?</v>
      </c>
      <c r="R59" s="18"/>
      <c r="T59" s="4">
        <f>Person1!FX59</f>
        <v>2069</v>
      </c>
      <c r="U59" s="4">
        <f>Person1!FY59+Person2!FY59</f>
        <v>0</v>
      </c>
      <c r="V59" s="4">
        <f>Person1!FZ59+Person2!FZ59</f>
        <v>20</v>
      </c>
      <c r="W59" s="4" t="e">
        <f ca="1">Person1!GA59+Person2!GA59</f>
        <v>#NAME?</v>
      </c>
      <c r="X59" s="4">
        <f>Person1!GB59+Person2!GB59</f>
        <v>12.380562126804225</v>
      </c>
      <c r="Y59" s="4" t="e">
        <f ca="1">Person1!GC59+Person2!GC59</f>
        <v>#NAME?</v>
      </c>
      <c r="Z59" s="4" t="e">
        <f ca="1">Person1!GD59+Person2!GD59</f>
        <v>#NAME?</v>
      </c>
      <c r="AA59" s="4" t="e">
        <f ca="1">Person1!GE59+Person2!GE59</f>
        <v>#NAME?</v>
      </c>
      <c r="AB59" s="4" t="e">
        <f ca="1">Person1!GF59+Person2!GF59</f>
        <v>#NAME?</v>
      </c>
      <c r="AC59" s="4" t="e">
        <f ca="1">Person1!GG59+Person2!GG59</f>
        <v>#NAME?</v>
      </c>
      <c r="AD59" s="4" t="e">
        <f ca="1">Person1!GH59+Person2!GH59</f>
        <v>#NAME?</v>
      </c>
      <c r="AF59" s="4">
        <f>Person1!GJ59</f>
        <v>2069</v>
      </c>
      <c r="AG59" s="4" t="e">
        <f ca="1">Person1!GK59+Person2!GK59</f>
        <v>#NAME?</v>
      </c>
      <c r="AH59" s="4" t="e">
        <f ca="1">Person1!GL59+Person2!GL59</f>
        <v>#NAME?</v>
      </c>
      <c r="AI59" s="4" t="e">
        <f ca="1">Person1!GM59+Person2!GM59</f>
        <v>#NAME?</v>
      </c>
      <c r="AJ59" s="4" t="e">
        <f ca="1">Person1!GN59+Person2!GN59</f>
        <v>#NAME?</v>
      </c>
    </row>
    <row r="60" spans="1:36" x14ac:dyDescent="0.25">
      <c r="B60" s="4"/>
      <c r="C60" s="4"/>
      <c r="D60">
        <f>Person1!D60</f>
        <v>2070</v>
      </c>
      <c r="E60" s="2" t="str">
        <f>TEXT(Person1!E60,"0")&amp;" / "&amp;TEXT(Person2!E60,"0")</f>
        <v>75 / 75</v>
      </c>
      <c r="F60" s="18" t="e">
        <f ca="1">Person1!V60+Person2!V60</f>
        <v>#NAME?</v>
      </c>
      <c r="G60" s="18" t="e">
        <f ca="1">Person1!W60+Person2!W60</f>
        <v>#NAME?</v>
      </c>
      <c r="H60" s="18" t="e">
        <f ca="1">Person1!X60+Person2!X60</f>
        <v>#NAME?</v>
      </c>
      <c r="I60" s="18" t="e">
        <f ca="1">Person1!Y60+Person2!Y60</f>
        <v>#NAME?</v>
      </c>
      <c r="J60" s="18" t="e">
        <f ca="1">Person1!Z60+Person2!Z60</f>
        <v>#NAME?</v>
      </c>
      <c r="K60" s="18" t="e">
        <f ca="1">Person1!AA60+Person2!AA60</f>
        <v>#NAME?</v>
      </c>
      <c r="L60" s="18" t="e">
        <f ca="1">Person1!AB60+Person2!AB60</f>
        <v>#NAME?</v>
      </c>
      <c r="M60" s="18" t="e">
        <f ca="1">Person1!AC60+Person2!AC60</f>
        <v>#NAME?</v>
      </c>
      <c r="N60" s="18" t="e">
        <f ca="1">Person1!AD60+Person2!AD60</f>
        <v>#NAME?</v>
      </c>
      <c r="O60" s="18" t="e">
        <f ca="1">Person1!AE60+Person2!AE60</f>
        <v>#NAME?</v>
      </c>
      <c r="P60" s="18" t="e">
        <f ca="1">Person1!AF60+Person2!AF60</f>
        <v>#NAME?</v>
      </c>
      <c r="Q60" s="18" t="e">
        <f ca="1">Person1!AG60+Person2!AG60</f>
        <v>#NAME?</v>
      </c>
      <c r="R60" s="18"/>
      <c r="T60" s="4">
        <f>Person1!FX60</f>
        <v>2070</v>
      </c>
      <c r="U60" s="4">
        <f>Person1!FY60+Person2!FY60</f>
        <v>0</v>
      </c>
      <c r="V60" s="4">
        <f>Person1!FZ60+Person2!FZ60</f>
        <v>20</v>
      </c>
      <c r="W60" s="4" t="e">
        <f ca="1">Person1!GA60+Person2!GA60</f>
        <v>#NAME?</v>
      </c>
      <c r="X60" s="4">
        <f>Person1!GB60+Person2!GB60</f>
        <v>12.022024448468862</v>
      </c>
      <c r="Y60" s="4" t="e">
        <f ca="1">Person1!GC60+Person2!GC60</f>
        <v>#NAME?</v>
      </c>
      <c r="Z60" s="4" t="e">
        <f ca="1">Person1!GD60+Person2!GD60</f>
        <v>#NAME?</v>
      </c>
      <c r="AA60" s="4" t="e">
        <f ca="1">Person1!GE60+Person2!GE60</f>
        <v>#NAME?</v>
      </c>
      <c r="AB60" s="4" t="e">
        <f ca="1">Person1!GF60+Person2!GF60</f>
        <v>#NAME?</v>
      </c>
      <c r="AC60" s="4" t="e">
        <f ca="1">Person1!GG60+Person2!GG60</f>
        <v>#NAME?</v>
      </c>
      <c r="AD60" s="4" t="e">
        <f ca="1">Person1!GH60+Person2!GH60</f>
        <v>#NAME?</v>
      </c>
      <c r="AF60" s="4">
        <f>Person1!GJ60</f>
        <v>2070</v>
      </c>
      <c r="AG60" s="4" t="e">
        <f ca="1">Person1!GK60+Person2!GK60</f>
        <v>#NAME?</v>
      </c>
      <c r="AH60" s="4" t="e">
        <f ca="1">Person1!GL60+Person2!GL60</f>
        <v>#NAME?</v>
      </c>
      <c r="AI60" s="4" t="e">
        <f ca="1">Person1!GM60+Person2!GM60</f>
        <v>#NAME?</v>
      </c>
      <c r="AJ60" s="4" t="e">
        <f ca="1">Person1!GN60+Person2!GN60</f>
        <v>#NAME?</v>
      </c>
    </row>
    <row r="61" spans="1:36" x14ac:dyDescent="0.25">
      <c r="D61">
        <f>Person1!D61</f>
        <v>2071</v>
      </c>
      <c r="E61" s="2" t="str">
        <f>TEXT(Person1!E61,"0")&amp;" / "&amp;TEXT(Person2!E61,"0")</f>
        <v>76 / 76</v>
      </c>
      <c r="F61" s="18" t="e">
        <f ca="1">Person1!V61+Person2!V61</f>
        <v>#NAME?</v>
      </c>
      <c r="G61" s="18" t="e">
        <f ca="1">Person1!W61+Person2!W61</f>
        <v>#NAME?</v>
      </c>
      <c r="H61" s="18" t="e">
        <f ca="1">Person1!X61+Person2!X61</f>
        <v>#NAME?</v>
      </c>
      <c r="I61" s="18" t="e">
        <f ca="1">Person1!Y61+Person2!Y61</f>
        <v>#NAME?</v>
      </c>
      <c r="J61" s="18" t="e">
        <f ca="1">Person1!Z61+Person2!Z61</f>
        <v>#NAME?</v>
      </c>
      <c r="K61" s="18" t="e">
        <f ca="1">Person1!AA61+Person2!AA61</f>
        <v>#NAME?</v>
      </c>
      <c r="L61" s="18" t="e">
        <f ca="1">Person1!AB61+Person2!AB61</f>
        <v>#NAME?</v>
      </c>
      <c r="M61" s="18" t="e">
        <f ca="1">Person1!AC61+Person2!AC61</f>
        <v>#NAME?</v>
      </c>
      <c r="N61" s="18" t="e">
        <f ca="1">Person1!AD61+Person2!AD61</f>
        <v>#NAME?</v>
      </c>
      <c r="O61" s="18" t="e">
        <f ca="1">Person1!AE61+Person2!AE61</f>
        <v>#NAME?</v>
      </c>
      <c r="P61" s="18" t="e">
        <f ca="1">Person1!AF61+Person2!AF61</f>
        <v>#NAME?</v>
      </c>
      <c r="Q61" s="18" t="e">
        <f ca="1">Person1!AG61+Person2!AG61</f>
        <v>#NAME?</v>
      </c>
      <c r="R61" s="18"/>
      <c r="T61" s="4">
        <f>Person1!FX61</f>
        <v>2071</v>
      </c>
      <c r="U61" s="4">
        <f>Person1!FY61+Person2!FY61</f>
        <v>0</v>
      </c>
      <c r="V61" s="4">
        <f>Person1!FZ61+Person2!FZ61</f>
        <v>20</v>
      </c>
      <c r="W61" s="4" t="e">
        <f ca="1">Person1!GA61+Person2!GA61</f>
        <v>#NAME?</v>
      </c>
      <c r="X61" s="4">
        <f>Person1!GB61+Person2!GB61</f>
        <v>11.668759383050203</v>
      </c>
      <c r="Y61" s="4" t="e">
        <f ca="1">Person1!GC61+Person2!GC61</f>
        <v>#NAME?</v>
      </c>
      <c r="Z61" s="4" t="e">
        <f ca="1">Person1!GD61+Person2!GD61</f>
        <v>#NAME?</v>
      </c>
      <c r="AA61" s="4" t="e">
        <f ca="1">Person1!GE61+Person2!GE61</f>
        <v>#NAME?</v>
      </c>
      <c r="AB61" s="4" t="e">
        <f ca="1">Person1!GF61+Person2!GF61</f>
        <v>#NAME?</v>
      </c>
      <c r="AC61" s="4" t="e">
        <f ca="1">Person1!GG61+Person2!GG61</f>
        <v>#NAME?</v>
      </c>
      <c r="AD61" s="4" t="e">
        <f ca="1">Person1!GH61+Person2!GH61</f>
        <v>#NAME?</v>
      </c>
      <c r="AF61" s="4">
        <f>Person1!GJ61</f>
        <v>2071</v>
      </c>
      <c r="AG61" s="4" t="e">
        <f ca="1">Person1!GK61+Person2!GK61</f>
        <v>#NAME?</v>
      </c>
      <c r="AH61" s="4" t="e">
        <f ca="1">Person1!GL61+Person2!GL61</f>
        <v>#NAME?</v>
      </c>
      <c r="AI61" s="4" t="e">
        <f ca="1">Person1!GM61+Person2!GM61</f>
        <v>#NAME?</v>
      </c>
      <c r="AJ61" s="4" t="e">
        <f ca="1">Person1!GN61+Person2!GN61</f>
        <v>#NAME?</v>
      </c>
    </row>
    <row r="62" spans="1:36" x14ac:dyDescent="0.25">
      <c r="B62" s="4"/>
      <c r="C62" s="4"/>
      <c r="D62">
        <f>Person1!D62</f>
        <v>2072</v>
      </c>
      <c r="E62" s="2" t="str">
        <f>TEXT(Person1!E62,"0")&amp;" / "&amp;TEXT(Person2!E62,"0")</f>
        <v>77 / 77</v>
      </c>
      <c r="F62" s="18" t="e">
        <f ca="1">Person1!V62+Person2!V62</f>
        <v>#NAME?</v>
      </c>
      <c r="G62" s="18" t="e">
        <f ca="1">Person1!W62+Person2!W62</f>
        <v>#NAME?</v>
      </c>
      <c r="H62" s="18" t="e">
        <f ca="1">Person1!X62+Person2!X62</f>
        <v>#NAME?</v>
      </c>
      <c r="I62" s="18" t="e">
        <f ca="1">Person1!Y62+Person2!Y62</f>
        <v>#NAME?</v>
      </c>
      <c r="J62" s="18" t="e">
        <f ca="1">Person1!Z62+Person2!Z62</f>
        <v>#NAME?</v>
      </c>
      <c r="K62" s="18" t="e">
        <f ca="1">Person1!AA62+Person2!AA62</f>
        <v>#NAME?</v>
      </c>
      <c r="L62" s="18" t="e">
        <f ca="1">Person1!AB62+Person2!AB62</f>
        <v>#NAME?</v>
      </c>
      <c r="M62" s="18" t="e">
        <f ca="1">Person1!AC62+Person2!AC62</f>
        <v>#NAME?</v>
      </c>
      <c r="N62" s="18" t="e">
        <f ca="1">Person1!AD62+Person2!AD62</f>
        <v>#NAME?</v>
      </c>
      <c r="O62" s="18" t="e">
        <f ca="1">Person1!AE62+Person2!AE62</f>
        <v>#NAME?</v>
      </c>
      <c r="P62" s="18" t="e">
        <f ca="1">Person1!AF62+Person2!AF62</f>
        <v>#NAME?</v>
      </c>
      <c r="Q62" s="18" t="e">
        <f ca="1">Person1!AG62+Person2!AG62</f>
        <v>#NAME?</v>
      </c>
      <c r="R62" s="18"/>
      <c r="T62" s="4">
        <f>Person1!FX62</f>
        <v>2072</v>
      </c>
      <c r="U62" s="4">
        <f>Person1!FY62+Person2!FY62</f>
        <v>0</v>
      </c>
      <c r="V62" s="4">
        <f>Person1!FZ62+Person2!FZ62</f>
        <v>20</v>
      </c>
      <c r="W62" s="4" t="e">
        <f ca="1">Person1!GA62+Person2!GA62</f>
        <v>#NAME?</v>
      </c>
      <c r="X62" s="4">
        <f>Person1!GB62+Person2!GB62</f>
        <v>11.320689392122992</v>
      </c>
      <c r="Y62" s="4" t="e">
        <f ca="1">Person1!GC62+Person2!GC62</f>
        <v>#NAME?</v>
      </c>
      <c r="Z62" s="4" t="e">
        <f ca="1">Person1!GD62+Person2!GD62</f>
        <v>#NAME?</v>
      </c>
      <c r="AA62" s="4" t="e">
        <f ca="1">Person1!GE62+Person2!GE62</f>
        <v>#NAME?</v>
      </c>
      <c r="AB62" s="4" t="e">
        <f ca="1">Person1!GF62+Person2!GF62</f>
        <v>#NAME?</v>
      </c>
      <c r="AC62" s="4" t="e">
        <f ca="1">Person1!GG62+Person2!GG62</f>
        <v>#NAME?</v>
      </c>
      <c r="AD62" s="4" t="e">
        <f ca="1">Person1!GH62+Person2!GH62</f>
        <v>#NAME?</v>
      </c>
      <c r="AF62" s="4">
        <f>Person1!GJ62</f>
        <v>2072</v>
      </c>
      <c r="AG62" s="4" t="e">
        <f ca="1">Person1!GK62+Person2!GK62</f>
        <v>#NAME?</v>
      </c>
      <c r="AH62" s="4" t="e">
        <f ca="1">Person1!GL62+Person2!GL62</f>
        <v>#NAME?</v>
      </c>
      <c r="AI62" s="4" t="e">
        <f ca="1">Person1!GM62+Person2!GM62</f>
        <v>#NAME?</v>
      </c>
      <c r="AJ62" s="4" t="e">
        <f ca="1">Person1!GN62+Person2!GN62</f>
        <v>#NAME?</v>
      </c>
    </row>
    <row r="63" spans="1:36" x14ac:dyDescent="0.25">
      <c r="B63" s="4"/>
      <c r="C63" s="4"/>
      <c r="D63">
        <f>Person1!D63</f>
        <v>2073</v>
      </c>
      <c r="E63" s="2" t="str">
        <f>TEXT(Person1!E63,"0")&amp;" / "&amp;TEXT(Person2!E63,"0")</f>
        <v>78 / 78</v>
      </c>
      <c r="F63" s="18" t="e">
        <f ca="1">Person1!V63+Person2!V63</f>
        <v>#NAME?</v>
      </c>
      <c r="G63" s="18" t="e">
        <f ca="1">Person1!W63+Person2!W63</f>
        <v>#NAME?</v>
      </c>
      <c r="H63" s="18" t="e">
        <f ca="1">Person1!X63+Person2!X63</f>
        <v>#NAME?</v>
      </c>
      <c r="I63" s="18" t="e">
        <f ca="1">Person1!Y63+Person2!Y63</f>
        <v>#NAME?</v>
      </c>
      <c r="J63" s="18" t="e">
        <f ca="1">Person1!Z63+Person2!Z63</f>
        <v>#NAME?</v>
      </c>
      <c r="K63" s="18" t="e">
        <f ca="1">Person1!AA63+Person2!AA63</f>
        <v>#NAME?</v>
      </c>
      <c r="L63" s="18" t="e">
        <f ca="1">Person1!AB63+Person2!AB63</f>
        <v>#NAME?</v>
      </c>
      <c r="M63" s="18" t="e">
        <f ca="1">Person1!AC63+Person2!AC63</f>
        <v>#NAME?</v>
      </c>
      <c r="N63" s="18" t="e">
        <f ca="1">Person1!AD63+Person2!AD63</f>
        <v>#NAME?</v>
      </c>
      <c r="O63" s="18" t="e">
        <f ca="1">Person1!AE63+Person2!AE63</f>
        <v>#NAME?</v>
      </c>
      <c r="P63" s="18" t="e">
        <f ca="1">Person1!AF63+Person2!AF63</f>
        <v>#NAME?</v>
      </c>
      <c r="Q63" s="18" t="e">
        <f ca="1">Person1!AG63+Person2!AG63</f>
        <v>#NAME?</v>
      </c>
      <c r="R63" s="18"/>
      <c r="T63" s="4">
        <f>Person1!FX63</f>
        <v>2073</v>
      </c>
      <c r="U63" s="4">
        <f>Person1!FY63+Person2!FY63</f>
        <v>0</v>
      </c>
      <c r="V63" s="4">
        <f>Person1!FZ63+Person2!FZ63</f>
        <v>20</v>
      </c>
      <c r="W63" s="4" t="e">
        <f ca="1">Person1!GA63+Person2!GA63</f>
        <v>#NAME?</v>
      </c>
      <c r="X63" s="4">
        <f>Person1!GB63+Person2!GB63</f>
        <v>10.977738077532933</v>
      </c>
      <c r="Y63" s="4" t="e">
        <f ca="1">Person1!GC63+Person2!GC63</f>
        <v>#NAME?</v>
      </c>
      <c r="Z63" s="4" t="e">
        <f ca="1">Person1!GD63+Person2!GD63</f>
        <v>#NAME?</v>
      </c>
      <c r="AA63" s="4" t="e">
        <f ca="1">Person1!GE63+Person2!GE63</f>
        <v>#NAME?</v>
      </c>
      <c r="AB63" s="4" t="e">
        <f ca="1">Person1!GF63+Person2!GF63</f>
        <v>#NAME?</v>
      </c>
      <c r="AC63" s="4" t="e">
        <f ca="1">Person1!GG63+Person2!GG63</f>
        <v>#NAME?</v>
      </c>
      <c r="AD63" s="4" t="e">
        <f ca="1">Person1!GH63+Person2!GH63</f>
        <v>#NAME?</v>
      </c>
      <c r="AF63" s="4">
        <f>Person1!GJ63</f>
        <v>2073</v>
      </c>
      <c r="AG63" s="4" t="e">
        <f ca="1">Person1!GK63+Person2!GK63</f>
        <v>#NAME?</v>
      </c>
      <c r="AH63" s="4" t="e">
        <f ca="1">Person1!GL63+Person2!GL63</f>
        <v>#NAME?</v>
      </c>
      <c r="AI63" s="4" t="e">
        <f ca="1">Person1!GM63+Person2!GM63</f>
        <v>#NAME?</v>
      </c>
      <c r="AJ63" s="4" t="e">
        <f ca="1">Person1!GN63+Person2!GN63</f>
        <v>#NAME?</v>
      </c>
    </row>
    <row r="64" spans="1:36" x14ac:dyDescent="0.25">
      <c r="B64" s="4"/>
      <c r="C64" s="4"/>
      <c r="D64">
        <f>Person1!D64</f>
        <v>2074</v>
      </c>
      <c r="E64" s="2" t="str">
        <f>TEXT(Person1!E64,"0")&amp;" / "&amp;TEXT(Person2!E64,"0")</f>
        <v>79 / 79</v>
      </c>
      <c r="F64" s="18" t="e">
        <f ca="1">Person1!V64+Person2!V64</f>
        <v>#NAME?</v>
      </c>
      <c r="G64" s="18" t="e">
        <f ca="1">Person1!W64+Person2!W64</f>
        <v>#NAME?</v>
      </c>
      <c r="H64" s="18" t="e">
        <f ca="1">Person1!X64+Person2!X64</f>
        <v>#NAME?</v>
      </c>
      <c r="I64" s="18" t="e">
        <f ca="1">Person1!Y64+Person2!Y64</f>
        <v>#NAME?</v>
      </c>
      <c r="J64" s="18" t="e">
        <f ca="1">Person1!Z64+Person2!Z64</f>
        <v>#NAME?</v>
      </c>
      <c r="K64" s="18" t="e">
        <f ca="1">Person1!AA64+Person2!AA64</f>
        <v>#NAME?</v>
      </c>
      <c r="L64" s="18" t="e">
        <f ca="1">Person1!AB64+Person2!AB64</f>
        <v>#NAME?</v>
      </c>
      <c r="M64" s="18" t="e">
        <f ca="1">Person1!AC64+Person2!AC64</f>
        <v>#NAME?</v>
      </c>
      <c r="N64" s="18" t="e">
        <f ca="1">Person1!AD64+Person2!AD64</f>
        <v>#NAME?</v>
      </c>
      <c r="O64" s="18" t="e">
        <f ca="1">Person1!AE64+Person2!AE64</f>
        <v>#NAME?</v>
      </c>
      <c r="P64" s="18" t="e">
        <f ca="1">Person1!AF64+Person2!AF64</f>
        <v>#NAME?</v>
      </c>
      <c r="Q64" s="18" t="e">
        <f ca="1">Person1!AG64+Person2!AG64</f>
        <v>#NAME?</v>
      </c>
      <c r="R64" s="18"/>
      <c r="T64" s="4">
        <f>Person1!FX64</f>
        <v>2074</v>
      </c>
      <c r="U64" s="4">
        <f>Person1!FY64+Person2!FY64</f>
        <v>0</v>
      </c>
      <c r="V64" s="4">
        <f>Person1!FZ64+Person2!FZ64</f>
        <v>20.000000000000004</v>
      </c>
      <c r="W64" s="4" t="e">
        <f ca="1">Person1!GA64+Person2!GA64</f>
        <v>#NAME?</v>
      </c>
      <c r="X64" s="4">
        <f>Person1!GB64+Person2!GB64</f>
        <v>10.639830164628041</v>
      </c>
      <c r="Y64" s="4" t="e">
        <f ca="1">Person1!GC64+Person2!GC64</f>
        <v>#NAME?</v>
      </c>
      <c r="Z64" s="4" t="e">
        <f ca="1">Person1!GD64+Person2!GD64</f>
        <v>#NAME?</v>
      </c>
      <c r="AA64" s="4" t="e">
        <f ca="1">Person1!GE64+Person2!GE64</f>
        <v>#NAME?</v>
      </c>
      <c r="AB64" s="4" t="e">
        <f ca="1">Person1!GF64+Person2!GF64</f>
        <v>#NAME?</v>
      </c>
      <c r="AC64" s="4" t="e">
        <f ca="1">Person1!GG64+Person2!GG64</f>
        <v>#NAME?</v>
      </c>
      <c r="AD64" s="4" t="e">
        <f ca="1">Person1!GH64+Person2!GH64</f>
        <v>#NAME?</v>
      </c>
      <c r="AF64" s="4">
        <f>Person1!GJ64</f>
        <v>2074</v>
      </c>
      <c r="AG64" s="4" t="e">
        <f ca="1">Person1!GK64+Person2!GK64</f>
        <v>#NAME?</v>
      </c>
      <c r="AH64" s="4" t="e">
        <f ca="1">Person1!GL64+Person2!GL64</f>
        <v>#NAME?</v>
      </c>
      <c r="AI64" s="4" t="e">
        <f ca="1">Person1!GM64+Person2!GM64</f>
        <v>#NAME?</v>
      </c>
      <c r="AJ64" s="4" t="e">
        <f ca="1">Person1!GN64+Person2!GN64</f>
        <v>#NAME?</v>
      </c>
    </row>
    <row r="65" spans="4:36" x14ac:dyDescent="0.25">
      <c r="D65">
        <f>Person1!D65</f>
        <v>2075</v>
      </c>
      <c r="E65" s="2" t="str">
        <f>TEXT(Person1!E65,"0")&amp;" / "&amp;TEXT(Person2!E65,"0")</f>
        <v>80 / 80</v>
      </c>
      <c r="F65" s="18" t="e">
        <f ca="1">Person1!V65+Person2!V65</f>
        <v>#NAME?</v>
      </c>
      <c r="G65" s="18" t="e">
        <f ca="1">Person1!W65+Person2!W65</f>
        <v>#NAME?</v>
      </c>
      <c r="H65" s="18" t="e">
        <f ca="1">Person1!X65+Person2!X65</f>
        <v>#NAME?</v>
      </c>
      <c r="I65" s="18" t="e">
        <f ca="1">Person1!Y65+Person2!Y65</f>
        <v>#NAME?</v>
      </c>
      <c r="J65" s="18" t="e">
        <f ca="1">Person1!Z65+Person2!Z65</f>
        <v>#NAME?</v>
      </c>
      <c r="K65" s="18" t="e">
        <f ca="1">Person1!AA65+Person2!AA65</f>
        <v>#NAME?</v>
      </c>
      <c r="L65" s="18" t="e">
        <f ca="1">Person1!AB65+Person2!AB65</f>
        <v>#NAME?</v>
      </c>
      <c r="M65" s="18" t="e">
        <f ca="1">Person1!AC65+Person2!AC65</f>
        <v>#NAME?</v>
      </c>
      <c r="N65" s="18" t="e">
        <f ca="1">Person1!AD65+Person2!AD65</f>
        <v>#NAME?</v>
      </c>
      <c r="O65" s="18" t="e">
        <f ca="1">Person1!AE65+Person2!AE65</f>
        <v>#NAME?</v>
      </c>
      <c r="P65" s="18" t="e">
        <f ca="1">Person1!AF65+Person2!AF65</f>
        <v>#NAME?</v>
      </c>
      <c r="Q65" s="18" t="e">
        <f ca="1">Person1!AG65+Person2!AG65</f>
        <v>#NAME?</v>
      </c>
      <c r="R65" s="18"/>
      <c r="T65" s="4">
        <f>Person1!FX65</f>
        <v>2075</v>
      </c>
      <c r="U65" s="4">
        <f>Person1!FY65+Person2!FY65</f>
        <v>0</v>
      </c>
      <c r="V65" s="4">
        <f>Person1!FZ65+Person2!FZ65</f>
        <v>12</v>
      </c>
      <c r="W65" s="4" t="e">
        <f ca="1">Person1!GA65+Person2!GA65</f>
        <v>#NAME?</v>
      </c>
      <c r="X65" s="4">
        <f>Person1!GB65+Person2!GB65</f>
        <v>6.9056172954434203</v>
      </c>
      <c r="Y65" s="4" t="e">
        <f ca="1">Person1!GC65+Person2!GC65</f>
        <v>#NAME?</v>
      </c>
      <c r="Z65" s="4" t="e">
        <f ca="1">Person1!GD65+Person2!GD65</f>
        <v>#NAME?</v>
      </c>
      <c r="AA65" s="4" t="e">
        <f ca="1">Person1!GE65+Person2!GE65</f>
        <v>#NAME?</v>
      </c>
      <c r="AB65" s="4" t="e">
        <f ca="1">Person1!GF65+Person2!GF65</f>
        <v>#NAME?</v>
      </c>
      <c r="AC65" s="4" t="e">
        <f ca="1">Person1!GG65+Person2!GG65</f>
        <v>#NAME?</v>
      </c>
      <c r="AD65" s="4" t="e">
        <f ca="1">Person1!GH65+Person2!GH65</f>
        <v>#NAME?</v>
      </c>
      <c r="AF65" s="4">
        <f>Person1!GJ65</f>
        <v>2075</v>
      </c>
      <c r="AG65" s="4" t="e">
        <f ca="1">Person1!GK65+Person2!GK65</f>
        <v>#NAME?</v>
      </c>
      <c r="AH65" s="4" t="e">
        <f ca="1">Person1!GL65+Person2!GL65</f>
        <v>#NAME?</v>
      </c>
      <c r="AI65" s="4" t="e">
        <f ca="1">Person1!GM65+Person2!GM65</f>
        <v>#NAME?</v>
      </c>
      <c r="AJ65" s="4" t="e">
        <f ca="1">Person1!GN65+Person2!GN65</f>
        <v>#NAME?</v>
      </c>
    </row>
    <row r="66" spans="4:36" x14ac:dyDescent="0.25">
      <c r="D66">
        <f>Person1!D66</f>
        <v>2076</v>
      </c>
      <c r="E66" s="2" t="str">
        <f>TEXT(Person1!E66,"0")&amp;" / "&amp;TEXT(Person2!E66,"0")</f>
        <v>81 / 81</v>
      </c>
      <c r="F66" s="18" t="e">
        <f ca="1">Person1!V66+Person2!V66</f>
        <v>#NAME?</v>
      </c>
      <c r="G66" s="18" t="e">
        <f ca="1">Person1!W66+Person2!W66</f>
        <v>#NAME?</v>
      </c>
      <c r="H66" s="18" t="e">
        <f ca="1">Person1!X66+Person2!X66</f>
        <v>#NAME?</v>
      </c>
      <c r="I66" s="18" t="e">
        <f ca="1">Person1!Y66+Person2!Y66</f>
        <v>#NAME?</v>
      </c>
      <c r="J66" s="18" t="e">
        <f ca="1">Person1!Z66+Person2!Z66</f>
        <v>#NAME?</v>
      </c>
      <c r="K66" s="18" t="e">
        <f ca="1">Person1!AA66+Person2!AA66</f>
        <v>#NAME?</v>
      </c>
      <c r="L66" s="18" t="e">
        <f ca="1">Person1!AB66+Person2!AB66</f>
        <v>#NAME?</v>
      </c>
      <c r="M66" s="18" t="e">
        <f ca="1">Person1!AC66+Person2!AC66</f>
        <v>#NAME?</v>
      </c>
      <c r="N66" s="18" t="e">
        <f ca="1">Person1!AD66+Person2!AD66</f>
        <v>#NAME?</v>
      </c>
      <c r="O66" s="18" t="e">
        <f ca="1">Person1!AE66+Person2!AE66</f>
        <v>#NAME?</v>
      </c>
      <c r="P66" s="18" t="e">
        <f ca="1">Person1!AF66+Person2!AF66</f>
        <v>#NAME?</v>
      </c>
      <c r="Q66" s="18" t="e">
        <f ca="1">Person1!AG66+Person2!AG66</f>
        <v>#NAME?</v>
      </c>
      <c r="R66" s="18"/>
      <c r="T66" s="4">
        <f>Person1!FX66</f>
        <v>2076</v>
      </c>
      <c r="U66" s="4">
        <f>Person1!FY66+Person2!FY66</f>
        <v>0</v>
      </c>
      <c r="V66" s="4">
        <f>Person1!FZ66+Person2!FZ66</f>
        <v>12</v>
      </c>
      <c r="W66" s="4" t="e">
        <f ca="1">Person1!GA66+Person2!GA66</f>
        <v>#NAME?</v>
      </c>
      <c r="X66" s="4">
        <f>Person1!GB66+Person2!GB66</f>
        <v>6.6858288058045474</v>
      </c>
      <c r="Y66" s="4" t="e">
        <f ca="1">Person1!GC66+Person2!GC66</f>
        <v>#NAME?</v>
      </c>
      <c r="Z66" s="4" t="e">
        <f ca="1">Person1!GD66+Person2!GD66</f>
        <v>#NAME?</v>
      </c>
      <c r="AA66" s="4" t="e">
        <f ca="1">Person1!GE66+Person2!GE66</f>
        <v>#NAME?</v>
      </c>
      <c r="AB66" s="4" t="e">
        <f ca="1">Person1!GF66+Person2!GF66</f>
        <v>#NAME?</v>
      </c>
      <c r="AC66" s="4" t="e">
        <f ca="1">Person1!GG66+Person2!GG66</f>
        <v>#NAME?</v>
      </c>
      <c r="AD66" s="4" t="e">
        <f ca="1">Person1!GH66+Person2!GH66</f>
        <v>#NAME?</v>
      </c>
      <c r="AF66" s="4">
        <f>Person1!GJ66</f>
        <v>2076</v>
      </c>
      <c r="AG66" s="4" t="e">
        <f ca="1">Person1!GK66+Person2!GK66</f>
        <v>#NAME?</v>
      </c>
      <c r="AH66" s="4" t="e">
        <f ca="1">Person1!GL66+Person2!GL66</f>
        <v>#NAME?</v>
      </c>
      <c r="AI66" s="4" t="e">
        <f ca="1">Person1!GM66+Person2!GM66</f>
        <v>#NAME?</v>
      </c>
      <c r="AJ66" s="4" t="e">
        <f ca="1">Person1!GN66+Person2!GN66</f>
        <v>#NAME?</v>
      </c>
    </row>
    <row r="67" spans="4:36" x14ac:dyDescent="0.25">
      <c r="D67">
        <f>Person1!D67</f>
        <v>2077</v>
      </c>
      <c r="E67" s="2" t="str">
        <f>TEXT(Person1!E67,"0")&amp;" / "&amp;TEXT(Person2!E67,"0")</f>
        <v>82 / 82</v>
      </c>
      <c r="F67" s="18" t="e">
        <f ca="1">Person1!V67+Person2!V67</f>
        <v>#NAME?</v>
      </c>
      <c r="G67" s="18" t="e">
        <f ca="1">Person1!W67+Person2!W67</f>
        <v>#NAME?</v>
      </c>
      <c r="H67" s="18" t="e">
        <f ca="1">Person1!X67+Person2!X67</f>
        <v>#NAME?</v>
      </c>
      <c r="I67" s="18" t="e">
        <f ca="1">Person1!Y67+Person2!Y67</f>
        <v>#NAME?</v>
      </c>
      <c r="J67" s="18" t="e">
        <f ca="1">Person1!Z67+Person2!Z67</f>
        <v>#NAME?</v>
      </c>
      <c r="K67" s="18" t="e">
        <f ca="1">Person1!AA67+Person2!AA67</f>
        <v>#NAME?</v>
      </c>
      <c r="L67" s="18" t="e">
        <f ca="1">Person1!AB67+Person2!AB67</f>
        <v>#NAME?</v>
      </c>
      <c r="M67" s="18" t="e">
        <f ca="1">Person1!AC67+Person2!AC67</f>
        <v>#NAME?</v>
      </c>
      <c r="N67" s="18" t="e">
        <f ca="1">Person1!AD67+Person2!AD67</f>
        <v>#NAME?</v>
      </c>
      <c r="O67" s="18" t="e">
        <f ca="1">Person1!AE67+Person2!AE67</f>
        <v>#NAME?</v>
      </c>
      <c r="P67" s="18" t="e">
        <f ca="1">Person1!AF67+Person2!AF67</f>
        <v>#NAME?</v>
      </c>
      <c r="Q67" s="18" t="e">
        <f ca="1">Person1!AG67+Person2!AG67</f>
        <v>#NAME?</v>
      </c>
      <c r="R67" s="18"/>
      <c r="T67" s="4">
        <f>Person1!FX67</f>
        <v>2077</v>
      </c>
      <c r="U67" s="4">
        <f>Person1!FY67+Person2!FY67</f>
        <v>0</v>
      </c>
      <c r="V67" s="4">
        <f>Person1!FZ67+Person2!FZ67</f>
        <v>12</v>
      </c>
      <c r="W67" s="4" t="e">
        <f ca="1">Person1!GA67+Person2!GA67</f>
        <v>#NAME?</v>
      </c>
      <c r="X67" s="4">
        <f>Person1!GB67+Person2!GB67</f>
        <v>6.4692724998368272</v>
      </c>
      <c r="Y67" s="4" t="e">
        <f ca="1">Person1!GC67+Person2!GC67</f>
        <v>#NAME?</v>
      </c>
      <c r="Z67" s="4" t="e">
        <f ca="1">Person1!GD67+Person2!GD67</f>
        <v>#NAME?</v>
      </c>
      <c r="AA67" s="4" t="e">
        <f ca="1">Person1!GE67+Person2!GE67</f>
        <v>#NAME?</v>
      </c>
      <c r="AB67" s="4" t="e">
        <f ca="1">Person1!GF67+Person2!GF67</f>
        <v>#NAME?</v>
      </c>
      <c r="AC67" s="4" t="e">
        <f ca="1">Person1!GG67+Person2!GG67</f>
        <v>#NAME?</v>
      </c>
      <c r="AD67" s="4" t="e">
        <f ca="1">Person1!GH67+Person2!GH67</f>
        <v>#NAME?</v>
      </c>
      <c r="AF67" s="4">
        <f>Person1!GJ67</f>
        <v>2077</v>
      </c>
      <c r="AG67" s="4" t="e">
        <f ca="1">Person1!GK67+Person2!GK67</f>
        <v>#NAME?</v>
      </c>
      <c r="AH67" s="4" t="e">
        <f ca="1">Person1!GL67+Person2!GL67</f>
        <v>#NAME?</v>
      </c>
      <c r="AI67" s="4" t="e">
        <f ca="1">Person1!GM67+Person2!GM67</f>
        <v>#NAME?</v>
      </c>
      <c r="AJ67" s="4" t="e">
        <f ca="1">Person1!GN67+Person2!GN67</f>
        <v>#NAME?</v>
      </c>
    </row>
    <row r="68" spans="4:36" x14ac:dyDescent="0.25">
      <c r="D68">
        <f>Person1!D68</f>
        <v>2078</v>
      </c>
      <c r="E68" s="2" t="str">
        <f>TEXT(Person1!E68,"0")&amp;" / "&amp;TEXT(Person2!E68,"0")</f>
        <v>83 / 83</v>
      </c>
      <c r="F68" s="18" t="e">
        <f ca="1">Person1!V68+Person2!V68</f>
        <v>#NAME?</v>
      </c>
      <c r="G68" s="18" t="e">
        <f ca="1">Person1!W68+Person2!W68</f>
        <v>#NAME?</v>
      </c>
      <c r="H68" s="18" t="e">
        <f ca="1">Person1!X68+Person2!X68</f>
        <v>#NAME?</v>
      </c>
      <c r="I68" s="18" t="e">
        <f ca="1">Person1!Y68+Person2!Y68</f>
        <v>#NAME?</v>
      </c>
      <c r="J68" s="18" t="e">
        <f ca="1">Person1!Z68+Person2!Z68</f>
        <v>#NAME?</v>
      </c>
      <c r="K68" s="18" t="e">
        <f ca="1">Person1!AA68+Person2!AA68</f>
        <v>#NAME?</v>
      </c>
      <c r="L68" s="18" t="e">
        <f ca="1">Person1!AB68+Person2!AB68</f>
        <v>#NAME?</v>
      </c>
      <c r="M68" s="18" t="e">
        <f ca="1">Person1!AC68+Person2!AC68</f>
        <v>#NAME?</v>
      </c>
      <c r="N68" s="18" t="e">
        <f ca="1">Person1!AD68+Person2!AD68</f>
        <v>#NAME?</v>
      </c>
      <c r="O68" s="18" t="e">
        <f ca="1">Person1!AE68+Person2!AE68</f>
        <v>#NAME?</v>
      </c>
      <c r="P68" s="18" t="e">
        <f ca="1">Person1!AF68+Person2!AF68</f>
        <v>#NAME?</v>
      </c>
      <c r="Q68" s="18" t="e">
        <f ca="1">Person1!AG68+Person2!AG68</f>
        <v>#NAME?</v>
      </c>
      <c r="R68" s="18"/>
      <c r="T68" s="4">
        <f>Person1!FX68</f>
        <v>2078</v>
      </c>
      <c r="U68" s="4">
        <f>Person1!FY68+Person2!FY68</f>
        <v>0</v>
      </c>
      <c r="V68" s="4">
        <f>Person1!FZ68+Person2!FZ68</f>
        <v>12</v>
      </c>
      <c r="W68" s="4" t="e">
        <f ca="1">Person1!GA68+Person2!GA68</f>
        <v>#NAME?</v>
      </c>
      <c r="X68" s="4">
        <f>Person1!GB68+Person2!GB68</f>
        <v>6.2559008454274583</v>
      </c>
      <c r="Y68" s="4" t="e">
        <f ca="1">Person1!GC68+Person2!GC68</f>
        <v>#NAME?</v>
      </c>
      <c r="Z68" s="4" t="e">
        <f ca="1">Person1!GD68+Person2!GD68</f>
        <v>#NAME?</v>
      </c>
      <c r="AA68" s="4" t="e">
        <f ca="1">Person1!GE68+Person2!GE68</f>
        <v>#NAME?</v>
      </c>
      <c r="AB68" s="4" t="e">
        <f ca="1">Person1!GF68+Person2!GF68</f>
        <v>#NAME?</v>
      </c>
      <c r="AC68" s="4" t="e">
        <f ca="1">Person1!GG68+Person2!GG68</f>
        <v>#NAME?</v>
      </c>
      <c r="AD68" s="4" t="e">
        <f ca="1">Person1!GH68+Person2!GH68</f>
        <v>#NAME?</v>
      </c>
      <c r="AF68" s="4">
        <f>Person1!GJ68</f>
        <v>2078</v>
      </c>
      <c r="AG68" s="4" t="e">
        <f ca="1">Person1!GK68+Person2!GK68</f>
        <v>#NAME?</v>
      </c>
      <c r="AH68" s="4" t="e">
        <f ca="1">Person1!GL68+Person2!GL68</f>
        <v>#NAME?</v>
      </c>
      <c r="AI68" s="4" t="e">
        <f ca="1">Person1!GM68+Person2!GM68</f>
        <v>#NAME?</v>
      </c>
      <c r="AJ68" s="4" t="e">
        <f ca="1">Person1!GN68+Person2!GN68</f>
        <v>#NAME?</v>
      </c>
    </row>
    <row r="69" spans="4:36" x14ac:dyDescent="0.25">
      <c r="D69">
        <f>Person1!D69</f>
        <v>2079</v>
      </c>
      <c r="E69" s="2" t="str">
        <f>TEXT(Person1!E69,"0")&amp;" / "&amp;TEXT(Person2!E69,"0")</f>
        <v>84 / 84</v>
      </c>
      <c r="F69" s="18" t="e">
        <f ca="1">Person1!V69+Person2!V69</f>
        <v>#NAME?</v>
      </c>
      <c r="G69" s="18" t="e">
        <f ca="1">Person1!W69+Person2!W69</f>
        <v>#NAME?</v>
      </c>
      <c r="H69" s="18" t="e">
        <f ca="1">Person1!X69+Person2!X69</f>
        <v>#NAME?</v>
      </c>
      <c r="I69" s="18" t="e">
        <f ca="1">Person1!Y69+Person2!Y69</f>
        <v>#NAME?</v>
      </c>
      <c r="J69" s="18" t="e">
        <f ca="1">Person1!Z69+Person2!Z69</f>
        <v>#NAME?</v>
      </c>
      <c r="K69" s="18" t="e">
        <f ca="1">Person1!AA69+Person2!AA69</f>
        <v>#NAME?</v>
      </c>
      <c r="L69" s="18" t="e">
        <f ca="1">Person1!AB69+Person2!AB69</f>
        <v>#NAME?</v>
      </c>
      <c r="M69" s="18" t="e">
        <f ca="1">Person1!AC69+Person2!AC69</f>
        <v>#NAME?</v>
      </c>
      <c r="N69" s="18" t="e">
        <f ca="1">Person1!AD69+Person2!AD69</f>
        <v>#NAME?</v>
      </c>
      <c r="O69" s="18" t="e">
        <f ca="1">Person1!AE69+Person2!AE69</f>
        <v>#NAME?</v>
      </c>
      <c r="P69" s="18" t="e">
        <f ca="1">Person1!AF69+Person2!AF69</f>
        <v>#NAME?</v>
      </c>
      <c r="Q69" s="18" t="e">
        <f ca="1">Person1!AG69+Person2!AG69</f>
        <v>#NAME?</v>
      </c>
      <c r="R69" s="18"/>
      <c r="T69" s="4">
        <f>Person1!FX69</f>
        <v>2079</v>
      </c>
      <c r="U69" s="4">
        <f>Person1!FY69+Person2!FY69</f>
        <v>0</v>
      </c>
      <c r="V69" s="4">
        <f>Person1!FZ69+Person2!FZ69</f>
        <v>12.000000000000002</v>
      </c>
      <c r="W69" s="4" t="e">
        <f ca="1">Person1!GA69+Person2!GA69</f>
        <v>#NAME?</v>
      </c>
      <c r="X69" s="4">
        <f>Person1!GB69+Person2!GB69</f>
        <v>6.0456670094652907</v>
      </c>
      <c r="Y69" s="4" t="e">
        <f ca="1">Person1!GC69+Person2!GC69</f>
        <v>#NAME?</v>
      </c>
      <c r="Z69" s="4" t="e">
        <f ca="1">Person1!GD69+Person2!GD69</f>
        <v>#NAME?</v>
      </c>
      <c r="AA69" s="4" t="e">
        <f ca="1">Person1!GE69+Person2!GE69</f>
        <v>#NAME?</v>
      </c>
      <c r="AB69" s="4" t="e">
        <f ca="1">Person1!GF69+Person2!GF69</f>
        <v>#NAME?</v>
      </c>
      <c r="AC69" s="4" t="e">
        <f ca="1">Person1!GG69+Person2!GG69</f>
        <v>#NAME?</v>
      </c>
      <c r="AD69" s="4" t="e">
        <f ca="1">Person1!GH69+Person2!GH69</f>
        <v>#NAME?</v>
      </c>
      <c r="AF69" s="4">
        <f>Person1!GJ69</f>
        <v>2079</v>
      </c>
      <c r="AG69" s="4" t="e">
        <f ca="1">Person1!GK69+Person2!GK69</f>
        <v>#NAME?</v>
      </c>
      <c r="AH69" s="4" t="e">
        <f ca="1">Person1!GL69+Person2!GL69</f>
        <v>#NAME?</v>
      </c>
      <c r="AI69" s="4" t="e">
        <f ca="1">Person1!GM69+Person2!GM69</f>
        <v>#NAME?</v>
      </c>
      <c r="AJ69" s="4" t="e">
        <f ca="1">Person1!GN69+Person2!GN69</f>
        <v>#NAME?</v>
      </c>
    </row>
    <row r="70" spans="4:36" x14ac:dyDescent="0.25">
      <c r="D70">
        <f>Person1!D70</f>
        <v>2080</v>
      </c>
      <c r="E70" s="2" t="str">
        <f>TEXT(Person1!E70,"0")&amp;" / "&amp;TEXT(Person2!E70,"0")</f>
        <v>85 / 85</v>
      </c>
      <c r="F70" s="18" t="e">
        <f ca="1">Person1!V70+Person2!V70</f>
        <v>#NAME?</v>
      </c>
      <c r="G70" s="18" t="e">
        <f ca="1">Person1!W70+Person2!W70</f>
        <v>#NAME?</v>
      </c>
      <c r="H70" s="18">
        <f>Person1!X70+Person2!X70</f>
        <v>0</v>
      </c>
      <c r="I70" s="18" t="e">
        <f ca="1">Person1!Y70+Person2!Y70</f>
        <v>#NAME?</v>
      </c>
      <c r="J70" s="18" t="e">
        <f ca="1">Person1!Z70+Person2!Z70</f>
        <v>#NAME?</v>
      </c>
      <c r="K70" s="18" t="e">
        <f ca="1">Person1!AA70+Person2!AA70</f>
        <v>#NAME?</v>
      </c>
      <c r="L70" s="18" t="e">
        <f ca="1">Person1!AB70+Person2!AB70</f>
        <v>#NAME?</v>
      </c>
      <c r="M70" s="18" t="e">
        <f ca="1">Person1!AC70+Person2!AC70</f>
        <v>#NAME?</v>
      </c>
      <c r="N70" s="18" t="e">
        <f ca="1">Person1!AD70+Person2!AD70</f>
        <v>#NAME?</v>
      </c>
      <c r="O70" s="18" t="e">
        <f ca="1">Person1!AE70+Person2!AE70</f>
        <v>#NAME?</v>
      </c>
      <c r="P70" s="18" t="e">
        <f ca="1">Person1!AF70+Person2!AF70</f>
        <v>#NAME?</v>
      </c>
      <c r="Q70" s="18" t="e">
        <f ca="1">Person1!AG70+Person2!AG70</f>
        <v>#NAME?</v>
      </c>
      <c r="R70" s="18"/>
      <c r="T70" s="4">
        <f>Person1!FX70</f>
        <v>2080</v>
      </c>
      <c r="U70" s="4">
        <f>Person1!FY70+Person2!FY70</f>
        <v>0</v>
      </c>
      <c r="V70" s="4">
        <f>Person1!FZ70+Person2!FZ70</f>
        <v>0</v>
      </c>
      <c r="W70" s="4">
        <f>Person1!GA70+Person2!GA70</f>
        <v>0</v>
      </c>
      <c r="X70" s="4">
        <f>Person1!GB70+Person2!GB70</f>
        <v>0</v>
      </c>
      <c r="Y70" s="4" t="e">
        <f ca="1">Person1!GC70+Person2!GC70</f>
        <v>#NAME?</v>
      </c>
      <c r="Z70" s="4" t="e">
        <f ca="1">Person1!GD70+Person2!GD70</f>
        <v>#NAME?</v>
      </c>
      <c r="AA70" s="4" t="e">
        <f ca="1">Person1!GE70+Person2!GE70</f>
        <v>#NAME?</v>
      </c>
      <c r="AB70" s="4" t="e">
        <f ca="1">Person1!GF70+Person2!GF70</f>
        <v>#NAME?</v>
      </c>
      <c r="AC70" s="4" t="e">
        <f ca="1">Person1!GG70+Person2!GG70</f>
        <v>#NAME?</v>
      </c>
      <c r="AD70" s="4" t="e">
        <f ca="1">Person1!GH70+Person2!GH70</f>
        <v>#NAME?</v>
      </c>
      <c r="AF70" s="4">
        <f>Person1!GJ70</f>
        <v>2080</v>
      </c>
      <c r="AG70" s="4" t="e">
        <f ca="1">Person1!GK70+Person2!GK70</f>
        <v>#NAME?</v>
      </c>
      <c r="AH70" s="4" t="e">
        <f ca="1">Person1!GL70+Person2!GL70</f>
        <v>#NAME?</v>
      </c>
      <c r="AI70" s="4" t="e">
        <f ca="1">Person1!GM70+Person2!GM70</f>
        <v>#NAME?</v>
      </c>
      <c r="AJ70" s="4" t="e">
        <f ca="1">Person1!GN70+Person2!GN70</f>
        <v>#NAME?</v>
      </c>
    </row>
    <row r="71" spans="4:36" x14ac:dyDescent="0.25">
      <c r="D71">
        <f>Person1!D71</f>
        <v>2081</v>
      </c>
      <c r="E71" s="2" t="str">
        <f>TEXT(Person1!E71,"0")&amp;" / "&amp;TEXT(Person2!E71,"0")</f>
        <v>86 / 86</v>
      </c>
      <c r="F71" s="18" t="e">
        <f ca="1">Person1!V71+Person2!V71</f>
        <v>#NAME?</v>
      </c>
      <c r="G71" s="18" t="e">
        <f ca="1">Person1!W71+Person2!W71</f>
        <v>#NAME?</v>
      </c>
      <c r="H71" s="18">
        <f>Person1!X71+Person2!X71</f>
        <v>0</v>
      </c>
      <c r="I71" s="18" t="e">
        <f ca="1">Person1!Y71+Person2!Y71</f>
        <v>#NAME?</v>
      </c>
      <c r="J71" s="18" t="e">
        <f ca="1">Person1!Z71+Person2!Z71</f>
        <v>#NAME?</v>
      </c>
      <c r="K71" s="18" t="e">
        <f ca="1">Person1!AA71+Person2!AA71</f>
        <v>#NAME?</v>
      </c>
      <c r="L71" s="18" t="e">
        <f ca="1">Person1!AB71+Person2!AB71</f>
        <v>#NAME?</v>
      </c>
      <c r="M71" s="18" t="e">
        <f ca="1">Person1!AC71+Person2!AC71</f>
        <v>#NAME?</v>
      </c>
      <c r="N71" s="18" t="e">
        <f ca="1">Person1!AD71+Person2!AD71</f>
        <v>#NAME?</v>
      </c>
      <c r="O71" s="18" t="e">
        <f ca="1">Person1!AE71+Person2!AE71</f>
        <v>#NAME?</v>
      </c>
      <c r="P71" s="18" t="e">
        <f ca="1">Person1!AF71+Person2!AF71</f>
        <v>#NAME?</v>
      </c>
      <c r="Q71" s="18" t="e">
        <f ca="1">Person1!AG71+Person2!AG71</f>
        <v>#NAME?</v>
      </c>
      <c r="R71" s="18"/>
      <c r="T71" s="4">
        <f>Person1!FX71</f>
        <v>2081</v>
      </c>
      <c r="U71" s="4">
        <f>Person1!FY71+Person2!FY71</f>
        <v>0</v>
      </c>
      <c r="V71" s="4">
        <f>Person1!FZ71+Person2!FZ71</f>
        <v>0</v>
      </c>
      <c r="W71" s="4">
        <f>Person1!GA71+Person2!GA71</f>
        <v>0</v>
      </c>
      <c r="X71" s="4">
        <f>Person1!GB71+Person2!GB71</f>
        <v>0</v>
      </c>
      <c r="Y71" s="4" t="e">
        <f ca="1">Person1!GC71+Person2!GC71</f>
        <v>#NAME?</v>
      </c>
      <c r="Z71" s="4" t="e">
        <f ca="1">Person1!GD71+Person2!GD71</f>
        <v>#NAME?</v>
      </c>
      <c r="AA71" s="4" t="e">
        <f ca="1">Person1!GE71+Person2!GE71</f>
        <v>#NAME?</v>
      </c>
      <c r="AB71" s="4" t="e">
        <f ca="1">Person1!GF71+Person2!GF71</f>
        <v>#NAME?</v>
      </c>
      <c r="AC71" s="4" t="e">
        <f ca="1">Person1!GG71+Person2!GG71</f>
        <v>#NAME?</v>
      </c>
      <c r="AD71" s="4" t="e">
        <f ca="1">Person1!GH71+Person2!GH71</f>
        <v>#NAME?</v>
      </c>
      <c r="AF71" s="4">
        <f>Person1!GJ71</f>
        <v>2081</v>
      </c>
      <c r="AG71" s="4" t="e">
        <f ca="1">Person1!GK71+Person2!GK71</f>
        <v>#NAME?</v>
      </c>
      <c r="AH71" s="4" t="e">
        <f ca="1">Person1!GL71+Person2!GL71</f>
        <v>#NAME?</v>
      </c>
      <c r="AI71" s="4" t="e">
        <f ca="1">Person1!GM71+Person2!GM71</f>
        <v>#NAME?</v>
      </c>
      <c r="AJ71" s="4" t="e">
        <f ca="1">Person1!GN71+Person2!GN71</f>
        <v>#NAME?</v>
      </c>
    </row>
    <row r="72" spans="4:36" x14ac:dyDescent="0.25">
      <c r="D72">
        <f>Person1!D72</f>
        <v>2082</v>
      </c>
      <c r="E72" s="2" t="str">
        <f>TEXT(Person1!E72,"0")&amp;" / "&amp;TEXT(Person2!E72,"0")</f>
        <v>87 / 87</v>
      </c>
      <c r="F72" s="18" t="e">
        <f ca="1">Person1!V72+Person2!V72</f>
        <v>#NAME?</v>
      </c>
      <c r="G72" s="18" t="e">
        <f ca="1">Person1!W72+Person2!W72</f>
        <v>#NAME?</v>
      </c>
      <c r="H72" s="18">
        <f>Person1!X72+Person2!X72</f>
        <v>0</v>
      </c>
      <c r="I72" s="18" t="e">
        <f ca="1">Person1!Y72+Person2!Y72</f>
        <v>#NAME?</v>
      </c>
      <c r="J72" s="18" t="e">
        <f ca="1">Person1!Z72+Person2!Z72</f>
        <v>#NAME?</v>
      </c>
      <c r="K72" s="18" t="e">
        <f ca="1">Person1!AA72+Person2!AA72</f>
        <v>#NAME?</v>
      </c>
      <c r="L72" s="18" t="e">
        <f ca="1">Person1!AB72+Person2!AB72</f>
        <v>#NAME?</v>
      </c>
      <c r="M72" s="18" t="e">
        <f ca="1">Person1!AC72+Person2!AC72</f>
        <v>#NAME?</v>
      </c>
      <c r="N72" s="18" t="e">
        <f ca="1">Person1!AD72+Person2!AD72</f>
        <v>#NAME?</v>
      </c>
      <c r="O72" s="18" t="e">
        <f ca="1">Person1!AE72+Person2!AE72</f>
        <v>#NAME?</v>
      </c>
      <c r="P72" s="18" t="e">
        <f ca="1">Person1!AF72+Person2!AF72</f>
        <v>#NAME?</v>
      </c>
      <c r="Q72" s="18" t="e">
        <f ca="1">Person1!AG72+Person2!AG72</f>
        <v>#NAME?</v>
      </c>
      <c r="R72" s="18"/>
      <c r="T72" s="4">
        <f>Person1!FX72</f>
        <v>2082</v>
      </c>
      <c r="U72" s="4">
        <f>Person1!FY72+Person2!FY72</f>
        <v>0</v>
      </c>
      <c r="V72" s="4">
        <f>Person1!FZ72+Person2!FZ72</f>
        <v>0</v>
      </c>
      <c r="W72" s="4">
        <f>Person1!GA72+Person2!GA72</f>
        <v>0</v>
      </c>
      <c r="X72" s="4">
        <f>Person1!GB72+Person2!GB72</f>
        <v>0</v>
      </c>
      <c r="Y72" s="4" t="e">
        <f ca="1">Person1!GC72+Person2!GC72</f>
        <v>#NAME?</v>
      </c>
      <c r="Z72" s="4" t="e">
        <f ca="1">Person1!GD72+Person2!GD72</f>
        <v>#NAME?</v>
      </c>
      <c r="AA72" s="4" t="e">
        <f ca="1">Person1!GE72+Person2!GE72</f>
        <v>#NAME?</v>
      </c>
      <c r="AB72" s="4" t="e">
        <f ca="1">Person1!GF72+Person2!GF72</f>
        <v>#NAME?</v>
      </c>
      <c r="AC72" s="4" t="e">
        <f ca="1">Person1!GG72+Person2!GG72</f>
        <v>#NAME?</v>
      </c>
      <c r="AD72" s="4" t="e">
        <f ca="1">Person1!GH72+Person2!GH72</f>
        <v>#NAME?</v>
      </c>
      <c r="AF72" s="4">
        <f>Person1!GJ72</f>
        <v>2082</v>
      </c>
      <c r="AG72" s="4" t="e">
        <f ca="1">Person1!GK72+Person2!GK72</f>
        <v>#NAME?</v>
      </c>
      <c r="AH72" s="4" t="e">
        <f ca="1">Person1!GL72+Person2!GL72</f>
        <v>#NAME?</v>
      </c>
      <c r="AI72" s="4" t="e">
        <f ca="1">Person1!GM72+Person2!GM72</f>
        <v>#NAME?</v>
      </c>
      <c r="AJ72" s="4" t="e">
        <f ca="1">Person1!GN72+Person2!GN72</f>
        <v>#NAME?</v>
      </c>
    </row>
    <row r="73" spans="4:36" x14ac:dyDescent="0.25">
      <c r="D73">
        <f>Person1!D73</f>
        <v>2083</v>
      </c>
      <c r="E73" s="2" t="str">
        <f>TEXT(Person1!E73,"0")&amp;" / "&amp;TEXT(Person2!E73,"0")</f>
        <v>88 / 88</v>
      </c>
      <c r="F73" s="18" t="e">
        <f ca="1">Person1!V73+Person2!V73</f>
        <v>#NAME?</v>
      </c>
      <c r="G73" s="18" t="e">
        <f ca="1">Person1!W73+Person2!W73</f>
        <v>#NAME?</v>
      </c>
      <c r="H73" s="18">
        <f>Person1!X73+Person2!X73</f>
        <v>0</v>
      </c>
      <c r="I73" s="18" t="e">
        <f ca="1">Person1!Y73+Person2!Y73</f>
        <v>#NAME?</v>
      </c>
      <c r="J73" s="18" t="e">
        <f ca="1">Person1!Z73+Person2!Z73</f>
        <v>#NAME?</v>
      </c>
      <c r="K73" s="18" t="e">
        <f ca="1">Person1!AA73+Person2!AA73</f>
        <v>#NAME?</v>
      </c>
      <c r="L73" s="18" t="e">
        <f ca="1">Person1!AB73+Person2!AB73</f>
        <v>#NAME?</v>
      </c>
      <c r="M73" s="18" t="e">
        <f ca="1">Person1!AC73+Person2!AC73</f>
        <v>#NAME?</v>
      </c>
      <c r="N73" s="18" t="e">
        <f ca="1">Person1!AD73+Person2!AD73</f>
        <v>#NAME?</v>
      </c>
      <c r="O73" s="18" t="e">
        <f ca="1">Person1!AE73+Person2!AE73</f>
        <v>#NAME?</v>
      </c>
      <c r="P73" s="18" t="e">
        <f ca="1">Person1!AF73+Person2!AF73</f>
        <v>#NAME?</v>
      </c>
      <c r="Q73" s="18" t="e">
        <f ca="1">Person1!AG73+Person2!AG73</f>
        <v>#NAME?</v>
      </c>
      <c r="R73" s="18"/>
      <c r="T73" s="4">
        <f>Person1!FX73</f>
        <v>2083</v>
      </c>
      <c r="U73" s="4">
        <f>Person1!FY73+Person2!FY73</f>
        <v>0</v>
      </c>
      <c r="V73" s="4">
        <f>Person1!FZ73+Person2!FZ73</f>
        <v>0</v>
      </c>
      <c r="W73" s="4">
        <f>Person1!GA73+Person2!GA73</f>
        <v>0</v>
      </c>
      <c r="X73" s="4">
        <f>Person1!GB73+Person2!GB73</f>
        <v>0</v>
      </c>
      <c r="Y73" s="4" t="e">
        <f ca="1">Person1!GC73+Person2!GC73</f>
        <v>#NAME?</v>
      </c>
      <c r="Z73" s="4" t="e">
        <f ca="1">Person1!GD73+Person2!GD73</f>
        <v>#NAME?</v>
      </c>
      <c r="AA73" s="4" t="e">
        <f ca="1">Person1!GE73+Person2!GE73</f>
        <v>#NAME?</v>
      </c>
      <c r="AB73" s="4" t="e">
        <f ca="1">Person1!GF73+Person2!GF73</f>
        <v>#NAME?</v>
      </c>
      <c r="AC73" s="4" t="e">
        <f ca="1">Person1!GG73+Person2!GG73</f>
        <v>#NAME?</v>
      </c>
      <c r="AD73" s="4" t="e">
        <f ca="1">Person1!GH73+Person2!GH73</f>
        <v>#NAME?</v>
      </c>
      <c r="AF73" s="4">
        <f>Person1!GJ73</f>
        <v>2083</v>
      </c>
      <c r="AG73" s="4" t="e">
        <f ca="1">Person1!GK73+Person2!GK73</f>
        <v>#NAME?</v>
      </c>
      <c r="AH73" s="4" t="e">
        <f ca="1">Person1!GL73+Person2!GL73</f>
        <v>#NAME?</v>
      </c>
      <c r="AI73" s="4" t="e">
        <f ca="1">Person1!GM73+Person2!GM73</f>
        <v>#NAME?</v>
      </c>
      <c r="AJ73" s="4" t="e">
        <f ca="1">Person1!GN73+Person2!GN73</f>
        <v>#NAME?</v>
      </c>
    </row>
    <row r="74" spans="4:36" x14ac:dyDescent="0.25">
      <c r="D74">
        <f>Person1!D74</f>
        <v>2084</v>
      </c>
      <c r="E74" s="2" t="str">
        <f>TEXT(Person1!E74,"0")&amp;" / "&amp;TEXT(Person2!E74,"0")</f>
        <v>89 / 89</v>
      </c>
      <c r="F74" s="18" t="e">
        <f ca="1">Person1!V74+Person2!V74</f>
        <v>#NAME?</v>
      </c>
      <c r="G74" s="18" t="e">
        <f ca="1">Person1!W74+Person2!W74</f>
        <v>#NAME?</v>
      </c>
      <c r="H74" s="18">
        <f>Person1!X74+Person2!X74</f>
        <v>0</v>
      </c>
      <c r="I74" s="18" t="e">
        <f ca="1">Person1!Y74+Person2!Y74</f>
        <v>#NAME?</v>
      </c>
      <c r="J74" s="18" t="e">
        <f ca="1">Person1!Z74+Person2!Z74</f>
        <v>#NAME?</v>
      </c>
      <c r="K74" s="18" t="e">
        <f ca="1">Person1!AA74+Person2!AA74</f>
        <v>#NAME?</v>
      </c>
      <c r="L74" s="18" t="e">
        <f ca="1">Person1!AB74+Person2!AB74</f>
        <v>#NAME?</v>
      </c>
      <c r="M74" s="18" t="e">
        <f ca="1">Person1!AC74+Person2!AC74</f>
        <v>#NAME?</v>
      </c>
      <c r="N74" s="18" t="e">
        <f ca="1">Person1!AD74+Person2!AD74</f>
        <v>#NAME?</v>
      </c>
      <c r="O74" s="18" t="e">
        <f ca="1">Person1!AE74+Person2!AE74</f>
        <v>#NAME?</v>
      </c>
      <c r="P74" s="18" t="e">
        <f ca="1">Person1!AF74+Person2!AF74</f>
        <v>#NAME?</v>
      </c>
      <c r="Q74" s="18" t="e">
        <f ca="1">Person1!AG74+Person2!AG74</f>
        <v>#NAME?</v>
      </c>
      <c r="R74" s="18"/>
      <c r="T74" s="4">
        <f>Person1!FX74</f>
        <v>2084</v>
      </c>
      <c r="U74" s="4">
        <f>Person1!FY74+Person2!FY74</f>
        <v>0</v>
      </c>
      <c r="V74" s="4">
        <f>Person1!FZ74+Person2!FZ74</f>
        <v>0</v>
      </c>
      <c r="W74" s="4">
        <f>Person1!GA74+Person2!GA74</f>
        <v>0</v>
      </c>
      <c r="X74" s="4">
        <f>Person1!GB74+Person2!GB74</f>
        <v>0</v>
      </c>
      <c r="Y74" s="4" t="e">
        <f ca="1">Person1!GC74+Person2!GC74</f>
        <v>#NAME?</v>
      </c>
      <c r="Z74" s="4" t="e">
        <f ca="1">Person1!GD74+Person2!GD74</f>
        <v>#NAME?</v>
      </c>
      <c r="AA74" s="4" t="e">
        <f ca="1">Person1!GE74+Person2!GE74</f>
        <v>#NAME?</v>
      </c>
      <c r="AB74" s="4" t="e">
        <f ca="1">Person1!GF74+Person2!GF74</f>
        <v>#NAME?</v>
      </c>
      <c r="AC74" s="4" t="e">
        <f ca="1">Person1!GG74+Person2!GG74</f>
        <v>#NAME?</v>
      </c>
      <c r="AD74" s="4" t="e">
        <f ca="1">Person1!GH74+Person2!GH74</f>
        <v>#NAME?</v>
      </c>
      <c r="AF74" s="4">
        <f>Person1!GJ74</f>
        <v>2084</v>
      </c>
      <c r="AG74" s="4" t="e">
        <f ca="1">Person1!GK74+Person2!GK74</f>
        <v>#NAME?</v>
      </c>
      <c r="AH74" s="4" t="e">
        <f ca="1">Person1!GL74+Person2!GL74</f>
        <v>#NAME?</v>
      </c>
      <c r="AI74" s="4" t="e">
        <f ca="1">Person1!GM74+Person2!GM74</f>
        <v>#NAME?</v>
      </c>
      <c r="AJ74" s="4" t="e">
        <f ca="1">Person1!GN74+Person2!GN74</f>
        <v>#NAME?</v>
      </c>
    </row>
    <row r="75" spans="4:36" x14ac:dyDescent="0.25">
      <c r="D75">
        <f>Person1!D75</f>
        <v>2085</v>
      </c>
      <c r="E75" s="2" t="str">
        <f>TEXT(Person1!E75,"0")&amp;" / "&amp;TEXT(Person2!E75,"0")</f>
        <v>90 / 90</v>
      </c>
      <c r="F75" s="18" t="e">
        <f ca="1">Person1!V75+Person2!V75</f>
        <v>#NAME?</v>
      </c>
      <c r="G75" s="18" t="e">
        <f ca="1">Person1!W75+Person2!W75</f>
        <v>#NAME?</v>
      </c>
      <c r="H75" s="18">
        <f>Person1!X75+Person2!X75</f>
        <v>0</v>
      </c>
      <c r="I75" s="18" t="e">
        <f ca="1">Person1!Y75+Person2!Y75</f>
        <v>#NAME?</v>
      </c>
      <c r="J75" s="18" t="e">
        <f ca="1">Person1!Z75+Person2!Z75</f>
        <v>#NAME?</v>
      </c>
      <c r="K75" s="18" t="e">
        <f ca="1">Person1!AA75+Person2!AA75</f>
        <v>#NAME?</v>
      </c>
      <c r="L75" s="18" t="e">
        <f ca="1">Person1!AB75+Person2!AB75</f>
        <v>#NAME?</v>
      </c>
      <c r="M75" s="18" t="e">
        <f ca="1">Person1!AC75+Person2!AC75</f>
        <v>#NAME?</v>
      </c>
      <c r="N75" s="18" t="e">
        <f ca="1">Person1!AD75+Person2!AD75</f>
        <v>#NAME?</v>
      </c>
      <c r="O75" s="18" t="e">
        <f ca="1">Person1!AE75+Person2!AE75</f>
        <v>#NAME?</v>
      </c>
      <c r="P75" s="18" t="e">
        <f ca="1">Person1!AF75+Person2!AF75</f>
        <v>#NAME?</v>
      </c>
      <c r="Q75" s="18" t="e">
        <f ca="1">Person1!AG75+Person2!AG75</f>
        <v>#NAME?</v>
      </c>
      <c r="R75" s="18"/>
      <c r="T75" s="4">
        <f>Person1!FX75</f>
        <v>2085</v>
      </c>
      <c r="U75" s="4">
        <f>Person1!FY75+Person2!FY75</f>
        <v>0</v>
      </c>
      <c r="V75" s="4">
        <f>Person1!FZ75+Person2!FZ75</f>
        <v>0</v>
      </c>
      <c r="W75" s="4">
        <f>Person1!GA75+Person2!GA75</f>
        <v>0</v>
      </c>
      <c r="X75" s="4">
        <f>Person1!GB75+Person2!GB75</f>
        <v>0</v>
      </c>
      <c r="Y75" s="4" t="e">
        <f ca="1">Person1!GC75+Person2!GC75</f>
        <v>#NAME?</v>
      </c>
      <c r="Z75" s="4" t="e">
        <f ca="1">Person1!GD75+Person2!GD75</f>
        <v>#NAME?</v>
      </c>
      <c r="AA75" s="4" t="e">
        <f ca="1">Person1!GE75+Person2!GE75</f>
        <v>#NAME?</v>
      </c>
      <c r="AB75" s="4" t="e">
        <f ca="1">Person1!GF75+Person2!GF75</f>
        <v>#NAME?</v>
      </c>
      <c r="AC75" s="4" t="e">
        <f ca="1">Person1!GG75+Person2!GG75</f>
        <v>#NAME?</v>
      </c>
      <c r="AD75" s="4" t="e">
        <f ca="1">Person1!GH75+Person2!GH75</f>
        <v>#NAME?</v>
      </c>
      <c r="AF75" s="4">
        <f>Person1!GJ75</f>
        <v>2085</v>
      </c>
      <c r="AG75" s="4" t="e">
        <f ca="1">Person1!GK75+Person2!GK75</f>
        <v>#NAME?</v>
      </c>
      <c r="AH75" s="4" t="e">
        <f ca="1">Person1!GL75+Person2!GL75</f>
        <v>#NAME?</v>
      </c>
      <c r="AI75" s="4" t="e">
        <f ca="1">Person1!GM75+Person2!GM75</f>
        <v>#NAME?</v>
      </c>
      <c r="AJ75" s="4" t="e">
        <f ca="1">Person1!GN75+Person2!GN75</f>
        <v>#NAME?</v>
      </c>
    </row>
    <row r="76" spans="4:36" x14ac:dyDescent="0.25">
      <c r="D76">
        <f>Person1!D76</f>
        <v>2086</v>
      </c>
      <c r="E76" s="2" t="str">
        <f>TEXT(Person1!E76,"0")&amp;" / "&amp;TEXT(Person2!E76,"0")</f>
        <v>91 / 91</v>
      </c>
      <c r="F76" s="18" t="e">
        <f ca="1">Person1!V76+Person2!V76</f>
        <v>#NAME?</v>
      </c>
      <c r="G76" s="18" t="e">
        <f ca="1">Person1!W76+Person2!W76</f>
        <v>#NAME?</v>
      </c>
      <c r="H76" s="18">
        <f>Person1!X76+Person2!X76</f>
        <v>0</v>
      </c>
      <c r="I76" s="18" t="e">
        <f ca="1">Person1!Y76+Person2!Y76</f>
        <v>#NAME?</v>
      </c>
      <c r="J76" s="18" t="e">
        <f ca="1">Person1!Z76+Person2!Z76</f>
        <v>#NAME?</v>
      </c>
      <c r="K76" s="18" t="e">
        <f ca="1">Person1!AA76+Person2!AA76</f>
        <v>#NAME?</v>
      </c>
      <c r="L76" s="18" t="e">
        <f ca="1">Person1!AB76+Person2!AB76</f>
        <v>#NAME?</v>
      </c>
      <c r="M76" s="18" t="e">
        <f ca="1">Person1!AC76+Person2!AC76</f>
        <v>#NAME?</v>
      </c>
      <c r="N76" s="18" t="e">
        <f ca="1">Person1!AD76+Person2!AD76</f>
        <v>#NAME?</v>
      </c>
      <c r="O76" s="18" t="e">
        <f ca="1">Person1!AE76+Person2!AE76</f>
        <v>#NAME?</v>
      </c>
      <c r="P76" s="18" t="e">
        <f ca="1">Person1!AF76+Person2!AF76</f>
        <v>#NAME?</v>
      </c>
      <c r="Q76" s="18" t="e">
        <f ca="1">Person1!AG76+Person2!AG76</f>
        <v>#NAME?</v>
      </c>
      <c r="R76" s="18"/>
      <c r="T76" s="4">
        <f>Person1!FX76</f>
        <v>2086</v>
      </c>
      <c r="U76" s="4">
        <f>Person1!FY76+Person2!FY76</f>
        <v>0</v>
      </c>
      <c r="V76" s="4">
        <f>Person1!FZ76+Person2!FZ76</f>
        <v>0</v>
      </c>
      <c r="W76" s="4">
        <f>Person1!GA76+Person2!GA76</f>
        <v>0</v>
      </c>
      <c r="X76" s="4">
        <f>Person1!GB76+Person2!GB76</f>
        <v>0</v>
      </c>
      <c r="Y76" s="4" t="e">
        <f ca="1">Person1!GC76+Person2!GC76</f>
        <v>#NAME?</v>
      </c>
      <c r="Z76" s="4" t="e">
        <f ca="1">Person1!GD76+Person2!GD76</f>
        <v>#NAME?</v>
      </c>
      <c r="AA76" s="4" t="e">
        <f ca="1">Person1!GE76+Person2!GE76</f>
        <v>#NAME?</v>
      </c>
      <c r="AB76" s="4" t="e">
        <f ca="1">Person1!GF76+Person2!GF76</f>
        <v>#NAME?</v>
      </c>
      <c r="AC76" s="4" t="e">
        <f ca="1">Person1!GG76+Person2!GG76</f>
        <v>#NAME?</v>
      </c>
      <c r="AD76" s="4" t="e">
        <f ca="1">Person1!GH76+Person2!GH76</f>
        <v>#NAME?</v>
      </c>
      <c r="AF76" s="4">
        <f>Person1!GJ76</f>
        <v>2086</v>
      </c>
      <c r="AG76" s="4" t="e">
        <f ca="1">Person1!GK76+Person2!GK76</f>
        <v>#NAME?</v>
      </c>
      <c r="AH76" s="4" t="e">
        <f ca="1">Person1!GL76+Person2!GL76</f>
        <v>#NAME?</v>
      </c>
      <c r="AI76" s="4" t="e">
        <f ca="1">Person1!GM76+Person2!GM76</f>
        <v>#NAME?</v>
      </c>
      <c r="AJ76" s="4" t="e">
        <f ca="1">Person1!GN76+Person2!GN76</f>
        <v>#NAME?</v>
      </c>
    </row>
    <row r="77" spans="4:36" x14ac:dyDescent="0.25">
      <c r="D77">
        <f>Person1!D77</f>
        <v>2087</v>
      </c>
      <c r="E77" s="2" t="str">
        <f>TEXT(Person1!E77,"0")&amp;" / "&amp;TEXT(Person2!E77,"0")</f>
        <v>92 / 92</v>
      </c>
      <c r="F77" s="18" t="e">
        <f ca="1">Person1!V77+Person2!V77</f>
        <v>#NAME?</v>
      </c>
      <c r="G77" s="18" t="e">
        <f ca="1">Person1!W77+Person2!W77</f>
        <v>#NAME?</v>
      </c>
      <c r="H77" s="18">
        <f>Person1!X77+Person2!X77</f>
        <v>0</v>
      </c>
      <c r="I77" s="18" t="e">
        <f ca="1">Person1!Y77+Person2!Y77</f>
        <v>#NAME?</v>
      </c>
      <c r="J77" s="18" t="e">
        <f ca="1">Person1!Z77+Person2!Z77</f>
        <v>#NAME?</v>
      </c>
      <c r="K77" s="18" t="e">
        <f ca="1">Person1!AA77+Person2!AA77</f>
        <v>#NAME?</v>
      </c>
      <c r="L77" s="18" t="e">
        <f ca="1">Person1!AB77+Person2!AB77</f>
        <v>#NAME?</v>
      </c>
      <c r="M77" s="18" t="e">
        <f ca="1">Person1!AC77+Person2!AC77</f>
        <v>#NAME?</v>
      </c>
      <c r="N77" s="18" t="e">
        <f ca="1">Person1!AD77+Person2!AD77</f>
        <v>#NAME?</v>
      </c>
      <c r="O77" s="18" t="e">
        <f ca="1">Person1!AE77+Person2!AE77</f>
        <v>#NAME?</v>
      </c>
      <c r="P77" s="18" t="e">
        <f ca="1">Person1!AF77+Person2!AF77</f>
        <v>#NAME?</v>
      </c>
      <c r="Q77" s="18" t="e">
        <f ca="1">Person1!AG77+Person2!AG77</f>
        <v>#NAME?</v>
      </c>
      <c r="R77" s="18"/>
      <c r="T77" s="4">
        <f>Person1!FX77</f>
        <v>2087</v>
      </c>
      <c r="U77" s="4">
        <f>Person1!FY77+Person2!FY77</f>
        <v>0</v>
      </c>
      <c r="V77" s="4">
        <f>Person1!FZ77+Person2!FZ77</f>
        <v>0</v>
      </c>
      <c r="W77" s="4">
        <f>Person1!GA77+Person2!GA77</f>
        <v>0</v>
      </c>
      <c r="X77" s="4">
        <f>Person1!GB77+Person2!GB77</f>
        <v>0</v>
      </c>
      <c r="Y77" s="4" t="e">
        <f ca="1">Person1!GC77+Person2!GC77</f>
        <v>#NAME?</v>
      </c>
      <c r="Z77" s="4" t="e">
        <f ca="1">Person1!GD77+Person2!GD77</f>
        <v>#NAME?</v>
      </c>
      <c r="AA77" s="4" t="e">
        <f ca="1">Person1!GE77+Person2!GE77</f>
        <v>#NAME?</v>
      </c>
      <c r="AB77" s="4" t="e">
        <f ca="1">Person1!GF77+Person2!GF77</f>
        <v>#NAME?</v>
      </c>
      <c r="AC77" s="4" t="e">
        <f ca="1">Person1!GG77+Person2!GG77</f>
        <v>#NAME?</v>
      </c>
      <c r="AD77" s="4" t="e">
        <f ca="1">Person1!GH77+Person2!GH77</f>
        <v>#NAME?</v>
      </c>
      <c r="AF77" s="4">
        <f>Person1!GJ77</f>
        <v>2087</v>
      </c>
      <c r="AG77" s="4" t="e">
        <f ca="1">Person1!GK77+Person2!GK77</f>
        <v>#NAME?</v>
      </c>
      <c r="AH77" s="4" t="e">
        <f ca="1">Person1!GL77+Person2!GL77</f>
        <v>#NAME?</v>
      </c>
      <c r="AI77" s="4" t="e">
        <f ca="1">Person1!GM77+Person2!GM77</f>
        <v>#NAME?</v>
      </c>
      <c r="AJ77" s="4" t="e">
        <f ca="1">Person1!GN77+Person2!GN77</f>
        <v>#NAME?</v>
      </c>
    </row>
    <row r="78" spans="4:36" x14ac:dyDescent="0.25">
      <c r="D78">
        <f>Person1!D78</f>
        <v>2088</v>
      </c>
      <c r="E78" s="2" t="str">
        <f>TEXT(Person1!E78,"0")&amp;" / "&amp;TEXT(Person2!E78,"0")</f>
        <v>93 / 93</v>
      </c>
      <c r="F78" s="18" t="e">
        <f ca="1">Person1!V78+Person2!V78</f>
        <v>#NAME?</v>
      </c>
      <c r="G78" s="18" t="e">
        <f ca="1">Person1!W78+Person2!W78</f>
        <v>#NAME?</v>
      </c>
      <c r="H78" s="18">
        <f>Person1!X78+Person2!X78</f>
        <v>0</v>
      </c>
      <c r="I78" s="18" t="e">
        <f ca="1">Person1!Y78+Person2!Y78</f>
        <v>#NAME?</v>
      </c>
      <c r="J78" s="18" t="e">
        <f ca="1">Person1!Z78+Person2!Z78</f>
        <v>#NAME?</v>
      </c>
      <c r="K78" s="18" t="e">
        <f ca="1">Person1!AA78+Person2!AA78</f>
        <v>#NAME?</v>
      </c>
      <c r="L78" s="18" t="e">
        <f ca="1">Person1!AB78+Person2!AB78</f>
        <v>#NAME?</v>
      </c>
      <c r="M78" s="18" t="e">
        <f ca="1">Person1!AC78+Person2!AC78</f>
        <v>#NAME?</v>
      </c>
      <c r="N78" s="18" t="e">
        <f ca="1">Person1!AD78+Person2!AD78</f>
        <v>#NAME?</v>
      </c>
      <c r="O78" s="18" t="e">
        <f ca="1">Person1!AE78+Person2!AE78</f>
        <v>#NAME?</v>
      </c>
      <c r="P78" s="18" t="e">
        <f ca="1">Person1!AF78+Person2!AF78</f>
        <v>#NAME?</v>
      </c>
      <c r="Q78" s="18" t="e">
        <f ca="1">Person1!AG78+Person2!AG78</f>
        <v>#NAME?</v>
      </c>
      <c r="R78" s="18"/>
      <c r="T78" s="4">
        <f>Person1!FX78</f>
        <v>2088</v>
      </c>
      <c r="U78" s="4">
        <f>Person1!FY78+Person2!FY78</f>
        <v>0</v>
      </c>
      <c r="V78" s="4">
        <f>Person1!FZ78+Person2!FZ78</f>
        <v>0</v>
      </c>
      <c r="W78" s="4">
        <f>Person1!GA78+Person2!GA78</f>
        <v>0</v>
      </c>
      <c r="X78" s="4">
        <f>Person1!GB78+Person2!GB78</f>
        <v>0</v>
      </c>
      <c r="Y78" s="4" t="e">
        <f ca="1">Person1!GC78+Person2!GC78</f>
        <v>#NAME?</v>
      </c>
      <c r="Z78" s="4" t="e">
        <f ca="1">Person1!GD78+Person2!GD78</f>
        <v>#NAME?</v>
      </c>
      <c r="AA78" s="4" t="e">
        <f ca="1">Person1!GE78+Person2!GE78</f>
        <v>#NAME?</v>
      </c>
      <c r="AB78" s="4" t="e">
        <f ca="1">Person1!GF78+Person2!GF78</f>
        <v>#NAME?</v>
      </c>
      <c r="AC78" s="4" t="e">
        <f ca="1">Person1!GG78+Person2!GG78</f>
        <v>#NAME?</v>
      </c>
      <c r="AD78" s="4" t="e">
        <f ca="1">Person1!GH78+Person2!GH78</f>
        <v>#NAME?</v>
      </c>
      <c r="AF78" s="4">
        <f>Person1!GJ78</f>
        <v>2088</v>
      </c>
      <c r="AG78" s="4" t="e">
        <f ca="1">Person1!GK78+Person2!GK78</f>
        <v>#NAME?</v>
      </c>
      <c r="AH78" s="4" t="e">
        <f ca="1">Person1!GL78+Person2!GL78</f>
        <v>#NAME?</v>
      </c>
      <c r="AI78" s="4" t="e">
        <f ca="1">Person1!GM78+Person2!GM78</f>
        <v>#NAME?</v>
      </c>
      <c r="AJ78" s="4" t="e">
        <f ca="1">Person1!GN78+Person2!GN78</f>
        <v>#NAME?</v>
      </c>
    </row>
    <row r="79" spans="4:36" x14ac:dyDescent="0.25">
      <c r="D79">
        <f>Person1!D79</f>
        <v>2089</v>
      </c>
      <c r="E79" s="2" t="str">
        <f>TEXT(Person1!E79,"0")&amp;" / "&amp;TEXT(Person2!E79,"0")</f>
        <v>94 / 94</v>
      </c>
      <c r="F79" s="18" t="e">
        <f ca="1">Person1!V79+Person2!V79</f>
        <v>#NAME?</v>
      </c>
      <c r="G79" s="18" t="e">
        <f ca="1">Person1!W79+Person2!W79</f>
        <v>#NAME?</v>
      </c>
      <c r="H79" s="18">
        <f>Person1!X79+Person2!X79</f>
        <v>0</v>
      </c>
      <c r="I79" s="18" t="e">
        <f ca="1">Person1!Y79+Person2!Y79</f>
        <v>#NAME?</v>
      </c>
      <c r="J79" s="18" t="e">
        <f ca="1">Person1!Z79+Person2!Z79</f>
        <v>#NAME?</v>
      </c>
      <c r="K79" s="18" t="e">
        <f ca="1">Person1!AA79+Person2!AA79</f>
        <v>#NAME?</v>
      </c>
      <c r="L79" s="18" t="e">
        <f ca="1">Person1!AB79+Person2!AB79</f>
        <v>#NAME?</v>
      </c>
      <c r="M79" s="18" t="e">
        <f ca="1">Person1!AC79+Person2!AC79</f>
        <v>#NAME?</v>
      </c>
      <c r="N79" s="18" t="e">
        <f ca="1">Person1!AD79+Person2!AD79</f>
        <v>#NAME?</v>
      </c>
      <c r="O79" s="18" t="e">
        <f ca="1">Person1!AE79+Person2!AE79</f>
        <v>#NAME?</v>
      </c>
      <c r="P79" s="18" t="e">
        <f ca="1">Person1!AF79+Person2!AF79</f>
        <v>#NAME?</v>
      </c>
      <c r="Q79" s="18" t="e">
        <f ca="1">Person1!AG79+Person2!AG79</f>
        <v>#NAME?</v>
      </c>
      <c r="R79" s="18"/>
      <c r="T79" s="4">
        <f>Person1!FX79</f>
        <v>2089</v>
      </c>
      <c r="U79" s="4">
        <f>Person1!FY79+Person2!FY79</f>
        <v>0</v>
      </c>
      <c r="V79" s="4">
        <f>Person1!FZ79+Person2!FZ79</f>
        <v>0</v>
      </c>
      <c r="W79" s="4">
        <f>Person1!GA79+Person2!GA79</f>
        <v>0</v>
      </c>
      <c r="X79" s="4">
        <f>Person1!GB79+Person2!GB79</f>
        <v>0</v>
      </c>
      <c r="Y79" s="4" t="e">
        <f ca="1">Person1!GC79+Person2!GC79</f>
        <v>#NAME?</v>
      </c>
      <c r="Z79" s="4" t="e">
        <f ca="1">Person1!GD79+Person2!GD79</f>
        <v>#NAME?</v>
      </c>
      <c r="AA79" s="4" t="e">
        <f ca="1">Person1!GE79+Person2!GE79</f>
        <v>#NAME?</v>
      </c>
      <c r="AB79" s="4" t="e">
        <f ca="1">Person1!GF79+Person2!GF79</f>
        <v>#NAME?</v>
      </c>
      <c r="AC79" s="4" t="e">
        <f ca="1">Person1!GG79+Person2!GG79</f>
        <v>#NAME?</v>
      </c>
      <c r="AD79" s="4" t="e">
        <f ca="1">Person1!GH79+Person2!GH79</f>
        <v>#NAME?</v>
      </c>
      <c r="AF79" s="4">
        <f>Person1!GJ79</f>
        <v>2089</v>
      </c>
      <c r="AG79" s="4" t="e">
        <f ca="1">Person1!GK79+Person2!GK79</f>
        <v>#NAME?</v>
      </c>
      <c r="AH79" s="4" t="e">
        <f ca="1">Person1!GL79+Person2!GL79</f>
        <v>#NAME?</v>
      </c>
      <c r="AI79" s="4" t="e">
        <f ca="1">Person1!GM79+Person2!GM79</f>
        <v>#NAME?</v>
      </c>
      <c r="AJ79" s="4" t="e">
        <f ca="1">Person1!GN79+Person2!GN79</f>
        <v>#NAME?</v>
      </c>
    </row>
    <row r="80" spans="4:36" x14ac:dyDescent="0.25">
      <c r="D80">
        <f>Person1!D80</f>
        <v>2090</v>
      </c>
      <c r="E80" s="2" t="str">
        <f>TEXT(Person1!E80,"0")&amp;" / "&amp;TEXT(Person2!E80,"0")</f>
        <v>95 / 95</v>
      </c>
      <c r="F80" s="18" t="e">
        <f ca="1">Person1!V80+Person2!V80</f>
        <v>#NAME?</v>
      </c>
      <c r="G80" s="18" t="e">
        <f ca="1">Person1!W80+Person2!W80</f>
        <v>#NAME?</v>
      </c>
      <c r="H80" s="18">
        <f>Person1!X80+Person2!X80</f>
        <v>0</v>
      </c>
      <c r="I80" s="18" t="e">
        <f ca="1">Person1!Y80+Person2!Y80</f>
        <v>#NAME?</v>
      </c>
      <c r="J80" s="18" t="e">
        <f ca="1">Person1!Z80+Person2!Z80</f>
        <v>#NAME?</v>
      </c>
      <c r="K80" s="18" t="e">
        <f ca="1">Person1!AA80+Person2!AA80</f>
        <v>#NAME?</v>
      </c>
      <c r="L80" s="18" t="e">
        <f ca="1">Person1!AB80+Person2!AB80</f>
        <v>#NAME?</v>
      </c>
      <c r="M80" s="18" t="e">
        <f ca="1">Person1!AC80+Person2!AC80</f>
        <v>#NAME?</v>
      </c>
      <c r="N80" s="18" t="e">
        <f ca="1">Person1!AD80+Person2!AD80</f>
        <v>#NAME?</v>
      </c>
      <c r="O80" s="18" t="e">
        <f ca="1">Person1!AE80+Person2!AE80</f>
        <v>#NAME?</v>
      </c>
      <c r="P80" s="18" t="e">
        <f ca="1">Person1!AF80+Person2!AF80</f>
        <v>#NAME?</v>
      </c>
      <c r="Q80" s="18" t="e">
        <f ca="1">Person1!AG80+Person2!AG80</f>
        <v>#NAME?</v>
      </c>
      <c r="R80" s="18"/>
      <c r="T80" s="4">
        <f>Person1!FX80</f>
        <v>2090</v>
      </c>
      <c r="U80" s="4">
        <f>Person1!FY80+Person2!FY80</f>
        <v>0</v>
      </c>
      <c r="V80" s="4">
        <f>Person1!FZ80+Person2!FZ80</f>
        <v>0</v>
      </c>
      <c r="W80" s="4">
        <f>Person1!GA80+Person2!GA80</f>
        <v>0</v>
      </c>
      <c r="X80" s="4">
        <f>Person1!GB80+Person2!GB80</f>
        <v>0</v>
      </c>
      <c r="Y80" s="4" t="e">
        <f ca="1">Person1!GC80+Person2!GC80</f>
        <v>#NAME?</v>
      </c>
      <c r="Z80" s="4" t="e">
        <f ca="1">Person1!GD80+Person2!GD80</f>
        <v>#NAME?</v>
      </c>
      <c r="AA80" s="4" t="e">
        <f ca="1">Person1!GE80+Person2!GE80</f>
        <v>#NAME?</v>
      </c>
      <c r="AB80" s="4" t="e">
        <f ca="1">Person1!GF80+Person2!GF80</f>
        <v>#NAME?</v>
      </c>
      <c r="AC80" s="4" t="e">
        <f ca="1">Person1!GG80+Person2!GG80</f>
        <v>#NAME?</v>
      </c>
      <c r="AD80" s="4" t="e">
        <f ca="1">Person1!GH80+Person2!GH80</f>
        <v>#NAME?</v>
      </c>
      <c r="AF80" s="4">
        <f>Person1!GJ80</f>
        <v>2090</v>
      </c>
      <c r="AG80" s="4" t="e">
        <f ca="1">Person1!GK80+Person2!GK80</f>
        <v>#NAME?</v>
      </c>
      <c r="AH80" s="4" t="e">
        <f ca="1">Person1!GL80+Person2!GL80</f>
        <v>#NAME?</v>
      </c>
      <c r="AI80" s="4" t="e">
        <f ca="1">Person1!GM80+Person2!GM80</f>
        <v>#NAME?</v>
      </c>
      <c r="AJ80" s="4" t="e">
        <f ca="1">Person1!GN80+Person2!GN80</f>
        <v>#NAME?</v>
      </c>
    </row>
    <row r="81" spans="4:36" x14ac:dyDescent="0.25">
      <c r="D81">
        <f>Person1!D81</f>
        <v>2091</v>
      </c>
      <c r="E81" s="2" t="str">
        <f>TEXT(Person1!E81,"0")&amp;" / "&amp;TEXT(Person2!E81,"0")</f>
        <v>96 / 96</v>
      </c>
      <c r="F81" s="18" t="e">
        <f ca="1">Person1!V81+Person2!V81</f>
        <v>#NAME?</v>
      </c>
      <c r="G81" s="18" t="e">
        <f ca="1">Person1!W81+Person2!W81</f>
        <v>#NAME?</v>
      </c>
      <c r="H81" s="18">
        <f>Person1!X81+Person2!X81</f>
        <v>0</v>
      </c>
      <c r="I81" s="18" t="e">
        <f ca="1">Person1!Y81+Person2!Y81</f>
        <v>#NAME?</v>
      </c>
      <c r="J81" s="18" t="e">
        <f ca="1">Person1!Z81+Person2!Z81</f>
        <v>#NAME?</v>
      </c>
      <c r="K81" s="18" t="e">
        <f ca="1">Person1!AA81+Person2!AA81</f>
        <v>#NAME?</v>
      </c>
      <c r="L81" s="18" t="e">
        <f ca="1">Person1!AB81+Person2!AB81</f>
        <v>#NAME?</v>
      </c>
      <c r="M81" s="18" t="e">
        <f ca="1">Person1!AC81+Person2!AC81</f>
        <v>#NAME?</v>
      </c>
      <c r="N81" s="18" t="e">
        <f ca="1">Person1!AD81+Person2!AD81</f>
        <v>#NAME?</v>
      </c>
      <c r="O81" s="18" t="e">
        <f ca="1">Person1!AE81+Person2!AE81</f>
        <v>#NAME?</v>
      </c>
      <c r="P81" s="18" t="e">
        <f ca="1">Person1!AF81+Person2!AF81</f>
        <v>#NAME?</v>
      </c>
      <c r="Q81" s="18" t="e">
        <f ca="1">Person1!AG81+Person2!AG81</f>
        <v>#NAME?</v>
      </c>
      <c r="R81" s="18"/>
      <c r="T81" s="4">
        <f>Person1!FX81</f>
        <v>2091</v>
      </c>
      <c r="U81" s="4">
        <f>Person1!FY81+Person2!FY81</f>
        <v>0</v>
      </c>
      <c r="V81" s="4">
        <f>Person1!FZ81+Person2!FZ81</f>
        <v>0</v>
      </c>
      <c r="W81" s="4">
        <f>Person1!GA81+Person2!GA81</f>
        <v>0</v>
      </c>
      <c r="X81" s="4">
        <f>Person1!GB81+Person2!GB81</f>
        <v>0</v>
      </c>
      <c r="Y81" s="4" t="e">
        <f ca="1">Person1!GC81+Person2!GC81</f>
        <v>#NAME?</v>
      </c>
      <c r="Z81" s="4" t="e">
        <f ca="1">Person1!GD81+Person2!GD81</f>
        <v>#NAME?</v>
      </c>
      <c r="AA81" s="4" t="e">
        <f ca="1">Person1!GE81+Person2!GE81</f>
        <v>#NAME?</v>
      </c>
      <c r="AB81" s="4" t="e">
        <f ca="1">Person1!GF81+Person2!GF81</f>
        <v>#NAME?</v>
      </c>
      <c r="AC81" s="4" t="e">
        <f ca="1">Person1!GG81+Person2!GG81</f>
        <v>#NAME?</v>
      </c>
      <c r="AD81" s="4" t="e">
        <f ca="1">Person1!GH81+Person2!GH81</f>
        <v>#NAME?</v>
      </c>
      <c r="AF81" s="4">
        <f>Person1!GJ81</f>
        <v>2091</v>
      </c>
      <c r="AG81" s="4" t="e">
        <f ca="1">Person1!GK81+Person2!GK81</f>
        <v>#NAME?</v>
      </c>
      <c r="AH81" s="4" t="e">
        <f ca="1">Person1!GL81+Person2!GL81</f>
        <v>#NAME?</v>
      </c>
      <c r="AI81" s="4" t="e">
        <f ca="1">Person1!GM81+Person2!GM81</f>
        <v>#NAME?</v>
      </c>
      <c r="AJ81" s="4" t="e">
        <f ca="1">Person1!GN81+Person2!GN81</f>
        <v>#NAME?</v>
      </c>
    </row>
    <row r="82" spans="4:36" x14ac:dyDescent="0.25">
      <c r="D82">
        <f>Person1!D82</f>
        <v>2092</v>
      </c>
      <c r="E82" s="2" t="str">
        <f>TEXT(Person1!E82,"0")&amp;" / "&amp;TEXT(Person2!E82,"0")</f>
        <v>97 / 97</v>
      </c>
      <c r="F82" s="18" t="e">
        <f ca="1">Person1!V82+Person2!V82</f>
        <v>#NAME?</v>
      </c>
      <c r="G82" s="18" t="e">
        <f ca="1">Person1!W82+Person2!W82</f>
        <v>#NAME?</v>
      </c>
      <c r="H82" s="18">
        <f>Person1!X82+Person2!X82</f>
        <v>0</v>
      </c>
      <c r="I82" s="18" t="e">
        <f ca="1">Person1!Y82+Person2!Y82</f>
        <v>#NAME?</v>
      </c>
      <c r="J82" s="18" t="e">
        <f ca="1">Person1!Z82+Person2!Z82</f>
        <v>#NAME?</v>
      </c>
      <c r="K82" s="18" t="e">
        <f ca="1">Person1!AA82+Person2!AA82</f>
        <v>#NAME?</v>
      </c>
      <c r="L82" s="18" t="e">
        <f ca="1">Person1!AB82+Person2!AB82</f>
        <v>#NAME?</v>
      </c>
      <c r="M82" s="18" t="e">
        <f ca="1">Person1!AC82+Person2!AC82</f>
        <v>#NAME?</v>
      </c>
      <c r="N82" s="18" t="e">
        <f ca="1">Person1!AD82+Person2!AD82</f>
        <v>#NAME?</v>
      </c>
      <c r="O82" s="18" t="e">
        <f ca="1">Person1!AE82+Person2!AE82</f>
        <v>#NAME?</v>
      </c>
      <c r="P82" s="18" t="e">
        <f ca="1">Person1!AF82+Person2!AF82</f>
        <v>#NAME?</v>
      </c>
      <c r="Q82" s="18" t="e">
        <f ca="1">Person1!AG82+Person2!AG82</f>
        <v>#NAME?</v>
      </c>
      <c r="R82" s="18"/>
      <c r="T82" s="4">
        <f>Person1!FX82</f>
        <v>2092</v>
      </c>
      <c r="U82" s="4">
        <f>Person1!FY82+Person2!FY82</f>
        <v>0</v>
      </c>
      <c r="V82" s="4">
        <f>Person1!FZ82+Person2!FZ82</f>
        <v>0</v>
      </c>
      <c r="W82" s="4">
        <f>Person1!GA82+Person2!GA82</f>
        <v>0</v>
      </c>
      <c r="X82" s="4">
        <f>Person1!GB82+Person2!GB82</f>
        <v>0</v>
      </c>
      <c r="Y82" s="4" t="e">
        <f ca="1">Person1!GC82+Person2!GC82</f>
        <v>#NAME?</v>
      </c>
      <c r="Z82" s="4" t="e">
        <f ca="1">Person1!GD82+Person2!GD82</f>
        <v>#NAME?</v>
      </c>
      <c r="AA82" s="4" t="e">
        <f ca="1">Person1!GE82+Person2!GE82</f>
        <v>#NAME?</v>
      </c>
      <c r="AB82" s="4" t="e">
        <f ca="1">Person1!GF82+Person2!GF82</f>
        <v>#NAME?</v>
      </c>
      <c r="AC82" s="4" t="e">
        <f ca="1">Person1!GG82+Person2!GG82</f>
        <v>#NAME?</v>
      </c>
      <c r="AD82" s="4" t="e">
        <f ca="1">Person1!GH82+Person2!GH82</f>
        <v>#NAME?</v>
      </c>
      <c r="AF82" s="4">
        <f>Person1!GJ82</f>
        <v>2092</v>
      </c>
      <c r="AG82" s="4" t="e">
        <f ca="1">Person1!GK82+Person2!GK82</f>
        <v>#NAME?</v>
      </c>
      <c r="AH82" s="4" t="e">
        <f ca="1">Person1!GL82+Person2!GL82</f>
        <v>#NAME?</v>
      </c>
      <c r="AI82" s="4" t="e">
        <f ca="1">Person1!GM82+Person2!GM82</f>
        <v>#NAME?</v>
      </c>
      <c r="AJ82" s="4" t="e">
        <f ca="1">Person1!GN82+Person2!GN82</f>
        <v>#NAME?</v>
      </c>
    </row>
    <row r="83" spans="4:36" x14ac:dyDescent="0.25">
      <c r="D83">
        <f>Person1!D83</f>
        <v>2093</v>
      </c>
      <c r="E83" s="2" t="str">
        <f>TEXT(Person1!E83,"0")&amp;" / "&amp;TEXT(Person2!E83,"0")</f>
        <v>98 / 98</v>
      </c>
      <c r="F83" s="18" t="e">
        <f ca="1">Person1!V83+Person2!V83</f>
        <v>#NAME?</v>
      </c>
      <c r="G83" s="18" t="e">
        <f ca="1">Person1!W83+Person2!W83</f>
        <v>#NAME?</v>
      </c>
      <c r="H83" s="18">
        <f>Person1!X83+Person2!X83</f>
        <v>0</v>
      </c>
      <c r="I83" s="18" t="e">
        <f ca="1">Person1!Y83+Person2!Y83</f>
        <v>#NAME?</v>
      </c>
      <c r="J83" s="18" t="e">
        <f ca="1">Person1!Z83+Person2!Z83</f>
        <v>#NAME?</v>
      </c>
      <c r="K83" s="18" t="e">
        <f ca="1">Person1!AA83+Person2!AA83</f>
        <v>#NAME?</v>
      </c>
      <c r="L83" s="18" t="e">
        <f ca="1">Person1!AB83+Person2!AB83</f>
        <v>#NAME?</v>
      </c>
      <c r="M83" s="18" t="e">
        <f ca="1">Person1!AC83+Person2!AC83</f>
        <v>#NAME?</v>
      </c>
      <c r="N83" s="18" t="e">
        <f ca="1">Person1!AD83+Person2!AD83</f>
        <v>#NAME?</v>
      </c>
      <c r="O83" s="18" t="e">
        <f ca="1">Person1!AE83+Person2!AE83</f>
        <v>#NAME?</v>
      </c>
      <c r="P83" s="18" t="e">
        <f ca="1">Person1!AF83+Person2!AF83</f>
        <v>#NAME?</v>
      </c>
      <c r="Q83" s="18" t="e">
        <f ca="1">Person1!AG83+Person2!AG83</f>
        <v>#NAME?</v>
      </c>
      <c r="R83" s="18"/>
      <c r="T83" s="4">
        <f>Person1!FX83</f>
        <v>2093</v>
      </c>
      <c r="U83" s="4">
        <f>Person1!FY83+Person2!FY83</f>
        <v>0</v>
      </c>
      <c r="V83" s="4">
        <f>Person1!FZ83+Person2!FZ83</f>
        <v>0</v>
      </c>
      <c r="W83" s="4">
        <f>Person1!GA83+Person2!GA83</f>
        <v>0</v>
      </c>
      <c r="X83" s="4">
        <f>Person1!GB83+Person2!GB83</f>
        <v>0</v>
      </c>
      <c r="Y83" s="4" t="e">
        <f ca="1">Person1!GC83+Person2!GC83</f>
        <v>#NAME?</v>
      </c>
      <c r="Z83" s="4" t="e">
        <f ca="1">Person1!GD83+Person2!GD83</f>
        <v>#NAME?</v>
      </c>
      <c r="AA83" s="4" t="e">
        <f ca="1">Person1!GE83+Person2!GE83</f>
        <v>#NAME?</v>
      </c>
      <c r="AB83" s="4" t="e">
        <f ca="1">Person1!GF83+Person2!GF83</f>
        <v>#NAME?</v>
      </c>
      <c r="AC83" s="4" t="e">
        <f ca="1">Person1!GG83+Person2!GG83</f>
        <v>#NAME?</v>
      </c>
      <c r="AD83" s="4" t="e">
        <f ca="1">Person1!GH83+Person2!GH83</f>
        <v>#NAME?</v>
      </c>
      <c r="AF83" s="4">
        <f>Person1!GJ83</f>
        <v>2093</v>
      </c>
      <c r="AG83" s="4" t="e">
        <f ca="1">Person1!GK83+Person2!GK83</f>
        <v>#NAME?</v>
      </c>
      <c r="AH83" s="4" t="e">
        <f ca="1">Person1!GL83+Person2!GL83</f>
        <v>#NAME?</v>
      </c>
      <c r="AI83" s="4" t="e">
        <f ca="1">Person1!GM83+Person2!GM83</f>
        <v>#NAME?</v>
      </c>
      <c r="AJ83" s="4" t="e">
        <f ca="1">Person1!GN83+Person2!GN83</f>
        <v>#NAME?</v>
      </c>
    </row>
    <row r="84" spans="4:36" x14ac:dyDescent="0.25">
      <c r="D84">
        <f>Person1!D84</f>
        <v>2094</v>
      </c>
      <c r="E84" s="2" t="str">
        <f>TEXT(Person1!E84,"0")&amp;" / "&amp;TEXT(Person2!E84,"0")</f>
        <v>99 / 99</v>
      </c>
      <c r="F84" s="18" t="e">
        <f ca="1">Person1!V84+Person2!V84</f>
        <v>#NAME?</v>
      </c>
      <c r="G84" s="18" t="e">
        <f ca="1">Person1!W84+Person2!W84</f>
        <v>#NAME?</v>
      </c>
      <c r="H84" s="18">
        <f>Person1!X84+Person2!X84</f>
        <v>0</v>
      </c>
      <c r="I84" s="18" t="e">
        <f ca="1">Person1!Y84+Person2!Y84</f>
        <v>#NAME?</v>
      </c>
      <c r="J84" s="18" t="e">
        <f ca="1">Person1!Z84+Person2!Z84</f>
        <v>#NAME?</v>
      </c>
      <c r="K84" s="18" t="e">
        <f ca="1">Person1!AA84+Person2!AA84</f>
        <v>#NAME?</v>
      </c>
      <c r="L84" s="18" t="e">
        <f ca="1">Person1!AB84+Person2!AB84</f>
        <v>#NAME?</v>
      </c>
      <c r="M84" s="18" t="e">
        <f ca="1">Person1!AC84+Person2!AC84</f>
        <v>#NAME?</v>
      </c>
      <c r="N84" s="18" t="e">
        <f ca="1">Person1!AD84+Person2!AD84</f>
        <v>#NAME?</v>
      </c>
      <c r="O84" s="18" t="e">
        <f ca="1">Person1!AE84+Person2!AE84</f>
        <v>#NAME?</v>
      </c>
      <c r="P84" s="18" t="e">
        <f ca="1">Person1!AF84+Person2!AF84</f>
        <v>#NAME?</v>
      </c>
      <c r="Q84" s="18" t="e">
        <f ca="1">Person1!AG84+Person2!AG84</f>
        <v>#NAME?</v>
      </c>
      <c r="R84" s="18"/>
      <c r="T84" s="4">
        <f>Person1!FX84</f>
        <v>2094</v>
      </c>
      <c r="U84" s="4">
        <f>Person1!FY84+Person2!FY84</f>
        <v>0</v>
      </c>
      <c r="V84" s="4">
        <f>Person1!FZ84+Person2!FZ84</f>
        <v>0</v>
      </c>
      <c r="W84" s="4">
        <f>Person1!GA84+Person2!GA84</f>
        <v>0</v>
      </c>
      <c r="X84" s="4">
        <f>Person1!GB84+Person2!GB84</f>
        <v>0</v>
      </c>
      <c r="Y84" s="4" t="e">
        <f ca="1">Person1!GC84+Person2!GC84</f>
        <v>#NAME?</v>
      </c>
      <c r="Z84" s="4" t="e">
        <f ca="1">Person1!GD84+Person2!GD84</f>
        <v>#NAME?</v>
      </c>
      <c r="AA84" s="4" t="e">
        <f ca="1">Person1!GE84+Person2!GE84</f>
        <v>#NAME?</v>
      </c>
      <c r="AB84" s="4" t="e">
        <f ca="1">Person1!GF84+Person2!GF84</f>
        <v>#NAME?</v>
      </c>
      <c r="AC84" s="4" t="e">
        <f ca="1">Person1!GG84+Person2!GG84</f>
        <v>#NAME?</v>
      </c>
      <c r="AD84" s="4" t="e">
        <f ca="1">Person1!GH84+Person2!GH84</f>
        <v>#NAME?</v>
      </c>
      <c r="AF84" s="4">
        <f>Person1!GJ84</f>
        <v>2094</v>
      </c>
      <c r="AG84" s="4" t="e">
        <f ca="1">Person1!GK84+Person2!GK84</f>
        <v>#NAME?</v>
      </c>
      <c r="AH84" s="4" t="e">
        <f ca="1">Person1!GL84+Person2!GL84</f>
        <v>#NAME?</v>
      </c>
      <c r="AI84" s="4" t="e">
        <f ca="1">Person1!GM84+Person2!GM84</f>
        <v>#NAME?</v>
      </c>
      <c r="AJ84" s="4" t="e">
        <f ca="1">Person1!GN84+Person2!GN84</f>
        <v>#NAME?</v>
      </c>
    </row>
    <row r="85" spans="4:36" x14ac:dyDescent="0.25">
      <c r="D85">
        <f>Person1!D85</f>
        <v>2095</v>
      </c>
      <c r="E85" s="2" t="str">
        <f>TEXT(Person1!E85,"0")&amp;" / "&amp;TEXT(Person2!E85,"0")</f>
        <v>100 / 100</v>
      </c>
      <c r="F85" s="18" t="e">
        <f ca="1">Person1!V85+Person2!V85</f>
        <v>#NAME?</v>
      </c>
      <c r="G85" s="18" t="e">
        <f ca="1">Person1!W85+Person2!W85</f>
        <v>#NAME?</v>
      </c>
      <c r="H85" s="18">
        <f>Person1!X85+Person2!X85</f>
        <v>0</v>
      </c>
      <c r="I85" s="18" t="e">
        <f ca="1">Person1!Y85+Person2!Y85</f>
        <v>#NAME?</v>
      </c>
      <c r="J85" s="18" t="e">
        <f ca="1">Person1!Z85+Person2!Z85</f>
        <v>#NAME?</v>
      </c>
      <c r="K85" s="18" t="e">
        <f ca="1">Person1!AA85+Person2!AA85</f>
        <v>#NAME?</v>
      </c>
      <c r="L85" s="18" t="e">
        <f ca="1">Person1!AB85+Person2!AB85</f>
        <v>#NAME?</v>
      </c>
      <c r="M85" s="18" t="e">
        <f ca="1">Person1!AC85+Person2!AC85</f>
        <v>#NAME?</v>
      </c>
      <c r="N85" s="18" t="e">
        <f ca="1">Person1!AD85+Person2!AD85</f>
        <v>#NAME?</v>
      </c>
      <c r="O85" s="18" t="e">
        <f ca="1">Person1!AE85+Person2!AE85</f>
        <v>#NAME?</v>
      </c>
      <c r="P85" s="18" t="e">
        <f ca="1">Person1!AF85+Person2!AF85</f>
        <v>#NAME?</v>
      </c>
      <c r="Q85" s="18" t="e">
        <f ca="1">Person1!AG85+Person2!AG85</f>
        <v>#NAME?</v>
      </c>
      <c r="R85" s="18"/>
      <c r="T85" s="4">
        <f>Person1!FX85</f>
        <v>2095</v>
      </c>
      <c r="U85" s="4">
        <f>Person1!FY85+Person2!FY85</f>
        <v>0</v>
      </c>
      <c r="V85" s="4">
        <f>Person1!FZ85+Person2!FZ85</f>
        <v>0</v>
      </c>
      <c r="W85" s="4">
        <f>Person1!GA85+Person2!GA85</f>
        <v>0</v>
      </c>
      <c r="X85" s="4">
        <f>Person1!GB85+Person2!GB85</f>
        <v>0</v>
      </c>
      <c r="Y85" s="4" t="e">
        <f ca="1">Person1!GC85+Person2!GC85</f>
        <v>#NAME?</v>
      </c>
      <c r="Z85" s="4" t="e">
        <f ca="1">Person1!GD85+Person2!GD85</f>
        <v>#NAME?</v>
      </c>
      <c r="AA85" s="4" t="e">
        <f ca="1">Person1!GE85+Person2!GE85</f>
        <v>#NAME?</v>
      </c>
      <c r="AB85" s="4" t="e">
        <f ca="1">Person1!GF85+Person2!GF85</f>
        <v>#NAME?</v>
      </c>
      <c r="AC85" s="4" t="e">
        <f ca="1">Person1!GG85+Person2!GG85</f>
        <v>#NAME?</v>
      </c>
      <c r="AD85" s="4" t="e">
        <f ca="1">Person1!GH85+Person2!GH85</f>
        <v>#NAME?</v>
      </c>
      <c r="AF85" s="4">
        <f>Person1!GJ85</f>
        <v>2095</v>
      </c>
      <c r="AG85" s="4" t="e">
        <f ca="1">Person1!GK85+Person2!GK85</f>
        <v>#NAME?</v>
      </c>
      <c r="AH85" s="4" t="e">
        <f ca="1">Person1!GL85+Person2!GL85</f>
        <v>#NAME?</v>
      </c>
      <c r="AI85" s="4" t="e">
        <f ca="1">Person1!GM85+Person2!GM85</f>
        <v>#NAME?</v>
      </c>
      <c r="AJ85" s="4" t="e">
        <f ca="1">Person1!GN85+Person2!GN85</f>
        <v>#NAME?</v>
      </c>
    </row>
    <row r="86" spans="4:36" x14ac:dyDescent="0.25">
      <c r="T86" s="4">
        <f>Person1!FX86</f>
        <v>2096</v>
      </c>
      <c r="U86" s="4">
        <f>Person1!FY86+Person2!FY86</f>
        <v>0</v>
      </c>
      <c r="V86" s="4">
        <f>Person1!FZ86+Person2!FZ86</f>
        <v>0</v>
      </c>
      <c r="W86" s="4">
        <f>Person1!GA86+Person2!GA86</f>
        <v>0</v>
      </c>
      <c r="X86" s="4">
        <f>Person1!GB86+Person2!GB86</f>
        <v>0</v>
      </c>
      <c r="Y86" s="4" t="e">
        <f ca="1">Person1!GC86+Person2!GC86</f>
        <v>#NAME?</v>
      </c>
      <c r="Z86" s="4" t="e">
        <f ca="1">Person1!GD86+Person2!GD86</f>
        <v>#NAME?</v>
      </c>
      <c r="AA86" s="4" t="e">
        <f ca="1">Person1!GE86+Person2!GE86</f>
        <v>#NAME?</v>
      </c>
      <c r="AB86" s="4" t="e">
        <f ca="1">Person1!GF86+Person2!GF86</f>
        <v>#NAME?</v>
      </c>
      <c r="AC86" s="4" t="e">
        <f ca="1">Person1!GG86+Person2!GG86</f>
        <v>#NAME?</v>
      </c>
      <c r="AD86" s="4" t="e">
        <f ca="1">Person1!GH86+Person2!GH86</f>
        <v>#NAME?</v>
      </c>
      <c r="AF86" s="4">
        <f>Person1!GJ86</f>
        <v>2096</v>
      </c>
      <c r="AG86" s="4" t="e">
        <f ca="1">Person1!GK86+Person2!GK86</f>
        <v>#NAME?</v>
      </c>
      <c r="AH86" s="4" t="e">
        <f ca="1">Person1!GL86+Person2!GL86</f>
        <v>#NAME?</v>
      </c>
      <c r="AI86" s="4" t="e">
        <f ca="1">Person1!GM86+Person2!GM86</f>
        <v>#NAME?</v>
      </c>
      <c r="AJ86" s="4" t="e">
        <f ca="1">Person1!GN86+Person2!GN86</f>
        <v>#NAME?</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CF53B-EEB1-4490-8696-7FD56DDC55D3}">
  <sheetPr codeName="Sheet8">
    <pageSetUpPr fitToPage="1"/>
  </sheetPr>
  <dimension ref="A1:IH147"/>
  <sheetViews>
    <sheetView workbookViewId="0">
      <pane xSplit="5" ySplit="6" topLeftCell="F7" activePane="bottomRight" state="frozen"/>
      <selection pane="topRight" activeCell="F1" sqref="F1"/>
      <selection pane="bottomLeft" activeCell="A7" sqref="A7"/>
      <selection pane="bottomRight" activeCell="F7" sqref="F7"/>
    </sheetView>
  </sheetViews>
  <sheetFormatPr defaultColWidth="8" defaultRowHeight="13.2" x14ac:dyDescent="0.25"/>
  <cols>
    <col min="1" max="1" width="30.44140625" customWidth="1"/>
    <col min="2" max="2" width="10" customWidth="1"/>
    <col min="3" max="3" width="10.44140625" customWidth="1"/>
    <col min="4" max="4" width="6.6640625" customWidth="1"/>
    <col min="5" max="5" width="5.6640625" customWidth="1"/>
    <col min="6" max="13" width="10.6640625" customWidth="1"/>
    <col min="14" max="21" width="8.6640625" customWidth="1"/>
    <col min="22" max="33" width="10.44140625" customWidth="1"/>
    <col min="34" max="52" width="8" customWidth="1"/>
    <col min="53" max="53" width="8.44140625" bestFit="1" customWidth="1"/>
    <col min="54" max="59" width="8" customWidth="1"/>
    <col min="60" max="60" width="9" customWidth="1"/>
    <col min="61" max="62" width="8" customWidth="1"/>
    <col min="63" max="63" width="8.109375" customWidth="1"/>
    <col min="64" max="64" width="9" customWidth="1"/>
    <col min="65" max="66" width="9.109375" customWidth="1"/>
    <col min="67" max="67" width="10.44140625" customWidth="1"/>
    <col min="68" max="68" width="11" customWidth="1"/>
    <col min="69" max="69" width="5.6640625" customWidth="1"/>
    <col min="70" max="70" width="10.5546875" customWidth="1"/>
    <col min="71" max="72" width="8.6640625" customWidth="1"/>
    <col min="73" max="73" width="9.6640625" customWidth="1"/>
    <col min="74" max="79" width="8" customWidth="1"/>
    <col min="80" max="80" width="9" customWidth="1"/>
    <col min="81" max="81" width="9.6640625" customWidth="1"/>
    <col min="82" max="85" width="8" customWidth="1"/>
    <col min="86" max="89" width="9" customWidth="1"/>
    <col min="90" max="90" width="11.5546875" customWidth="1"/>
    <col min="91" max="91" width="5.6640625" customWidth="1"/>
    <col min="92" max="95" width="9.44140625" customWidth="1"/>
    <col min="96" max="151" width="8" customWidth="1"/>
    <col min="152" max="152" width="10.88671875" customWidth="1"/>
    <col min="153" max="163" width="8" customWidth="1"/>
    <col min="164" max="164" width="9.88671875" customWidth="1"/>
    <col min="165" max="165" width="8" customWidth="1"/>
    <col min="166" max="166" width="4.6640625" customWidth="1"/>
    <col min="167" max="203" width="8" customWidth="1"/>
    <col min="204" max="204" width="9.5546875" customWidth="1"/>
    <col min="205" max="206" width="8" customWidth="1"/>
    <col min="223" max="223" width="9.44140625" customWidth="1"/>
    <col min="224" max="224" width="8.5546875" bestFit="1" customWidth="1"/>
    <col min="225" max="225" width="8.5546875" customWidth="1"/>
    <col min="226" max="226" width="8.5546875" bestFit="1" customWidth="1"/>
    <col min="227" max="227" width="8.44140625" bestFit="1" customWidth="1"/>
    <col min="229" max="229" width="9.33203125" customWidth="1"/>
    <col min="231" max="231" width="8.5546875" bestFit="1" customWidth="1"/>
    <col min="233" max="234" width="8.5546875" bestFit="1" customWidth="1"/>
    <col min="237" max="237" width="8.5546875" bestFit="1" customWidth="1"/>
    <col min="254" max="254" width="26.88671875" customWidth="1"/>
  </cols>
  <sheetData>
    <row r="1" spans="1:240" ht="17.399999999999999" x14ac:dyDescent="0.3">
      <c r="A1" s="13" t="s">
        <v>138</v>
      </c>
      <c r="D1" s="21" t="s">
        <v>109</v>
      </c>
      <c r="E1" s="21" t="s">
        <v>109</v>
      </c>
      <c r="F1" t="s">
        <v>530</v>
      </c>
      <c r="G1" t="s">
        <v>636</v>
      </c>
      <c r="H1" s="21" t="s">
        <v>531</v>
      </c>
      <c r="I1" s="21" t="s">
        <v>532</v>
      </c>
      <c r="J1" s="21" t="s">
        <v>471</v>
      </c>
      <c r="K1" s="21" t="s">
        <v>469</v>
      </c>
      <c r="L1" s="21" t="s">
        <v>470</v>
      </c>
      <c r="M1" s="21" t="s">
        <v>109</v>
      </c>
      <c r="N1" s="21" t="s">
        <v>86</v>
      </c>
      <c r="O1" s="21" t="s">
        <v>472</v>
      </c>
      <c r="P1" s="21" t="s">
        <v>473</v>
      </c>
      <c r="Q1" s="21"/>
      <c r="R1" s="21"/>
      <c r="S1" s="21"/>
      <c r="T1" s="21"/>
      <c r="U1" s="21" t="s">
        <v>109</v>
      </c>
      <c r="V1" t="s">
        <v>137</v>
      </c>
      <c r="W1" s="21" t="s">
        <v>236</v>
      </c>
      <c r="X1" t="s">
        <v>533</v>
      </c>
      <c r="Y1" s="21" t="s">
        <v>534</v>
      </c>
      <c r="Z1" s="21" t="s">
        <v>109</v>
      </c>
      <c r="AA1" s="21" t="s">
        <v>109</v>
      </c>
      <c r="AB1" s="21" t="s">
        <v>109</v>
      </c>
      <c r="AC1" s="21" t="s">
        <v>109</v>
      </c>
      <c r="AD1" s="21" t="s">
        <v>109</v>
      </c>
      <c r="AE1" s="21" t="s">
        <v>109</v>
      </c>
      <c r="AF1" s="21" t="s">
        <v>109</v>
      </c>
      <c r="AG1" s="21" t="s">
        <v>237</v>
      </c>
      <c r="AH1" s="21" t="s">
        <v>109</v>
      </c>
      <c r="AI1" s="21" t="s">
        <v>536</v>
      </c>
      <c r="AJ1" s="21" t="s">
        <v>535</v>
      </c>
      <c r="AK1" s="21" t="s">
        <v>444</v>
      </c>
      <c r="AL1" s="21" t="s">
        <v>445</v>
      </c>
      <c r="AM1" s="21" t="s">
        <v>446</v>
      </c>
      <c r="AN1" s="21" t="s">
        <v>447</v>
      </c>
      <c r="AO1" s="21" t="s">
        <v>448</v>
      </c>
      <c r="AP1" s="21" t="s">
        <v>452</v>
      </c>
      <c r="AQ1" s="21" t="s">
        <v>453</v>
      </c>
      <c r="AR1" s="21" t="s">
        <v>454</v>
      </c>
      <c r="AS1" s="21" t="s">
        <v>455</v>
      </c>
      <c r="AT1" s="21" t="s">
        <v>456</v>
      </c>
      <c r="AU1" s="21" t="s">
        <v>109</v>
      </c>
      <c r="AV1" s="21" t="s">
        <v>109</v>
      </c>
      <c r="AW1" s="21" t="s">
        <v>109</v>
      </c>
      <c r="AX1" s="21" t="s">
        <v>109</v>
      </c>
      <c r="AY1" s="21"/>
      <c r="AZ1" t="s">
        <v>351</v>
      </c>
      <c r="BA1" s="21" t="s">
        <v>109</v>
      </c>
      <c r="BB1" t="s">
        <v>419</v>
      </c>
      <c r="BC1" t="s">
        <v>539</v>
      </c>
      <c r="BD1" t="s">
        <v>108</v>
      </c>
      <c r="BE1" t="s">
        <v>416</v>
      </c>
      <c r="BF1" t="s">
        <v>204</v>
      </c>
      <c r="BG1" t="s">
        <v>352</v>
      </c>
      <c r="BH1" s="21" t="s">
        <v>205</v>
      </c>
      <c r="BI1" t="s">
        <v>420</v>
      </c>
      <c r="BJ1" s="21" t="s">
        <v>109</v>
      </c>
      <c r="BK1" t="s">
        <v>538</v>
      </c>
      <c r="BL1" s="21" t="s">
        <v>206</v>
      </c>
      <c r="BM1" t="s">
        <v>478</v>
      </c>
      <c r="BN1" t="s">
        <v>605</v>
      </c>
      <c r="BO1" t="s">
        <v>479</v>
      </c>
      <c r="BP1" t="s">
        <v>189</v>
      </c>
      <c r="BQ1" s="21" t="s">
        <v>109</v>
      </c>
      <c r="BR1" s="21" t="s">
        <v>580</v>
      </c>
      <c r="BS1" s="21" t="s">
        <v>540</v>
      </c>
      <c r="BT1" s="21" t="s">
        <v>502</v>
      </c>
      <c r="BU1" t="s">
        <v>190</v>
      </c>
      <c r="BV1" s="21" t="s">
        <v>541</v>
      </c>
      <c r="BW1" t="s">
        <v>207</v>
      </c>
      <c r="BX1" t="s">
        <v>110</v>
      </c>
      <c r="BY1" t="s">
        <v>542</v>
      </c>
      <c r="BZ1" t="s">
        <v>191</v>
      </c>
      <c r="CA1" t="s">
        <v>111</v>
      </c>
      <c r="CB1" t="s">
        <v>543</v>
      </c>
      <c r="CC1" s="21" t="s">
        <v>109</v>
      </c>
      <c r="CD1" t="s">
        <v>212</v>
      </c>
      <c r="CE1" t="s">
        <v>672</v>
      </c>
      <c r="CF1" t="s">
        <v>584</v>
      </c>
      <c r="CG1" t="s">
        <v>648</v>
      </c>
      <c r="CH1" t="s">
        <v>112</v>
      </c>
      <c r="CI1" t="s">
        <v>112</v>
      </c>
      <c r="CJ1" t="s">
        <v>673</v>
      </c>
      <c r="CK1" t="s">
        <v>431</v>
      </c>
      <c r="CL1" t="s">
        <v>606</v>
      </c>
      <c r="CM1" s="21" t="s">
        <v>109</v>
      </c>
      <c r="CN1" t="s">
        <v>533</v>
      </c>
      <c r="CO1" s="21" t="s">
        <v>421</v>
      </c>
      <c r="CP1" t="s">
        <v>208</v>
      </c>
      <c r="CQ1" s="21" t="s">
        <v>109</v>
      </c>
      <c r="CR1" t="s">
        <v>544</v>
      </c>
      <c r="CS1" t="s">
        <v>546</v>
      </c>
      <c r="CT1" t="s">
        <v>545</v>
      </c>
      <c r="CU1" s="21" t="s">
        <v>109</v>
      </c>
      <c r="CV1" s="21" t="s">
        <v>547</v>
      </c>
      <c r="CW1" s="21" t="s">
        <v>548</v>
      </c>
      <c r="CX1" t="s">
        <v>549</v>
      </c>
      <c r="CY1" t="s">
        <v>550</v>
      </c>
      <c r="CZ1" s="21" t="s">
        <v>109</v>
      </c>
      <c r="DA1" t="s">
        <v>551</v>
      </c>
      <c r="DB1" t="s">
        <v>500</v>
      </c>
      <c r="DC1" t="s">
        <v>501</v>
      </c>
      <c r="DD1" t="s">
        <v>552</v>
      </c>
      <c r="DE1" t="s">
        <v>113</v>
      </c>
      <c r="DF1" t="s">
        <v>422</v>
      </c>
      <c r="DG1" t="s">
        <v>439</v>
      </c>
      <c r="DH1" t="s">
        <v>440</v>
      </c>
      <c r="DI1" s="21" t="s">
        <v>109</v>
      </c>
      <c r="DJ1" t="s">
        <v>553</v>
      </c>
      <c r="DK1" t="s">
        <v>554</v>
      </c>
      <c r="DL1" t="s">
        <v>463</v>
      </c>
      <c r="DM1" t="s">
        <v>372</v>
      </c>
      <c r="DN1" t="s">
        <v>209</v>
      </c>
      <c r="DO1" t="s">
        <v>184</v>
      </c>
      <c r="DP1" s="21" t="s">
        <v>109</v>
      </c>
      <c r="DQ1" t="s">
        <v>114</v>
      </c>
      <c r="DR1" s="21" t="s">
        <v>109</v>
      </c>
      <c r="DS1" s="21" t="s">
        <v>581</v>
      </c>
      <c r="DT1" s="21"/>
      <c r="DU1" s="21"/>
      <c r="DV1" s="21" t="s">
        <v>109</v>
      </c>
      <c r="DW1" t="s">
        <v>115</v>
      </c>
      <c r="DX1" t="s">
        <v>116</v>
      </c>
      <c r="DY1" t="s">
        <v>244</v>
      </c>
      <c r="DZ1" t="s">
        <v>117</v>
      </c>
      <c r="EA1" t="s">
        <v>121</v>
      </c>
      <c r="EB1" t="s">
        <v>120</v>
      </c>
      <c r="EC1" t="s">
        <v>118</v>
      </c>
      <c r="ED1" s="21" t="s">
        <v>109</v>
      </c>
      <c r="EE1" t="s">
        <v>119</v>
      </c>
      <c r="EF1" t="s">
        <v>116</v>
      </c>
      <c r="EG1" t="s">
        <v>244</v>
      </c>
      <c r="EH1" t="s">
        <v>117</v>
      </c>
      <c r="EI1" t="s">
        <v>122</v>
      </c>
      <c r="EJ1" t="s">
        <v>123</v>
      </c>
      <c r="EK1" t="s">
        <v>124</v>
      </c>
      <c r="EL1" t="s">
        <v>330</v>
      </c>
      <c r="EM1" s="21" t="s">
        <v>109</v>
      </c>
      <c r="EN1" t="s">
        <v>125</v>
      </c>
      <c r="EO1" t="s">
        <v>116</v>
      </c>
      <c r="EP1" t="s">
        <v>244</v>
      </c>
      <c r="EQ1" t="s">
        <v>126</v>
      </c>
      <c r="ER1" t="s">
        <v>127</v>
      </c>
      <c r="ES1" t="s">
        <v>120</v>
      </c>
      <c r="ET1" s="21" t="s">
        <v>109</v>
      </c>
      <c r="EU1" t="s">
        <v>128</v>
      </c>
      <c r="EV1" t="s">
        <v>142</v>
      </c>
      <c r="EW1" t="s">
        <v>244</v>
      </c>
      <c r="EX1" t="s">
        <v>129</v>
      </c>
      <c r="EY1" t="s">
        <v>127</v>
      </c>
      <c r="EZ1" t="s">
        <v>120</v>
      </c>
      <c r="FA1" t="s">
        <v>130</v>
      </c>
      <c r="FB1" t="s">
        <v>131</v>
      </c>
      <c r="FC1" t="s">
        <v>132</v>
      </c>
      <c r="FD1" t="s">
        <v>240</v>
      </c>
      <c r="FE1" t="s">
        <v>242</v>
      </c>
      <c r="FF1" t="s">
        <v>232</v>
      </c>
      <c r="FG1" t="s">
        <v>233</v>
      </c>
      <c r="FH1" t="s">
        <v>133</v>
      </c>
      <c r="FI1" t="s">
        <v>134</v>
      </c>
      <c r="FJ1" s="21" t="s">
        <v>109</v>
      </c>
      <c r="FK1" t="s">
        <v>135</v>
      </c>
      <c r="FL1" s="21" t="s">
        <v>109</v>
      </c>
      <c r="FM1" s="21" t="s">
        <v>457</v>
      </c>
      <c r="FN1" s="21" t="s">
        <v>449</v>
      </c>
      <c r="FO1" s="21" t="s">
        <v>109</v>
      </c>
      <c r="FP1" s="21" t="s">
        <v>109</v>
      </c>
      <c r="FQ1" s="21" t="s">
        <v>109</v>
      </c>
      <c r="FR1" s="21" t="s">
        <v>109</v>
      </c>
      <c r="FS1" s="21" t="s">
        <v>450</v>
      </c>
      <c r="FT1" s="21" t="s">
        <v>451</v>
      </c>
      <c r="FU1" s="21"/>
      <c r="FV1" s="21"/>
      <c r="FW1" s="21"/>
      <c r="GP1" s="3"/>
      <c r="GQ1" s="3"/>
      <c r="GR1" s="3"/>
      <c r="GS1" s="3"/>
      <c r="GT1" s="3"/>
      <c r="HQ1" t="s">
        <v>173</v>
      </c>
      <c r="HR1" t="s">
        <v>148</v>
      </c>
      <c r="HS1" t="s">
        <v>149</v>
      </c>
      <c r="HT1" t="s">
        <v>151</v>
      </c>
      <c r="HU1" t="s">
        <v>150</v>
      </c>
      <c r="HV1" t="s">
        <v>152</v>
      </c>
      <c r="HW1" t="s">
        <v>153</v>
      </c>
      <c r="HX1" t="s">
        <v>154</v>
      </c>
      <c r="HY1" t="s">
        <v>155</v>
      </c>
      <c r="HZ1" t="s">
        <v>44</v>
      </c>
      <c r="IA1" t="s">
        <v>156</v>
      </c>
      <c r="IB1" t="s">
        <v>157</v>
      </c>
      <c r="IC1" t="s">
        <v>158</v>
      </c>
      <c r="ID1" t="s">
        <v>159</v>
      </c>
    </row>
    <row r="2" spans="1:240" s="13" customFormat="1" ht="17.399999999999999" x14ac:dyDescent="0.3">
      <c r="D2" s="2"/>
      <c r="E2" s="2"/>
      <c r="F2" s="5" t="s">
        <v>475</v>
      </c>
      <c r="G2" s="5"/>
      <c r="H2" s="5"/>
      <c r="I2" s="5"/>
      <c r="J2" s="5"/>
      <c r="K2" s="5"/>
      <c r="L2" s="5"/>
      <c r="M2"/>
      <c r="N2" s="5" t="s">
        <v>635</v>
      </c>
      <c r="O2" s="5"/>
      <c r="P2" s="5"/>
      <c r="Q2" s="5" t="s">
        <v>634</v>
      </c>
      <c r="R2" s="5"/>
      <c r="S2" s="5"/>
      <c r="T2" s="5"/>
      <c r="U2" s="2"/>
      <c r="V2" s="19" t="s">
        <v>106</v>
      </c>
      <c r="W2" s="19"/>
      <c r="X2" s="19"/>
      <c r="Y2" s="19"/>
      <c r="Z2" s="19"/>
      <c r="AA2" s="19"/>
      <c r="AB2" s="19"/>
      <c r="AC2" s="19"/>
      <c r="AD2" s="19"/>
      <c r="AE2" s="19"/>
      <c r="AF2" s="19"/>
      <c r="AG2" s="19"/>
      <c r="AI2" s="67" t="s">
        <v>312</v>
      </c>
      <c r="AJ2" s="67"/>
      <c r="AK2" s="67"/>
      <c r="AL2" s="67"/>
      <c r="AM2" s="67"/>
      <c r="AN2" s="67"/>
      <c r="AO2" s="67"/>
      <c r="AP2" s="67"/>
      <c r="AQ2" s="67"/>
      <c r="AR2" s="67"/>
      <c r="AS2" s="67"/>
      <c r="AT2" s="67"/>
      <c r="AV2" s="13" t="s">
        <v>107</v>
      </c>
      <c r="BB2" s="5" t="s">
        <v>4</v>
      </c>
      <c r="BC2" s="5"/>
      <c r="BD2" s="5"/>
      <c r="BE2" s="5"/>
      <c r="BF2" s="5"/>
      <c r="BG2" s="5"/>
      <c r="BH2" s="5"/>
      <c r="BI2" s="5"/>
      <c r="BK2" s="5" t="s">
        <v>197</v>
      </c>
      <c r="BL2" s="5"/>
      <c r="BM2" s="5"/>
      <c r="BN2" s="5"/>
      <c r="BO2" s="5"/>
      <c r="BP2" s="5"/>
      <c r="BQ2"/>
      <c r="BR2" s="5"/>
      <c r="BS2" s="5" t="s">
        <v>93</v>
      </c>
      <c r="BT2" s="5"/>
      <c r="BU2" s="5"/>
      <c r="BV2" s="5"/>
      <c r="BW2" s="5"/>
      <c r="BX2" s="5"/>
      <c r="BY2" s="5"/>
      <c r="BZ2" s="5"/>
      <c r="CA2" s="5"/>
      <c r="CB2" s="5"/>
      <c r="CC2" s="2"/>
      <c r="CD2" s="20" t="s">
        <v>67</v>
      </c>
      <c r="CE2" s="20"/>
      <c r="CF2" s="20"/>
      <c r="CG2" s="20"/>
      <c r="CH2" s="20"/>
      <c r="CI2" s="20"/>
      <c r="CJ2" s="20"/>
      <c r="CK2" s="20"/>
      <c r="CL2" s="20"/>
      <c r="CM2" s="2"/>
      <c r="CN2" s="19" t="s">
        <v>165</v>
      </c>
      <c r="CO2" s="19"/>
      <c r="CP2" s="19"/>
      <c r="CR2" s="6" t="s">
        <v>6</v>
      </c>
      <c r="CS2" s="6"/>
      <c r="CT2" s="6"/>
      <c r="CU2" s="6"/>
      <c r="CV2" s="6"/>
      <c r="CW2" s="6"/>
      <c r="CX2" s="6"/>
      <c r="CY2" s="6"/>
      <c r="CZ2" s="6"/>
      <c r="DA2" s="6"/>
      <c r="DB2" s="6"/>
      <c r="DC2" s="6"/>
      <c r="DD2" s="6"/>
      <c r="DE2" s="6"/>
      <c r="DF2" s="6"/>
      <c r="DG2" s="6"/>
      <c r="DH2" s="6"/>
      <c r="DI2" s="6"/>
      <c r="DJ2" s="6"/>
      <c r="DK2" s="6"/>
      <c r="DL2" s="6"/>
      <c r="DM2" s="6"/>
      <c r="DN2" s="6"/>
      <c r="DO2" s="6"/>
      <c r="DP2" s="6"/>
      <c r="DQ2" s="6"/>
      <c r="DR2" s="2"/>
      <c r="DS2" s="95"/>
      <c r="DT2" s="95"/>
      <c r="DU2" s="96"/>
      <c r="DV2"/>
      <c r="DW2" s="7" t="s">
        <v>8</v>
      </c>
      <c r="DX2" s="7"/>
      <c r="DY2" s="7"/>
      <c r="DZ2" s="7"/>
      <c r="EA2" s="7"/>
      <c r="EB2" s="7"/>
      <c r="EC2" s="7"/>
      <c r="EE2" s="7" t="s">
        <v>34</v>
      </c>
      <c r="EF2" s="7"/>
      <c r="EG2" s="7"/>
      <c r="EH2" s="7"/>
      <c r="EI2" s="7"/>
      <c r="EJ2" s="7"/>
      <c r="EK2" s="7"/>
      <c r="EL2" s="7"/>
      <c r="EN2" s="7" t="s">
        <v>29</v>
      </c>
      <c r="EO2" s="7"/>
      <c r="EP2" s="7"/>
      <c r="EQ2" s="7"/>
      <c r="ER2" s="7"/>
      <c r="ES2" s="7"/>
      <c r="EU2" s="7" t="s">
        <v>39</v>
      </c>
      <c r="EV2" s="7"/>
      <c r="EW2" s="7"/>
      <c r="EX2" s="7"/>
      <c r="EY2" s="7"/>
      <c r="EZ2" s="7"/>
      <c r="FA2" s="7"/>
      <c r="FB2" s="7"/>
      <c r="FC2" s="7"/>
      <c r="FD2" s="7"/>
      <c r="FE2" s="7"/>
      <c r="FF2" s="7"/>
      <c r="FG2" s="7"/>
      <c r="FH2" s="7"/>
      <c r="FI2" s="7"/>
      <c r="FK2" s="7"/>
      <c r="FM2" s="67" t="s">
        <v>310</v>
      </c>
      <c r="FN2" s="67"/>
      <c r="FO2" s="67"/>
      <c r="FP2" s="67"/>
      <c r="FQ2" s="67"/>
      <c r="FR2" s="67"/>
      <c r="FS2" s="67"/>
      <c r="FT2" s="67"/>
      <c r="FV2" s="19"/>
      <c r="FW2" s="19"/>
      <c r="FX2" s="19" t="s">
        <v>70</v>
      </c>
      <c r="FY2" s="19"/>
      <c r="FZ2" s="19"/>
      <c r="GA2" s="19"/>
      <c r="GB2" s="19"/>
      <c r="GC2" s="19"/>
      <c r="GD2" s="19"/>
      <c r="GE2" s="19"/>
      <c r="GF2" s="19"/>
      <c r="GG2" s="19"/>
      <c r="GH2" s="19"/>
      <c r="GI2" s="19"/>
      <c r="GJ2" s="19" t="s">
        <v>71</v>
      </c>
      <c r="GK2" s="19"/>
      <c r="GL2" s="19"/>
      <c r="GM2" s="19"/>
      <c r="GN2" s="19"/>
      <c r="GO2" s="2"/>
      <c r="GP2" s="5" t="s">
        <v>69</v>
      </c>
      <c r="GQ2" s="5"/>
      <c r="GR2" s="5"/>
      <c r="GS2" s="5"/>
      <c r="GT2" s="5"/>
      <c r="GU2" s="5"/>
      <c r="GV2" s="5"/>
      <c r="GW2" s="5"/>
      <c r="GX2" s="5"/>
      <c r="GZ2" s="14" t="s">
        <v>36</v>
      </c>
      <c r="HG2" s="14" t="s">
        <v>38</v>
      </c>
      <c r="HJ2" s="13" t="s">
        <v>474</v>
      </c>
      <c r="HO2" s="13" t="s">
        <v>68</v>
      </c>
    </row>
    <row r="3" spans="1:240" s="2" customFormat="1" x14ac:dyDescent="0.25">
      <c r="E3" s="2">
        <f>MATCH(B13,AW7:AW86,0)</f>
        <v>59</v>
      </c>
      <c r="F3" s="22"/>
      <c r="G3" s="2" t="s">
        <v>222</v>
      </c>
      <c r="K3" s="2" t="s">
        <v>42</v>
      </c>
      <c r="L3" s="2" t="s">
        <v>467</v>
      </c>
      <c r="M3"/>
      <c r="O3" s="2" t="s">
        <v>42</v>
      </c>
      <c r="P3" s="2" t="s">
        <v>467</v>
      </c>
      <c r="Q3" s="2" t="s">
        <v>17</v>
      </c>
      <c r="R3" s="2" t="s">
        <v>17</v>
      </c>
      <c r="S3" s="2" t="s">
        <v>43</v>
      </c>
      <c r="T3" s="2" t="s">
        <v>161</v>
      </c>
      <c r="Y3" s="22"/>
      <c r="AC3" s="22"/>
      <c r="AG3" s="2" t="s">
        <v>92</v>
      </c>
      <c r="AK3" s="2" t="s">
        <v>195</v>
      </c>
      <c r="AQ3" s="2" t="s">
        <v>16</v>
      </c>
      <c r="AR3" s="2" t="s">
        <v>25</v>
      </c>
      <c r="AS3" s="2" t="s">
        <v>25</v>
      </c>
      <c r="AT3" s="2" t="s">
        <v>32</v>
      </c>
      <c r="BB3" s="2" t="s">
        <v>72</v>
      </c>
      <c r="BE3" s="2" t="s">
        <v>33</v>
      </c>
      <c r="BG3" s="2" t="s">
        <v>347</v>
      </c>
      <c r="BH3" s="2" t="s">
        <v>195</v>
      </c>
      <c r="BN3" s="2" t="s">
        <v>608</v>
      </c>
      <c r="BO3" s="2" t="s">
        <v>3</v>
      </c>
      <c r="BP3" s="2" t="s">
        <v>187</v>
      </c>
      <c r="BR3" s="2" t="s">
        <v>565</v>
      </c>
      <c r="BS3" s="2" t="s">
        <v>506</v>
      </c>
      <c r="BU3" s="2" t="s">
        <v>75</v>
      </c>
      <c r="BV3" s="2" t="s">
        <v>31</v>
      </c>
      <c r="CF3" s="2" t="s">
        <v>592</v>
      </c>
      <c r="CG3" s="2" t="s">
        <v>645</v>
      </c>
      <c r="CH3" s="2" t="s">
        <v>43</v>
      </c>
      <c r="CI3" s="2" t="s">
        <v>161</v>
      </c>
      <c r="CK3" s="2" t="s">
        <v>5</v>
      </c>
      <c r="CL3" s="2" t="s">
        <v>607</v>
      </c>
      <c r="CO3" s="2" t="s">
        <v>52</v>
      </c>
      <c r="CP3" s="2" t="s">
        <v>92</v>
      </c>
      <c r="CS3" s="2" t="s">
        <v>8</v>
      </c>
      <c r="CT3" s="2" t="s">
        <v>8</v>
      </c>
      <c r="CV3" s="2" t="s">
        <v>369</v>
      </c>
      <c r="CX3" s="2" t="s">
        <v>28</v>
      </c>
      <c r="CY3" s="2" t="s">
        <v>369</v>
      </c>
      <c r="DA3" s="2" t="s">
        <v>369</v>
      </c>
      <c r="DB3" s="2" t="s">
        <v>8</v>
      </c>
      <c r="DC3" s="2" t="s">
        <v>8</v>
      </c>
      <c r="DF3" s="2" t="s">
        <v>8</v>
      </c>
      <c r="DJ3" s="2" t="s">
        <v>369</v>
      </c>
      <c r="DK3" s="2" t="s">
        <v>29</v>
      </c>
      <c r="DL3" s="2" t="s">
        <v>29</v>
      </c>
      <c r="DS3" s="2" t="s">
        <v>566</v>
      </c>
      <c r="DT3" s="2" t="s">
        <v>565</v>
      </c>
      <c r="FC3" s="2" t="s">
        <v>239</v>
      </c>
      <c r="FE3" s="2" t="s">
        <v>241</v>
      </c>
      <c r="FF3" s="2" t="s">
        <v>43</v>
      </c>
      <c r="FG3" s="2" t="s">
        <v>161</v>
      </c>
      <c r="FH3" s="2" t="s">
        <v>100</v>
      </c>
      <c r="FS3" s="2" t="s">
        <v>25</v>
      </c>
      <c r="FT3" s="2" t="s">
        <v>8</v>
      </c>
      <c r="FV3" s="2" t="s">
        <v>316</v>
      </c>
      <c r="FW3" s="2" t="s">
        <v>316</v>
      </c>
      <c r="HB3" s="10">
        <f ca="1">IF(B50=1,3,HV22)</f>
        <v>1</v>
      </c>
      <c r="HC3" s="2" t="s">
        <v>652</v>
      </c>
      <c r="HO3" s="2">
        <f>HP26</f>
        <v>2017</v>
      </c>
      <c r="HP3" s="2">
        <f>$B$7</f>
        <v>2017</v>
      </c>
    </row>
    <row r="4" spans="1:240" s="2" customFormat="1" x14ac:dyDescent="0.25">
      <c r="F4" s="2" t="s">
        <v>99</v>
      </c>
      <c r="G4" s="2" t="s">
        <v>628</v>
      </c>
      <c r="H4" s="2" t="s">
        <v>199</v>
      </c>
      <c r="I4" s="2" t="s">
        <v>196</v>
      </c>
      <c r="J4" s="2" t="s">
        <v>139</v>
      </c>
      <c r="K4" s="2" t="s">
        <v>466</v>
      </c>
      <c r="L4" s="2" t="s">
        <v>466</v>
      </c>
      <c r="M4"/>
      <c r="N4" s="2" t="s">
        <v>468</v>
      </c>
      <c r="O4" s="2" t="s">
        <v>466</v>
      </c>
      <c r="P4" s="2" t="s">
        <v>466</v>
      </c>
      <c r="Q4" s="2" t="s">
        <v>629</v>
      </c>
      <c r="R4" s="2" t="s">
        <v>629</v>
      </c>
      <c r="S4" s="2" t="s">
        <v>0</v>
      </c>
      <c r="T4" s="2" t="s">
        <v>0</v>
      </c>
      <c r="V4" s="2" t="s">
        <v>5</v>
      </c>
      <c r="W4" s="2" t="s">
        <v>234</v>
      </c>
      <c r="X4" s="2" t="s">
        <v>4</v>
      </c>
      <c r="Y4" s="22" t="s">
        <v>235</v>
      </c>
      <c r="AC4" s="22" t="s">
        <v>238</v>
      </c>
      <c r="AG4" s="2" t="s">
        <v>3</v>
      </c>
      <c r="AI4" s="2" t="s">
        <v>347</v>
      </c>
      <c r="AJ4" s="2" t="s">
        <v>347</v>
      </c>
      <c r="AK4" s="2" t="s">
        <v>40</v>
      </c>
      <c r="AP4" s="2" t="s">
        <v>100</v>
      </c>
      <c r="AQ4" s="2" t="s">
        <v>322</v>
      </c>
      <c r="AR4" s="2" t="s">
        <v>350</v>
      </c>
      <c r="AS4" s="2" t="s">
        <v>348</v>
      </c>
      <c r="AT4" s="2" t="s">
        <v>348</v>
      </c>
      <c r="BB4" s="2" t="s">
        <v>73</v>
      </c>
      <c r="BC4" s="2" t="s">
        <v>99</v>
      </c>
      <c r="BD4" s="2" t="s">
        <v>32</v>
      </c>
      <c r="BE4" s="2" t="s">
        <v>97</v>
      </c>
      <c r="BF4" s="2" t="s">
        <v>25</v>
      </c>
      <c r="BG4" s="2" t="s">
        <v>25</v>
      </c>
      <c r="BH4" s="2" t="s">
        <v>40</v>
      </c>
      <c r="BI4" s="2" t="s">
        <v>3</v>
      </c>
      <c r="BK4" s="2" t="s">
        <v>197</v>
      </c>
      <c r="BL4" s="2" t="s">
        <v>196</v>
      </c>
      <c r="BM4" s="2" t="s">
        <v>197</v>
      </c>
      <c r="BN4" s="2" t="s">
        <v>4</v>
      </c>
      <c r="BO4" s="2" t="s">
        <v>16</v>
      </c>
      <c r="BP4" s="2" t="s">
        <v>186</v>
      </c>
      <c r="BR4" s="2" t="s">
        <v>8</v>
      </c>
      <c r="BS4" s="2" t="s">
        <v>8</v>
      </c>
      <c r="BT4" s="2" t="s">
        <v>29</v>
      </c>
      <c r="BU4" s="2" t="s">
        <v>74</v>
      </c>
      <c r="BV4" s="2" t="s">
        <v>76</v>
      </c>
      <c r="BY4"/>
      <c r="CA4" s="2" t="s">
        <v>45</v>
      </c>
      <c r="CB4" s="2" t="s">
        <v>192</v>
      </c>
      <c r="CD4" s="2" t="s">
        <v>17</v>
      </c>
      <c r="CE4" s="2" t="s">
        <v>13</v>
      </c>
      <c r="CF4" s="2" t="s">
        <v>593</v>
      </c>
      <c r="CG4" s="2" t="s">
        <v>646</v>
      </c>
      <c r="CH4" s="2" t="s">
        <v>4</v>
      </c>
      <c r="CI4" s="2" t="s">
        <v>4</v>
      </c>
      <c r="CJ4" s="2" t="s">
        <v>5</v>
      </c>
      <c r="CK4" s="2" t="s">
        <v>4</v>
      </c>
      <c r="CL4" s="2" t="s">
        <v>4</v>
      </c>
      <c r="CN4" s="2" t="s">
        <v>4</v>
      </c>
      <c r="CO4" s="2" t="s">
        <v>423</v>
      </c>
      <c r="CP4" s="2" t="s">
        <v>3</v>
      </c>
      <c r="CR4" s="2" t="s">
        <v>20</v>
      </c>
      <c r="CS4" s="2" t="s">
        <v>460</v>
      </c>
      <c r="CT4" s="2" t="s">
        <v>4</v>
      </c>
      <c r="CV4" s="2" t="s">
        <v>317</v>
      </c>
      <c r="CW4" s="2" t="s">
        <v>28</v>
      </c>
      <c r="CX4" s="2" t="s">
        <v>462</v>
      </c>
      <c r="CY4" s="2" t="s">
        <v>6</v>
      </c>
      <c r="DA4" s="2" t="s">
        <v>317</v>
      </c>
      <c r="DB4" s="2" t="s">
        <v>366</v>
      </c>
      <c r="DC4" s="2" t="s">
        <v>366</v>
      </c>
      <c r="DD4" s="2" t="s">
        <v>8</v>
      </c>
      <c r="DE4" s="2" t="s">
        <v>8</v>
      </c>
      <c r="DF4" s="2" t="s">
        <v>366</v>
      </c>
      <c r="DG4" s="2" t="s">
        <v>8</v>
      </c>
      <c r="DH4" s="2" t="s">
        <v>441</v>
      </c>
      <c r="DJ4" s="2" t="s">
        <v>317</v>
      </c>
      <c r="DK4" s="2" t="s">
        <v>460</v>
      </c>
      <c r="DL4" s="2" t="s">
        <v>4</v>
      </c>
      <c r="DM4" s="2" t="s">
        <v>29</v>
      </c>
      <c r="DN4" s="2" t="s">
        <v>29</v>
      </c>
      <c r="DO4" s="2" t="s">
        <v>29</v>
      </c>
      <c r="DQ4" s="2" t="s">
        <v>11</v>
      </c>
      <c r="DS4" s="2" t="s">
        <v>0</v>
      </c>
      <c r="DT4" s="2" t="s">
        <v>8</v>
      </c>
      <c r="DU4" s="2" t="s">
        <v>574</v>
      </c>
      <c r="DW4" s="2" t="s">
        <v>26</v>
      </c>
      <c r="EA4" s="2" t="s">
        <v>37</v>
      </c>
      <c r="EB4" s="2" t="s">
        <v>21</v>
      </c>
      <c r="EE4" s="2" t="s">
        <v>26</v>
      </c>
      <c r="EI4" s="2" t="s">
        <v>37</v>
      </c>
      <c r="EJ4" s="2" t="s">
        <v>21</v>
      </c>
      <c r="EL4" s="2" t="s">
        <v>329</v>
      </c>
      <c r="EN4" s="2" t="s">
        <v>26</v>
      </c>
      <c r="ER4" s="2" t="s">
        <v>37</v>
      </c>
      <c r="ES4" s="2" t="s">
        <v>21</v>
      </c>
      <c r="EU4" s="2" t="s">
        <v>26</v>
      </c>
      <c r="EY4" s="2" t="s">
        <v>37</v>
      </c>
      <c r="EZ4" s="2" t="s">
        <v>21</v>
      </c>
      <c r="FA4" s="2" t="s">
        <v>41</v>
      </c>
      <c r="FB4" s="2" t="s">
        <v>42</v>
      </c>
      <c r="FC4" s="2" t="s">
        <v>41</v>
      </c>
      <c r="FD4" s="2" t="s">
        <v>30</v>
      </c>
      <c r="FE4" s="2" t="s">
        <v>230</v>
      </c>
      <c r="FF4" s="2" t="s">
        <v>230</v>
      </c>
      <c r="FG4" s="2" t="s">
        <v>230</v>
      </c>
      <c r="FH4" s="2" t="s">
        <v>101</v>
      </c>
      <c r="FI4" s="2" t="s">
        <v>40</v>
      </c>
      <c r="FK4" s="2" t="s">
        <v>49</v>
      </c>
      <c r="FR4" s="2" t="s">
        <v>11</v>
      </c>
      <c r="FS4" s="2" t="s">
        <v>349</v>
      </c>
      <c r="FT4" s="2" t="s">
        <v>442</v>
      </c>
      <c r="FV4" s="2" t="s">
        <v>317</v>
      </c>
      <c r="FW4" s="2" t="s">
        <v>317</v>
      </c>
      <c r="GP4" s="22" t="s">
        <v>48</v>
      </c>
      <c r="GT4" s="2" t="s">
        <v>140</v>
      </c>
      <c r="GU4" s="22" t="s">
        <v>47</v>
      </c>
      <c r="HC4" s="2" t="s">
        <v>655</v>
      </c>
      <c r="HD4" s="2" t="s">
        <v>656</v>
      </c>
      <c r="HM4" s="2" t="s">
        <v>596</v>
      </c>
      <c r="HO4" s="2" t="s">
        <v>40</v>
      </c>
      <c r="HP4" s="2" t="s">
        <v>40</v>
      </c>
      <c r="HQ4" s="2" t="s">
        <v>0</v>
      </c>
      <c r="HR4" s="2" t="s">
        <v>43</v>
      </c>
      <c r="HV4" s="2">
        <f>HP26</f>
        <v>2017</v>
      </c>
      <c r="HW4" s="2">
        <f>$B$7</f>
        <v>2017</v>
      </c>
    </row>
    <row r="5" spans="1:240" s="2" customFormat="1" x14ac:dyDescent="0.25">
      <c r="D5" s="2" t="s">
        <v>1</v>
      </c>
      <c r="E5" s="2" t="s">
        <v>9</v>
      </c>
      <c r="F5" s="2" t="s">
        <v>4</v>
      </c>
      <c r="G5" s="2" t="s">
        <v>230</v>
      </c>
      <c r="H5" s="2" t="s">
        <v>194</v>
      </c>
      <c r="I5" s="2" t="s">
        <v>197</v>
      </c>
      <c r="J5" s="2" t="s">
        <v>465</v>
      </c>
      <c r="K5" s="2" t="s">
        <v>465</v>
      </c>
      <c r="L5" s="2" t="s">
        <v>465</v>
      </c>
      <c r="M5"/>
      <c r="N5" s="2" t="s">
        <v>465</v>
      </c>
      <c r="O5" s="2" t="s">
        <v>465</v>
      </c>
      <c r="P5" s="2" t="s">
        <v>465</v>
      </c>
      <c r="Q5" s="2" t="s">
        <v>633</v>
      </c>
      <c r="R5" s="2" t="s">
        <v>4</v>
      </c>
      <c r="S5" s="2" t="s">
        <v>630</v>
      </c>
      <c r="T5" s="2" t="s">
        <v>630</v>
      </c>
      <c r="V5" s="2" t="s">
        <v>4</v>
      </c>
      <c r="W5" s="2" t="s">
        <v>0</v>
      </c>
      <c r="X5" s="2" t="s">
        <v>52</v>
      </c>
      <c r="Y5" s="2" t="s">
        <v>8</v>
      </c>
      <c r="Z5" s="2" t="s">
        <v>22</v>
      </c>
      <c r="AA5" s="2" t="s">
        <v>29</v>
      </c>
      <c r="AB5" s="2" t="s">
        <v>139</v>
      </c>
      <c r="AC5" s="2" t="s">
        <v>8</v>
      </c>
      <c r="AD5" s="2" t="s">
        <v>22</v>
      </c>
      <c r="AE5" s="2" t="s">
        <v>29</v>
      </c>
      <c r="AF5" s="2" t="s">
        <v>139</v>
      </c>
      <c r="AG5" s="2" t="s">
        <v>26</v>
      </c>
      <c r="AI5" s="2" t="s">
        <v>9</v>
      </c>
      <c r="AJ5" s="2" t="s">
        <v>19</v>
      </c>
      <c r="AK5" s="2" t="s">
        <v>194</v>
      </c>
      <c r="AL5" s="2" t="s">
        <v>8</v>
      </c>
      <c r="AM5" s="2" t="s">
        <v>22</v>
      </c>
      <c r="AN5" s="2" t="s">
        <v>29</v>
      </c>
      <c r="AO5" s="2" t="s">
        <v>11</v>
      </c>
      <c r="AP5" s="2" t="s">
        <v>101</v>
      </c>
      <c r="AQ5" s="2" t="s">
        <v>4</v>
      </c>
      <c r="AR5" s="2" t="s">
        <v>347</v>
      </c>
      <c r="AS5" s="2" t="s">
        <v>347</v>
      </c>
      <c r="AT5" s="2" t="s">
        <v>353</v>
      </c>
      <c r="AV5" s="2" t="s">
        <v>1</v>
      </c>
      <c r="AW5" s="2" t="s">
        <v>9</v>
      </c>
      <c r="AX5" s="2" t="s">
        <v>18</v>
      </c>
      <c r="AY5" s="2" t="s">
        <v>612</v>
      </c>
      <c r="AZ5" s="2" t="s">
        <v>19</v>
      </c>
      <c r="BB5" s="2" t="s">
        <v>4</v>
      </c>
      <c r="BC5" s="2" t="s">
        <v>4</v>
      </c>
      <c r="BD5" s="2" t="s">
        <v>24</v>
      </c>
      <c r="BE5" s="2" t="s">
        <v>96</v>
      </c>
      <c r="BF5" s="2" t="s">
        <v>24</v>
      </c>
      <c r="BG5" s="2" t="s">
        <v>24</v>
      </c>
      <c r="BH5" s="2" t="s">
        <v>194</v>
      </c>
      <c r="BI5" s="2" t="s">
        <v>4</v>
      </c>
      <c r="BK5" s="2" t="s">
        <v>95</v>
      </c>
      <c r="BL5" s="2" t="s">
        <v>197</v>
      </c>
      <c r="BM5" s="2" t="s">
        <v>95</v>
      </c>
      <c r="BN5" s="2" t="s">
        <v>0</v>
      </c>
      <c r="BO5" s="2" t="s">
        <v>98</v>
      </c>
      <c r="BP5" s="2" t="s">
        <v>188</v>
      </c>
      <c r="BR5" s="2" t="s">
        <v>31</v>
      </c>
      <c r="BS5" s="2" t="s">
        <v>499</v>
      </c>
      <c r="BT5" s="2" t="s">
        <v>499</v>
      </c>
      <c r="BU5" s="2" t="s">
        <v>0</v>
      </c>
      <c r="BV5" s="2" t="s">
        <v>51</v>
      </c>
      <c r="BW5" s="2" t="s">
        <v>8</v>
      </c>
      <c r="BX5" s="2" t="s">
        <v>22</v>
      </c>
      <c r="BY5" s="2" t="s">
        <v>11</v>
      </c>
      <c r="BZ5" s="2" t="s">
        <v>29</v>
      </c>
      <c r="CA5" s="2" t="s">
        <v>3</v>
      </c>
      <c r="CB5" s="2" t="s">
        <v>193</v>
      </c>
      <c r="CD5" s="2" t="s">
        <v>4</v>
      </c>
      <c r="CE5" s="2" t="s">
        <v>4</v>
      </c>
      <c r="CF5" s="2" t="s">
        <v>594</v>
      </c>
      <c r="CG5" s="2" t="s">
        <v>644</v>
      </c>
      <c r="CH5" s="2" t="s">
        <v>0</v>
      </c>
      <c r="CI5" s="2" t="s">
        <v>0</v>
      </c>
      <c r="CJ5" s="2" t="s">
        <v>4</v>
      </c>
      <c r="CK5" s="87" t="s">
        <v>430</v>
      </c>
      <c r="CL5" s="2" t="s">
        <v>0</v>
      </c>
      <c r="CN5" s="2" t="s">
        <v>52</v>
      </c>
      <c r="CO5" s="2" t="s">
        <v>1</v>
      </c>
      <c r="CP5" s="2" t="s">
        <v>26</v>
      </c>
      <c r="CR5" s="2" t="s">
        <v>6</v>
      </c>
      <c r="CS5" s="2" t="s">
        <v>7</v>
      </c>
      <c r="CT5" s="2" t="s">
        <v>7</v>
      </c>
      <c r="CV5" s="2" t="s">
        <v>28</v>
      </c>
      <c r="CW5" s="2" t="s">
        <v>366</v>
      </c>
      <c r="CX5" s="2" t="s">
        <v>12</v>
      </c>
      <c r="CY5" s="2" t="s">
        <v>480</v>
      </c>
      <c r="DA5" s="2" t="s">
        <v>8</v>
      </c>
      <c r="DB5" s="2" t="s">
        <v>461</v>
      </c>
      <c r="DC5" s="2" t="s">
        <v>461</v>
      </c>
      <c r="DD5" s="2" t="s">
        <v>366</v>
      </c>
      <c r="DE5" s="2" t="s">
        <v>12</v>
      </c>
      <c r="DF5" s="2" t="s">
        <v>185</v>
      </c>
      <c r="DG5" s="2" t="s">
        <v>12</v>
      </c>
      <c r="DH5" s="2" t="s">
        <v>347</v>
      </c>
      <c r="DJ5" s="2" t="s">
        <v>29</v>
      </c>
      <c r="DK5" s="2" t="s">
        <v>7</v>
      </c>
      <c r="DL5" s="2" t="s">
        <v>7</v>
      </c>
      <c r="DM5" s="2" t="s">
        <v>366</v>
      </c>
      <c r="DN5" s="2" t="s">
        <v>12</v>
      </c>
      <c r="DO5" s="2" t="s">
        <v>185</v>
      </c>
      <c r="DQ5" s="2" t="s">
        <v>12</v>
      </c>
      <c r="DS5" s="2" t="s">
        <v>567</v>
      </c>
      <c r="DT5" s="2" t="s">
        <v>31</v>
      </c>
      <c r="DU5" s="2" t="s">
        <v>382</v>
      </c>
      <c r="DW5" s="2" t="s">
        <v>27</v>
      </c>
      <c r="DX5" s="2" t="s">
        <v>12</v>
      </c>
      <c r="DY5" s="2" t="s">
        <v>243</v>
      </c>
      <c r="DZ5" s="2" t="s">
        <v>31</v>
      </c>
      <c r="EA5" s="2" t="s">
        <v>31</v>
      </c>
      <c r="EB5" s="2" t="s">
        <v>31</v>
      </c>
      <c r="EC5" s="2" t="s">
        <v>46</v>
      </c>
      <c r="EE5" s="2" t="s">
        <v>27</v>
      </c>
      <c r="EF5" s="2" t="s">
        <v>12</v>
      </c>
      <c r="EG5" s="2" t="s">
        <v>243</v>
      </c>
      <c r="EH5" s="2" t="s">
        <v>31</v>
      </c>
      <c r="EI5" s="2" t="s">
        <v>31</v>
      </c>
      <c r="EJ5" s="2" t="s">
        <v>31</v>
      </c>
      <c r="EK5" s="2" t="s">
        <v>46</v>
      </c>
      <c r="EL5" s="2" t="s">
        <v>2</v>
      </c>
      <c r="EN5" s="2" t="s">
        <v>27</v>
      </c>
      <c r="EO5" s="2" t="s">
        <v>12</v>
      </c>
      <c r="EP5" s="2" t="s">
        <v>243</v>
      </c>
      <c r="EQ5" s="2" t="s">
        <v>31</v>
      </c>
      <c r="ER5" s="2" t="s">
        <v>31</v>
      </c>
      <c r="ES5" s="2" t="s">
        <v>31</v>
      </c>
      <c r="EU5" s="2" t="s">
        <v>27</v>
      </c>
      <c r="EV5" s="2" t="s">
        <v>104</v>
      </c>
      <c r="EW5" s="2" t="s">
        <v>243</v>
      </c>
      <c r="EX5" s="2" t="s">
        <v>31</v>
      </c>
      <c r="EY5" s="2" t="s">
        <v>31</v>
      </c>
      <c r="EZ5" s="2" t="s">
        <v>31</v>
      </c>
      <c r="FA5" s="2" t="s">
        <v>26</v>
      </c>
      <c r="FB5" s="2" t="s">
        <v>105</v>
      </c>
      <c r="FC5" s="2" t="s">
        <v>103</v>
      </c>
      <c r="FD5" s="2" t="s">
        <v>4</v>
      </c>
      <c r="FE5" s="2" t="s">
        <v>4</v>
      </c>
      <c r="FF5" s="2" t="s">
        <v>231</v>
      </c>
      <c r="FG5" s="2" t="s">
        <v>231</v>
      </c>
      <c r="FH5" s="2" t="s">
        <v>102</v>
      </c>
      <c r="FI5" s="2" t="s">
        <v>31</v>
      </c>
      <c r="FK5" s="2" t="s">
        <v>31</v>
      </c>
      <c r="FM5" s="2" t="s">
        <v>311</v>
      </c>
      <c r="FN5" s="2" t="s">
        <v>8</v>
      </c>
      <c r="FO5" s="2" t="s">
        <v>22</v>
      </c>
      <c r="FP5" s="2" t="s">
        <v>29</v>
      </c>
      <c r="FQ5" s="2" t="s">
        <v>11</v>
      </c>
      <c r="FR5" s="2" t="s">
        <v>41</v>
      </c>
      <c r="FS5" s="2" t="s">
        <v>347</v>
      </c>
      <c r="FT5" s="2" t="s">
        <v>347</v>
      </c>
      <c r="FV5" s="2" t="s">
        <v>4</v>
      </c>
      <c r="FW5" s="2" t="s">
        <v>318</v>
      </c>
      <c r="FX5" s="2" t="s">
        <v>1</v>
      </c>
      <c r="FY5" s="2" t="s">
        <v>4</v>
      </c>
      <c r="FZ5" s="2" t="s">
        <v>32</v>
      </c>
      <c r="GA5" s="2" t="s">
        <v>33</v>
      </c>
      <c r="GB5" s="2" t="s">
        <v>25</v>
      </c>
      <c r="GC5" s="2" t="s">
        <v>8</v>
      </c>
      <c r="GD5" s="2" t="s">
        <v>22</v>
      </c>
      <c r="GE5" s="2" t="s">
        <v>11</v>
      </c>
      <c r="GF5" s="2" t="s">
        <v>29</v>
      </c>
      <c r="GG5" s="2" t="s">
        <v>459</v>
      </c>
      <c r="GH5" s="2" t="s">
        <v>379</v>
      </c>
      <c r="GJ5" s="2" t="s">
        <v>1</v>
      </c>
      <c r="GK5" s="2" t="s">
        <v>8</v>
      </c>
      <c r="GL5" s="2" t="s">
        <v>22</v>
      </c>
      <c r="GM5" s="2" t="s">
        <v>29</v>
      </c>
      <c r="GN5" s="2" t="s">
        <v>11</v>
      </c>
      <c r="GP5" s="2" t="s">
        <v>8</v>
      </c>
      <c r="GQ5" s="2" t="s">
        <v>22</v>
      </c>
      <c r="GR5" s="2" t="s">
        <v>11</v>
      </c>
      <c r="GS5" s="2" t="s">
        <v>29</v>
      </c>
      <c r="GT5" s="2" t="s">
        <v>141</v>
      </c>
      <c r="GU5" s="2" t="s">
        <v>8</v>
      </c>
      <c r="GV5" s="2" t="s">
        <v>22</v>
      </c>
      <c r="GW5" s="2" t="s">
        <v>11</v>
      </c>
      <c r="GX5" s="2" t="s">
        <v>29</v>
      </c>
      <c r="GZ5" s="2" t="s">
        <v>35</v>
      </c>
      <c r="HA5" s="2" t="s">
        <v>37</v>
      </c>
      <c r="HB5" s="2" t="s">
        <v>21</v>
      </c>
      <c r="HC5" s="2" t="s">
        <v>653</v>
      </c>
      <c r="HD5" s="2" t="s">
        <v>654</v>
      </c>
      <c r="HE5" s="2" t="s">
        <v>43</v>
      </c>
      <c r="HG5" s="2" t="s">
        <v>9</v>
      </c>
      <c r="HH5" s="2" t="s">
        <v>37</v>
      </c>
      <c r="HJ5" s="2" t="s">
        <v>1</v>
      </c>
      <c r="HK5" s="2" t="s">
        <v>8</v>
      </c>
      <c r="HL5" s="2" t="s">
        <v>29</v>
      </c>
      <c r="HM5" s="2" t="s">
        <v>29</v>
      </c>
      <c r="HO5" s="2" t="s">
        <v>4</v>
      </c>
      <c r="HP5" s="2" t="s">
        <v>4</v>
      </c>
      <c r="HQ5" s="2" t="s">
        <v>94</v>
      </c>
      <c r="HR5" s="2" t="s">
        <v>0</v>
      </c>
      <c r="HV5" s="2" t="s">
        <v>179</v>
      </c>
      <c r="HW5" s="2" t="s">
        <v>179</v>
      </c>
      <c r="IC5" s="83" t="s">
        <v>393</v>
      </c>
    </row>
    <row r="6" spans="1:240" x14ac:dyDescent="0.25">
      <c r="A6" s="15" t="s">
        <v>88</v>
      </c>
      <c r="G6" s="2"/>
      <c r="BN6" s="4">
        <f>SUM(BN7:BN86)</f>
        <v>1767039.8101506073</v>
      </c>
      <c r="CL6" s="4" t="e">
        <f ca="1">SUM(CL7:CL86)</f>
        <v>#NAME?</v>
      </c>
      <c r="DF6" s="10">
        <f>B53</f>
        <v>10000</v>
      </c>
      <c r="DO6" s="10">
        <f>B54</f>
        <v>0</v>
      </c>
      <c r="GP6" s="3"/>
      <c r="GQ6" s="3"/>
      <c r="GR6" s="3"/>
      <c r="GS6" s="3"/>
      <c r="GT6" s="3"/>
      <c r="GU6">
        <f>B65</f>
        <v>1</v>
      </c>
      <c r="GV6">
        <f>B66</f>
        <v>1</v>
      </c>
      <c r="GW6">
        <f>B68</f>
        <v>1</v>
      </c>
      <c r="GX6">
        <f>B67</f>
        <v>1</v>
      </c>
    </row>
    <row r="7" spans="1:240" x14ac:dyDescent="0.25">
      <c r="A7" t="s">
        <v>56</v>
      </c>
      <c r="B7" s="62">
        <f>Inputs_Summary!AJ4</f>
        <v>2017</v>
      </c>
      <c r="D7">
        <f>AV7</f>
        <v>2017</v>
      </c>
      <c r="E7">
        <f>AW7</f>
        <v>22</v>
      </c>
      <c r="F7" s="8"/>
      <c r="G7" s="8"/>
      <c r="H7" s="8"/>
      <c r="I7" s="9"/>
      <c r="J7" s="92"/>
      <c r="K7" s="91"/>
      <c r="L7" s="91"/>
      <c r="N7" s="93">
        <f>IF(AND(J7&lt;&gt;"",J7&lt;&gt;" "),J7,$B$17)</f>
        <v>0.05</v>
      </c>
      <c r="O7" s="23">
        <f>IF(AND(K7&lt;&gt;"",K7&lt;&gt;" "),K7,$B$18)</f>
        <v>0.4</v>
      </c>
      <c r="P7" s="23">
        <f>IF(AND(L7&lt;&gt;"",L7&lt;&gt;" "),L7,$B$19)</f>
        <v>0.1</v>
      </c>
      <c r="Q7" s="4">
        <f t="shared" ref="Q7:Q38" si="0">G7*$AX7*$HW$12</f>
        <v>0</v>
      </c>
      <c r="R7" s="4">
        <f>G7*$AX7*(1+$HW$12)</f>
        <v>0</v>
      </c>
      <c r="S7" s="4">
        <f>R7*$HW$13</f>
        <v>0</v>
      </c>
      <c r="T7" s="4">
        <f ca="1">R7*$HW$24</f>
        <v>0</v>
      </c>
      <c r="V7" s="18" t="e">
        <f t="shared" ref="V7:V38" ca="1" si="1">CJ7*$FV7/1000</f>
        <v>#NAME?</v>
      </c>
      <c r="W7" s="18" t="e">
        <f t="shared" ref="W7:W38" ca="1" si="2">(CH7+CI7)*$FV7/1000</f>
        <v>#NAME?</v>
      </c>
      <c r="X7" s="18">
        <f t="shared" ref="X7:X38" si="3">CN7*$FV7/1000</f>
        <v>0</v>
      </c>
      <c r="Y7" s="18">
        <f t="shared" ref="Y7:Y38" ca="1" si="4">(DE7-BW7)*$FV7/1000</f>
        <v>13.491363953363921</v>
      </c>
      <c r="Z7" s="18">
        <f t="shared" ref="Z7:Z38" ca="1" si="5">(CX7-BX7)*$FV7/1000</f>
        <v>0</v>
      </c>
      <c r="AA7" s="18">
        <f t="shared" ref="AA7:AA38" ca="1" si="6">(DN7-BZ7)*$FV7/1000</f>
        <v>0</v>
      </c>
      <c r="AB7" s="18">
        <f t="shared" ref="AB7:AB38" ca="1" si="7">(DQ7-BY7)*$FV7/1000</f>
        <v>0</v>
      </c>
      <c r="AC7" s="18">
        <f t="shared" ref="AC7:AC38" si="8">DW7*$FW7/1000</f>
        <v>0</v>
      </c>
      <c r="AD7" s="18">
        <f t="shared" ref="AD7:AD38" si="9">EE7*$FW7/1000</f>
        <v>0</v>
      </c>
      <c r="AE7" s="18">
        <f t="shared" ref="AE7:AE38" si="10">EN7*$FW7/1000</f>
        <v>0</v>
      </c>
      <c r="AF7" s="18">
        <f t="shared" ref="AF7:AF38" si="11">EU7*$FW7/1000</f>
        <v>0</v>
      </c>
      <c r="AG7" s="18">
        <f t="shared" ref="AG7:AG38" si="12">CP7*$FW7/1000</f>
        <v>0</v>
      </c>
      <c r="AI7">
        <f>Person2!E7</f>
        <v>22</v>
      </c>
      <c r="AJ7">
        <f>Person2!AZ7</f>
        <v>1</v>
      </c>
      <c r="AK7">
        <f>IF($AZ7&lt;&gt;3,Person2!FM7,0)</f>
        <v>0</v>
      </c>
      <c r="AL7" s="4">
        <f ca="1">IF($AZ7&lt;&gt;3,Person2!FN7+Person2!FT7,0)</f>
        <v>0</v>
      </c>
      <c r="AM7">
        <f>IF($AZ7&lt;&gt;3,Person2!FO7,0)</f>
        <v>0</v>
      </c>
      <c r="AN7">
        <f>IF($AZ7&lt;&gt;3,Person2!FP7,0)</f>
        <v>0</v>
      </c>
      <c r="AO7">
        <f>IF($AZ7&lt;&gt;3,Person2!FQ7,0)</f>
        <v>0</v>
      </c>
      <c r="AP7">
        <f>IF($AZ7&lt;&gt;3,Person2!FR7,0)</f>
        <v>0</v>
      </c>
      <c r="AQ7">
        <v>0</v>
      </c>
      <c r="AR7" s="4">
        <f>Person2!FS7</f>
        <v>0</v>
      </c>
      <c r="AS7" s="4">
        <v>0</v>
      </c>
      <c r="AT7" s="4">
        <v>0</v>
      </c>
      <c r="AV7" s="10">
        <f>B7</f>
        <v>2017</v>
      </c>
      <c r="AW7" s="10">
        <f>B11</f>
        <v>22</v>
      </c>
      <c r="AX7">
        <v>1</v>
      </c>
      <c r="AY7">
        <f>1/AX7</f>
        <v>1</v>
      </c>
      <c r="AZ7">
        <f>IF(AW7=$B$13,4,IF(AW7&gt;$B$13,3,IF(AW7&lt;$B$12,1,2)))</f>
        <v>1</v>
      </c>
      <c r="BB7" s="4">
        <f t="shared" ref="BB7:BB38" si="13">CHOOSE($AZ7,$B$21*(1+$B$16)^(D7-$B$7),0,0,0)</f>
        <v>80000</v>
      </c>
      <c r="BC7">
        <f t="shared" ref="BC7:BC38" si="14">(F7+G7)*AX7</f>
        <v>0</v>
      </c>
      <c r="BD7" s="4">
        <f t="shared" ref="BD7:BD38" si="15">CHOOSE($AZ7,0,IF(AW7&gt;=$B$42,$B$80*AX7,0),0,0)+AT7</f>
        <v>0</v>
      </c>
      <c r="BE7" s="4">
        <f>CHOOSE($AZ7,0,MAX(0,IF(AW7&gt;=$B$45,$B$81*AX7-$HQ$64*MAX(0,(CE6-$HR$63*AX7))),0),0,0)</f>
        <v>0</v>
      </c>
      <c r="BF7" s="4">
        <f>(1-$B$40)*MAX(0,CHOOSE($AZ7,0,IF(AW7&gt;=$B$36,$B$35*(1+$B$37)^($B$36-$B$11)*(1+$B$38)^(AW7-$B$36)-$B$39*BD7,0),0,0))</f>
        <v>0</v>
      </c>
      <c r="BG7" s="4">
        <f>AR7+AS7</f>
        <v>0</v>
      </c>
      <c r="BH7" s="4">
        <f t="shared" ref="BH7:BH38" si="16">H7*AX7+AK7</f>
        <v>0</v>
      </c>
      <c r="BI7" s="4">
        <f>SUM(BB7:BH7)</f>
        <v>80000</v>
      </c>
      <c r="BJ7" s="4"/>
      <c r="BK7" s="4">
        <f t="shared" ref="BK7:BK38" si="17">CHOOSE(AZ7,$B$28*$AX7*(1+$B$29)^(AW7-$B$11),$B$30*$AX7*(1+$B$31)^(AW7-$B$12),0,0)</f>
        <v>50000</v>
      </c>
      <c r="BL7" s="4">
        <f>CHOOSE(AZ7,I7*AX7,I7*AX7,0,0)</f>
        <v>0</v>
      </c>
      <c r="BM7" s="4">
        <f>BK7+BL7+AQ7</f>
        <v>50000</v>
      </c>
      <c r="BN7" s="4">
        <v>16508.636046636078</v>
      </c>
      <c r="BO7" s="4">
        <f>IF(ISERROR(BN7),BM7,BM7+BN7)</f>
        <v>66508.636046636078</v>
      </c>
      <c r="BP7" s="4">
        <f>CHOOSE(AZ7,BI7-BO7,BI7-BO7,0,0)</f>
        <v>13491.363953363922</v>
      </c>
      <c r="BQ7" s="4"/>
      <c r="BR7" s="4">
        <v>0</v>
      </c>
      <c r="BS7" s="4">
        <f t="shared" ref="BS7:BS38" ca="1" si="18">IF(AND($B$56=1,$B$62=1),CT7-DB7+DF6,0)</f>
        <v>19400</v>
      </c>
      <c r="BT7" s="4">
        <f t="shared" ref="BT7:BT38" ca="1" si="19">IF(AND($B$57=1,$B$60=1),DM7,0)</f>
        <v>5500</v>
      </c>
      <c r="BU7" s="4">
        <f t="shared" ref="BU7:BU38" si="20">MAX(0,-BP7)</f>
        <v>0</v>
      </c>
      <c r="BV7" s="4">
        <f t="shared" ref="BV7:BV38" si="21">CHOOSE(AZ7,1,1,0,0)</f>
        <v>1</v>
      </c>
      <c r="BW7" s="4">
        <f t="shared" ref="BW7:BW38" si="22">IF(AND(AZ7=4,$B$79=2),DW7,MAX(EA7,MIN(EB7,$BU7*GU7+BR7+IF(AND($B$61=1,AZ7=2),(BT7-MAX(0,BP7)))))*$BV7)</f>
        <v>0</v>
      </c>
      <c r="BX7" s="4">
        <f t="shared" ref="BX7:BX38" si="23">IF(AND(AZ7=4,$B$79=2),EE7,MAX(EI7,MIN(EJ7,$BU7*GV7))*$BV7)</f>
        <v>0</v>
      </c>
      <c r="BY7" s="4">
        <f t="shared" ref="BY7:BY38" ca="1" si="24">IF(AND(AZ7=4,$B$79=2),EU7,MAX(EY7,MIN(EZ7,$BU7-SUM(BW7,BX7)+(BS7+BT7-MAX(0,BP7))-MAX(0,BW7+BX7-BU7)))*$BV7)</f>
        <v>0</v>
      </c>
      <c r="BZ7" s="4">
        <f t="shared" ref="BZ7:BZ38" ca="1" si="25">IF(AND(AZ7=4,$B$79=2),EN7,MAX(ER7,MIN(ES7,$BU7-SUM(BW7,BX7,BY7)))*$BV7)</f>
        <v>0</v>
      </c>
      <c r="CA7" s="4">
        <f t="shared" ref="CA7:CA70" ca="1" si="26">SUM(BW7,BX7,BY7,BZ7)</f>
        <v>0</v>
      </c>
      <c r="CB7" s="4">
        <f ca="1">MAX(0,BW7+BX7+BY7-BU7)*$BV7</f>
        <v>0</v>
      </c>
      <c r="CC7" s="4"/>
      <c r="CD7" s="4">
        <f t="shared" ref="CD7:CD38" ca="1" si="27">BI7+CA7</f>
        <v>80000</v>
      </c>
      <c r="CE7" s="4">
        <f ca="1">IF($AZ7=3,0,BI7-BH7+BW7+BX7+FD7+FE7+FI7-DE7-CX7+Q7-CG7)</f>
        <v>63108.446046636076</v>
      </c>
      <c r="CF7" s="16">
        <f t="shared" ref="CF7:CF38" si="28">IF($E7&gt;=$HQ$49,MAX(0,MIN(1,1-(CE7-AX7*$HR$50)*$HQ$51/$HW$9)),0)</f>
        <v>0</v>
      </c>
      <c r="CG7" s="4">
        <f>IF(E7&gt;$HQ$73,0,MAX(0,MIN($HR$72*AX7,(BB7-$HR$71)*$HQ$70)))+MAX(0,MIN($HQ$69*AX7,BB7*$HQ$68))</f>
        <v>3400.19</v>
      </c>
      <c r="CH7" s="4" t="e">
        <f t="shared" ref="CH7:CH38" ca="1" si="29">MAX(0,interpolate($CE7/$AX7,$HP$7:$HP$13,$HR$7:$HR$13,7)*$AX7-($B$25+$HW$8+CF7*$HW$9)*$AX7*$HV$7-FF7-S7)</f>
        <v>#NAME?</v>
      </c>
      <c r="CI7" s="4" t="e">
        <f t="shared" ref="CI7:CI38" ca="1" si="30">MAX(0,interpolate($CE7/$AX7,$HP$18:$HP$24,$HR$18:$HR$24,7)*$AX7-($B$26+$HW$19+CF7*$HW$20)*$AX7*$HV$18-FG7-T7)</f>
        <v>#NAME?</v>
      </c>
      <c r="CJ7" s="4" t="e">
        <f ca="1">CD7-(CG7+CH7+CI7)-CR7</f>
        <v>#NAME?</v>
      </c>
      <c r="CK7" s="4" t="e">
        <f t="shared" ref="CK7:CK70" ca="1" si="31">CJ7/AX7</f>
        <v>#NAME?</v>
      </c>
      <c r="CL7" s="4" t="e">
        <f t="shared" ref="CL7:CL38" ca="1" si="32">IF(OR(CD7=0,ISERROR(BN7),(CD7-CR7)=0),0.15*CD7,MAX(0,$B$71*(CG7+CH7+CI7)+(1-$B$71)*(BN7)))</f>
        <v>#NAME?</v>
      </c>
      <c r="CM7" s="16"/>
      <c r="CN7" s="4">
        <f t="shared" ref="CN7:CN38" si="33">CHOOSE($AZ7,0,BM7-CJ7,0,0)</f>
        <v>0</v>
      </c>
      <c r="CO7" s="4">
        <f>CHOOSE(AZ7,0,IF(CN7&gt;100,1,0),0,0)</f>
        <v>0</v>
      </c>
      <c r="CP7" s="4">
        <f t="shared" ref="CP7:CP40" si="34">DW7+EE7+EN7+EU7</f>
        <v>0</v>
      </c>
      <c r="CQ7" s="4"/>
      <c r="CR7" s="4">
        <f t="shared" ref="CR7:CR38" ca="1" si="35">MAX(0,BP7)+CB7</f>
        <v>13491.363953363922</v>
      </c>
      <c r="CS7" s="4">
        <f t="shared" ref="CS7:CS38" ca="1" si="36">OFFSET($HK$7,$D7-$HJ$7,0)</f>
        <v>26010</v>
      </c>
      <c r="CT7" s="4">
        <f t="shared" ref="CT7:CT38" ca="1" si="37">MAX(0,MIN($HQ$66*BB7,CS7))</f>
        <v>14400</v>
      </c>
      <c r="CU7" s="4"/>
      <c r="CV7" s="4">
        <f ca="1">CR7</f>
        <v>13491.363953363922</v>
      </c>
      <c r="CW7" s="4">
        <f t="shared" ref="CW7:CW38" ca="1" si="38">MIN(CT7,$B$22*BB7)</f>
        <v>0</v>
      </c>
      <c r="CX7" s="4">
        <f t="shared" ref="CX7:CX38" ca="1" si="39">IF(E7&gt;=72,0,MIN(CV7,CW7))</f>
        <v>0</v>
      </c>
      <c r="CY7" s="4">
        <f ca="1">MAX(0,CR7-CX7)</f>
        <v>13491.363953363922</v>
      </c>
      <c r="CZ7" s="4"/>
      <c r="DA7" s="4">
        <f t="shared" ref="DA7:DA38" ca="1" si="40">CHOOSE($B$58+1,CY7-DN7,CY7)</f>
        <v>13491.363953363922</v>
      </c>
      <c r="DB7" s="4">
        <f t="shared" ref="DB7:DB38" si="41">CHOOSE(AZ7,$B$23*(1+$B$16)^(D7-$B$7),0,0,0)</f>
        <v>5000</v>
      </c>
      <c r="DC7" s="4">
        <f ca="1">CX7</f>
        <v>0</v>
      </c>
      <c r="DD7" s="4">
        <f t="shared" ref="DD7:DD38" ca="1" si="42">IF(E7&gt;=72,0,MAX(0,CT7-DB7-DC7+DF6))</f>
        <v>19400</v>
      </c>
      <c r="DE7" s="4">
        <f t="shared" ref="DE7:DE38" ca="1" si="43">MIN(DA7,DD7*$B$56)</f>
        <v>13491.363953363922</v>
      </c>
      <c r="DF7" s="4">
        <f ca="1">DD7-DE7</f>
        <v>5908.6360466360784</v>
      </c>
      <c r="DG7" s="4">
        <f ca="1">DE7-DH7</f>
        <v>6745.6819766819608</v>
      </c>
      <c r="DH7" s="4">
        <f t="shared" ref="DH7:DH38" ca="1" si="44">IF(AND(AI7&lt;=70,AJ7&lt;=2),DE7*$B$24,0)</f>
        <v>6745.6819766819608</v>
      </c>
      <c r="DI7" s="4"/>
      <c r="DJ7" s="4">
        <f t="shared" ref="DJ7:DJ38" ca="1" si="45">CHOOSE($B$58+1,CY7,CY7-DE7)</f>
        <v>0</v>
      </c>
      <c r="DK7" s="4">
        <f t="shared" ref="DK7:DK38" ca="1" si="46">OFFSET($HL$7,$D7-$HJ$7,0)</f>
        <v>5500</v>
      </c>
      <c r="DL7" s="4">
        <f t="shared" ref="DL7:DL38" ca="1" si="47">IF(E7&lt;18,0,DK7)</f>
        <v>5500</v>
      </c>
      <c r="DM7" s="4">
        <f t="shared" ref="DM7:DM38" ca="1" si="48">CHOOSE(AZ7,DL7+DO6+EQ6,DL7+DO6+EQ6,0,0)</f>
        <v>5500</v>
      </c>
      <c r="DN7" s="4">
        <f t="shared" ref="DN7:DN38" ca="1" si="49">MIN(DJ7,DM7*CHOOSE(AZ7,$B$57,$B$57,0,0))</f>
        <v>0</v>
      </c>
      <c r="DO7" s="4">
        <f t="shared" ref="DO7:DO70" ca="1" si="50">DM7-DN7</f>
        <v>5500</v>
      </c>
      <c r="DP7" s="4"/>
      <c r="DQ7" s="4">
        <f t="shared" ref="DQ7:DQ38" ca="1" si="51">MAX(0,CY7-DE7-DN7)</f>
        <v>0</v>
      </c>
      <c r="DR7" s="4"/>
      <c r="DS7" s="4">
        <f>IF($B$74=1,$B$83*AX7,0)</f>
        <v>0</v>
      </c>
      <c r="DT7" s="4">
        <f t="shared" ref="DT7:DT44" si="52">IF(AZ7=2,MAX(0,MIN(EB7,DS7-CE7+BR7)),0)</f>
        <v>0</v>
      </c>
      <c r="DU7" s="4">
        <f t="shared" ref="DU7:DU38" si="53">IF($B$74=1,IF(ISERROR(DT7),0,DT7),0)</f>
        <v>0</v>
      </c>
      <c r="DV7" s="4"/>
      <c r="DW7" s="12">
        <f>B86</f>
        <v>0</v>
      </c>
      <c r="DX7" s="4">
        <f t="shared" ref="DX7:DX38" ca="1" si="54">DG7+AL7</f>
        <v>6745.6819766819608</v>
      </c>
      <c r="DY7" s="4">
        <f>IF($AZ7&gt;=3,0,DW7*$N7)</f>
        <v>0</v>
      </c>
      <c r="DZ7" s="4">
        <f t="shared" ref="DZ7:DZ38" si="55">BW7</f>
        <v>0</v>
      </c>
      <c r="EA7" s="4">
        <f t="shared" ref="EA7:EA38" si="56">CHOOSE($EC7,0,interpolate($AW7,$HG$7:$HG$60,$HH$7:$HH$60,54))*$DW7</f>
        <v>0</v>
      </c>
      <c r="EB7" s="4">
        <f t="shared" ref="EB7:EB38" si="57">IF(AND($B$63=1,E7&lt;$B$49),0,MAX(0,DW7+DY7))</f>
        <v>0</v>
      </c>
      <c r="EC7" s="4">
        <f t="shared" ref="EC7:EC38" si="58">IF($AW7&lt;$B$49,1,2)</f>
        <v>1</v>
      </c>
      <c r="ED7" s="4"/>
      <c r="EE7" s="12">
        <f>B87</f>
        <v>0</v>
      </c>
      <c r="EF7" s="4">
        <f t="shared" ref="EF7:EF38" ca="1" si="59">CX7+AM7</f>
        <v>0</v>
      </c>
      <c r="EG7" s="4">
        <f>IF($AZ7&gt;=3,0,EE7*$N7)</f>
        <v>0</v>
      </c>
      <c r="EH7" s="4">
        <f t="shared" ref="EH7:EH38" si="60">BX7</f>
        <v>0</v>
      </c>
      <c r="EI7" s="4">
        <f t="shared" ref="EI7:EI38" si="61">CHOOSE($EK7,0,interpolate($AW7,$GZ$7:$GZ$58,$HA$7:$HA$58,52))*$EE7</f>
        <v>0</v>
      </c>
      <c r="EJ7" s="4">
        <f t="shared" ref="EJ7:EJ38" si="62">CHOOSE($EK7,0,interpolate($AW7,$GZ$7:$GZ$58,$HB$7:$HB$58,52))*$EE7</f>
        <v>0</v>
      </c>
      <c r="EK7" s="4">
        <f t="shared" ref="EK7:EK38" si="63">IF($AW7&lt;$B$48,1,2)</f>
        <v>1</v>
      </c>
      <c r="EL7" s="4">
        <f t="shared" ref="EL7:EL38" si="64">IF(AND($B$59=1,AW7=MAX($B$12,$B$48,IF($B$8="Alberta",50,55))),0.5*EE7,0)</f>
        <v>0</v>
      </c>
      <c r="EM7" s="4"/>
      <c r="EN7" s="12">
        <f>B88</f>
        <v>0</v>
      </c>
      <c r="EO7" s="4">
        <f t="shared" ref="EO7:EO38" ca="1" si="65">DN7+AN7</f>
        <v>0</v>
      </c>
      <c r="EP7" s="4">
        <f>IF($AZ7&gt;=3,0,EN7*$N7)</f>
        <v>0</v>
      </c>
      <c r="EQ7" s="4">
        <f t="shared" ref="EQ7:EQ38" ca="1" si="66">BZ7</f>
        <v>0</v>
      </c>
      <c r="ER7" s="4">
        <v>0</v>
      </c>
      <c r="ES7" s="4">
        <f>EN7+EP7</f>
        <v>0</v>
      </c>
      <c r="ET7" s="4"/>
      <c r="EU7" s="12">
        <f>B89</f>
        <v>0</v>
      </c>
      <c r="EV7" s="4">
        <f t="shared" ref="EV7:EV38" ca="1" si="67">DQ7+AO7</f>
        <v>0</v>
      </c>
      <c r="EW7" s="4">
        <f>IF($AZ7&gt;=3,0,EU7*$N7)</f>
        <v>0</v>
      </c>
      <c r="EX7" s="4">
        <f t="shared" ref="EX7:EX38" ca="1" si="68">BY7</f>
        <v>0</v>
      </c>
      <c r="EY7" s="4">
        <v>0</v>
      </c>
      <c r="EZ7" s="4">
        <f>EU7+EW7</f>
        <v>0</v>
      </c>
      <c r="FA7" s="12">
        <f>B90</f>
        <v>0</v>
      </c>
      <c r="FB7" s="1">
        <f t="shared" ref="FB7:FB38" si="69">IF(EU7=0,0,FA7/EU7)</f>
        <v>0</v>
      </c>
      <c r="FC7" s="4">
        <f>EW7*$O7</f>
        <v>0</v>
      </c>
      <c r="FD7" s="4">
        <f>EW7*(1-$O7-$P7)</f>
        <v>0</v>
      </c>
      <c r="FE7" s="4">
        <f t="shared" ref="FE7:FE38" si="70">EW7*$P7*(1+$HQ$59)</f>
        <v>0</v>
      </c>
      <c r="FF7" s="4">
        <f t="shared" ref="FF7:FF38" si="71">FE7*$HV$13</f>
        <v>0</v>
      </c>
      <c r="FG7" s="4">
        <f t="shared" ref="FG7:FG38" ca="1" si="72">FE7*$HV$24</f>
        <v>0</v>
      </c>
      <c r="FH7" s="17">
        <f t="shared" ref="FH7:FH38" ca="1" si="73">MAX(0,EX7*FB7)</f>
        <v>0</v>
      </c>
      <c r="FI7" s="4">
        <f t="shared" ref="FI7:FI38" ca="1" si="74">FH7*$HQ$61</f>
        <v>0</v>
      </c>
      <c r="FJ7" s="4"/>
      <c r="FK7" s="4">
        <f t="shared" ref="FK7:FK38" si="75">EB7+(EE7+EG7)*(EK7-1)+ES7+EZ7</f>
        <v>0</v>
      </c>
      <c r="FL7" s="4"/>
      <c r="FM7" s="4">
        <v>0</v>
      </c>
      <c r="FN7" s="4">
        <f t="shared" ref="FN7:FN38" si="76">IF(AND(AZ7=4,$B$79=1),DW7,0)</f>
        <v>0</v>
      </c>
      <c r="FO7" s="4">
        <f t="shared" ref="FO7:FO38" si="77">IF(AND(AZ7=4,$B$79=1),EE7,0)</f>
        <v>0</v>
      </c>
      <c r="FP7" s="4">
        <f t="shared" ref="FP7:FP38" si="78">IF(AND(AZ7=4,$B$79=1),EN7,0)</f>
        <v>0</v>
      </c>
      <c r="FQ7" s="4">
        <f t="shared" ref="FQ7:FQ38" si="79">IF(AND(AZ7=4,$B$79=1),EU7,0)</f>
        <v>0</v>
      </c>
      <c r="FR7" s="4">
        <f t="shared" ref="FR7:FR38" si="80">IF(AND(AZ7=4,$B$79=1),FA7,0)</f>
        <v>0</v>
      </c>
      <c r="FS7" s="4">
        <f t="shared" ref="FS7:FS38" si="81">$B$40/(1-$B$40)*BF7</f>
        <v>0</v>
      </c>
      <c r="FT7" s="4">
        <f t="shared" ref="FT7:FT38" ca="1" si="82">DH7</f>
        <v>6745.6819766819608</v>
      </c>
      <c r="FU7" s="4"/>
      <c r="FV7" s="3">
        <f t="shared" ref="FV7:FV38" si="83">IF(AZ7&gt;=3,0,IF($B$9=1,1/$AX7,1))</f>
        <v>1</v>
      </c>
      <c r="FW7" s="3">
        <f t="shared" ref="FW7:FW38" si="84">IF(AZ7=3,0,IF($B$9=1,1/$AX7,1))</f>
        <v>1</v>
      </c>
      <c r="FX7" s="4">
        <f>IF($B$70=1,AW7,AV7)</f>
        <v>2017</v>
      </c>
      <c r="FY7" s="18">
        <f t="shared" ref="FY7:FY38" si="85">(BB7+BC7+BH7)*$FV7/1000</f>
        <v>80</v>
      </c>
      <c r="FZ7" s="18">
        <f t="shared" ref="FZ7:FZ38" si="86">BD7*$FV7/1000</f>
        <v>0</v>
      </c>
      <c r="GA7" s="18">
        <f t="shared" ref="GA7:GA38" si="87">BE7*$FV7/1000</f>
        <v>0</v>
      </c>
      <c r="GB7" s="18">
        <f t="shared" ref="GB7:GB38" si="88">(BF7+BG7)*$FV7/1000</f>
        <v>0</v>
      </c>
      <c r="GC7" s="18">
        <f t="shared" ref="GC7:GC38" si="89">BW7*$FV7/1000</f>
        <v>0</v>
      </c>
      <c r="GD7" s="18">
        <f t="shared" ref="GD7:GD38" si="90">BX7*$FV7/1000</f>
        <v>0</v>
      </c>
      <c r="GE7" s="18">
        <f t="shared" ref="GE7:GE38" ca="1" si="91">BY7*$FV7/1000</f>
        <v>0</v>
      </c>
      <c r="GF7" s="18">
        <f t="shared" ref="GF7:GF38" ca="1" si="92">BZ7*$FV7/1000</f>
        <v>0</v>
      </c>
      <c r="GG7" s="18" t="e">
        <f t="shared" ref="GG7:GG38" ca="1" si="93">(CJ7+CR7)*$FV7/1000</f>
        <v>#NAME?</v>
      </c>
      <c r="GH7" s="18" t="e">
        <f t="shared" ref="GH7:GH38" ca="1" si="94">CJ7*$FV7/1000</f>
        <v>#NAME?</v>
      </c>
      <c r="GI7" s="4"/>
      <c r="GJ7" s="4">
        <f t="shared" ref="GJ7:GJ38" si="95">FX7</f>
        <v>2017</v>
      </c>
      <c r="GK7" s="4">
        <f t="shared" ref="GK7:GK38" si="96">DW7*$FW7/1000</f>
        <v>0</v>
      </c>
      <c r="GL7" s="4">
        <f t="shared" ref="GL7:GL38" si="97">EE7*$FW7/1000</f>
        <v>0</v>
      </c>
      <c r="GM7" s="4">
        <f t="shared" ref="GM7:GM38" si="98">EN7*$FW7/1000</f>
        <v>0</v>
      </c>
      <c r="GN7" s="4">
        <f t="shared" ref="GN7:GN38" si="99">EU7*$FW7/1000</f>
        <v>0</v>
      </c>
      <c r="GO7" s="4"/>
      <c r="GP7" s="3">
        <f>IF(FK7=0,0.1,EB7/FK7)</f>
        <v>0.1</v>
      </c>
      <c r="GQ7" s="3">
        <f t="shared" ref="GQ7:GQ38" si="100">IF(FK7=0,0.1,(EE7+EG7)*(EK7-1)/FK7)</f>
        <v>0.1</v>
      </c>
      <c r="GR7" s="3">
        <f t="shared" ref="GR7:GR38" si="101">IF(FK7=0,0.1,EZ7/FK7)</f>
        <v>0.1</v>
      </c>
      <c r="GS7" s="3">
        <f t="shared" ref="GS7:GS38" si="102">IF(FK7=0,0.1,ES7/FK7)</f>
        <v>0.1</v>
      </c>
      <c r="GT7" s="3">
        <f t="array" ref="GT7">SUM(GP7:GS7*$GU$6:$GX$6)</f>
        <v>0.4</v>
      </c>
      <c r="GU7" s="3">
        <f t="shared" ref="GU7:GX8" si="103">IF($GT7=0,0.25,MIN(1,MAX(0,GP7*GU$6/$GT7)))</f>
        <v>0.25</v>
      </c>
      <c r="GV7" s="3">
        <f t="shared" si="103"/>
        <v>0.25</v>
      </c>
      <c r="GW7" s="3">
        <f t="shared" si="103"/>
        <v>0.25</v>
      </c>
      <c r="GX7" s="3">
        <f t="shared" si="103"/>
        <v>0.25</v>
      </c>
      <c r="GY7" s="11"/>
      <c r="GZ7" s="27">
        <v>0</v>
      </c>
      <c r="HA7" s="29">
        <v>2.5000000000000001E-2</v>
      </c>
      <c r="HB7" s="29">
        <f ca="1">OFFSET(HC7,0,$HB$3-1)</f>
        <v>6.2700000000000006E-2</v>
      </c>
      <c r="HC7" s="29">
        <v>6.2700000000000006E-2</v>
      </c>
      <c r="HD7" s="29">
        <v>6.0999999999999999E-2</v>
      </c>
      <c r="HE7" s="29">
        <v>4.3900000000000002E-2</v>
      </c>
      <c r="HG7" s="27">
        <v>0</v>
      </c>
      <c r="HH7" s="30">
        <v>2.3799999999999998E-2</v>
      </c>
      <c r="HJ7">
        <v>2010</v>
      </c>
      <c r="HK7" s="27">
        <v>22000</v>
      </c>
      <c r="HL7" s="27">
        <v>5000</v>
      </c>
      <c r="HM7" s="27"/>
      <c r="HO7">
        <f t="shared" ref="HO7:HO13" si="104">HQ29</f>
        <v>0</v>
      </c>
      <c r="HP7" s="4">
        <f t="shared" ref="HP7:HP13" si="105">HO7*(1+$B$15)^($B$7-$HP$26)</f>
        <v>0</v>
      </c>
      <c r="HQ7" s="3">
        <f t="shared" ref="HQ7:HQ13" ca="1" si="106">HQ37*$HV$21</f>
        <v>0</v>
      </c>
      <c r="HR7">
        <v>0</v>
      </c>
      <c r="HS7" s="4"/>
      <c r="HT7" t="s">
        <v>178</v>
      </c>
      <c r="HU7" s="4"/>
      <c r="HV7" s="3">
        <f ca="1">HQ45*$HV$21</f>
        <v>0.15</v>
      </c>
      <c r="IB7" t="s">
        <v>4</v>
      </c>
      <c r="ID7" s="8">
        <v>100000</v>
      </c>
      <c r="IE7" s="89">
        <f>ID7+1</f>
        <v>100001</v>
      </c>
    </row>
    <row r="8" spans="1:240" x14ac:dyDescent="0.25">
      <c r="A8" t="s">
        <v>160</v>
      </c>
      <c r="B8" s="62" t="str">
        <f>Inputs_Summary!AJ5</f>
        <v>Alberta</v>
      </c>
      <c r="D8">
        <f t="shared" ref="D8:D71" si="107">AV8</f>
        <v>2018</v>
      </c>
      <c r="E8">
        <f t="shared" ref="E8:E71" si="108">AW8</f>
        <v>23</v>
      </c>
      <c r="F8" s="8"/>
      <c r="G8" s="8"/>
      <c r="H8" s="9"/>
      <c r="I8" s="9"/>
      <c r="J8" s="92"/>
      <c r="K8" s="91"/>
      <c r="L8" s="91"/>
      <c r="N8" s="93">
        <f t="shared" ref="N8:N71" si="109">IF(AND(J8&lt;&gt;"",J8&lt;&gt;" "),J8,$B$17)</f>
        <v>0.05</v>
      </c>
      <c r="O8" s="23">
        <f t="shared" ref="O8:O71" si="110">IF(AND(K8&lt;&gt;"",K8&lt;&gt;" "),K8,$B$18)</f>
        <v>0.4</v>
      </c>
      <c r="P8" s="23">
        <f t="shared" ref="P8:P71" si="111">IF(AND(L8&lt;&gt;"",L8&lt;&gt;" "),L8,$B$19)</f>
        <v>0.1</v>
      </c>
      <c r="Q8" s="4">
        <f t="shared" si="0"/>
        <v>0</v>
      </c>
      <c r="R8" s="4">
        <f t="shared" ref="R8:R39" si="112">G8*AX8*(1+$HW$12)</f>
        <v>0</v>
      </c>
      <c r="S8" s="4">
        <f t="shared" ref="S8:S71" si="113">R8*$HW$13</f>
        <v>0</v>
      </c>
      <c r="T8" s="4">
        <f t="shared" ref="T8:T71" ca="1" si="114">R8*$HW$24</f>
        <v>0</v>
      </c>
      <c r="V8" s="18" t="e">
        <f t="shared" ca="1" si="1"/>
        <v>#NAME?</v>
      </c>
      <c r="W8" s="18" t="e">
        <f t="shared" ca="1" si="2"/>
        <v>#NAME?</v>
      </c>
      <c r="X8" s="18">
        <f t="shared" si="3"/>
        <v>0</v>
      </c>
      <c r="Y8" s="18">
        <f t="shared" ca="1" si="4"/>
        <v>14.275677678854118</v>
      </c>
      <c r="Z8" s="18">
        <f t="shared" ca="1" si="5"/>
        <v>0</v>
      </c>
      <c r="AA8" s="18">
        <f t="shared" ca="1" si="6"/>
        <v>0</v>
      </c>
      <c r="AB8" s="18">
        <f t="shared" ca="1" si="7"/>
        <v>0</v>
      </c>
      <c r="AC8" s="18">
        <f t="shared" ca="1" si="8"/>
        <v>6.6134137026293729</v>
      </c>
      <c r="AD8" s="18">
        <f t="shared" ca="1" si="9"/>
        <v>0</v>
      </c>
      <c r="AE8" s="18">
        <f t="shared" ca="1" si="10"/>
        <v>0</v>
      </c>
      <c r="AF8" s="18">
        <f t="shared" ca="1" si="11"/>
        <v>0</v>
      </c>
      <c r="AG8" s="18">
        <f t="shared" ca="1" si="12"/>
        <v>6.6134137026293729</v>
      </c>
      <c r="AI8">
        <f>Person2!E8</f>
        <v>23</v>
      </c>
      <c r="AJ8">
        <f>Person2!AZ8</f>
        <v>1</v>
      </c>
      <c r="AK8">
        <f>IF($AZ8&lt;&gt;3,Person2!FM8,0)</f>
        <v>0</v>
      </c>
      <c r="AL8" s="4">
        <f ca="1">IF($AZ8&lt;&gt;3,Person2!FN8+Person2!FT8,0)</f>
        <v>0</v>
      </c>
      <c r="AM8">
        <f>IF($AZ8&lt;&gt;3,Person2!FO8,0)</f>
        <v>0</v>
      </c>
      <c r="AN8">
        <f>IF($AZ8&lt;&gt;3,Person2!FP8,0)</f>
        <v>0</v>
      </c>
      <c r="AO8">
        <f>IF($AZ8&lt;&gt;3,Person2!FQ8,0)</f>
        <v>0</v>
      </c>
      <c r="AP8">
        <f>IF($AZ8&lt;&gt;3,Person2!FR8,0)</f>
        <v>0</v>
      </c>
      <c r="AQ8">
        <v>0</v>
      </c>
      <c r="AR8" s="4">
        <f>Person2!FS8</f>
        <v>0</v>
      </c>
      <c r="AS8" s="4">
        <v>0</v>
      </c>
      <c r="AT8" s="4">
        <v>0</v>
      </c>
      <c r="AV8">
        <f t="shared" ref="AV8:AV13" si="115">AV7+1</f>
        <v>2018</v>
      </c>
      <c r="AW8">
        <f t="shared" ref="AW8:AW39" si="116">AW7+1</f>
        <v>23</v>
      </c>
      <c r="AX8">
        <f t="shared" ref="AX8:AX39" si="117">AX7*(1+$B$15)</f>
        <v>1.02</v>
      </c>
      <c r="AY8">
        <f t="shared" ref="AY8:AY71" si="118">1/AX8</f>
        <v>0.98039215686274506</v>
      </c>
      <c r="AZ8">
        <f t="shared" ref="AZ8:AZ71" si="119">IF(AW8=$B$13,4,IF(AW8&gt;$B$13,3,IF(AW8&lt;$B$12,1,2)))</f>
        <v>1</v>
      </c>
      <c r="BB8" s="4">
        <f t="shared" si="13"/>
        <v>82400</v>
      </c>
      <c r="BC8">
        <f t="shared" si="14"/>
        <v>0</v>
      </c>
      <c r="BD8" s="4">
        <f t="shared" si="15"/>
        <v>0</v>
      </c>
      <c r="BE8" s="4">
        <f t="shared" ref="BE8:BE71" si="120">CHOOSE($AZ8,0,MAX(0,IF(AW8&gt;=$B$45,$B$81*AX8-$HQ$64*MAX(0,(CE7-$HR$63*AX8))),0),0,0)</f>
        <v>0</v>
      </c>
      <c r="BF8" s="4">
        <f t="shared" ref="BF8:BF71" si="121">(1-$B$40)*MAX(0,CHOOSE($AZ8,0,IF(AW8&gt;=$B$36,$B$35*(1+$B$37)^($B$36-$B$11)*(1+$B$38)^(AW8-$B$36)-$B$39*BD8,0),0,0))</f>
        <v>0</v>
      </c>
      <c r="BG8" s="4">
        <f t="shared" ref="BG8:BG71" si="122">AR8+AS8</f>
        <v>0</v>
      </c>
      <c r="BH8" s="4">
        <f t="shared" si="16"/>
        <v>0</v>
      </c>
      <c r="BI8" s="4">
        <f t="shared" ref="BI8:BI71" si="123">SUM(BB8:BH8)</f>
        <v>82400</v>
      </c>
      <c r="BJ8" s="4"/>
      <c r="BK8" s="4">
        <f t="shared" si="17"/>
        <v>51000</v>
      </c>
      <c r="BL8" s="4">
        <f t="shared" ref="BL8:BL71" si="124">CHOOSE(AZ8,I8*AX8,I8*AX8,0,0)</f>
        <v>0</v>
      </c>
      <c r="BM8" s="4">
        <f t="shared" ref="BM8:BM71" si="125">BK8+BL8+AQ8</f>
        <v>51000</v>
      </c>
      <c r="BN8" s="4">
        <v>16838.8087675688</v>
      </c>
      <c r="BO8" s="4">
        <f t="shared" ref="BO8:BO71" si="126">IF(ISERROR(BN8),BM8,BM8+BN8)</f>
        <v>67838.8087675688</v>
      </c>
      <c r="BP8" s="4">
        <f t="shared" ref="BP8:BP71" si="127">CHOOSE(AZ8,BI8-BO8,BI8-BO8,0,0)</f>
        <v>14561.1912324312</v>
      </c>
      <c r="BQ8" s="4"/>
      <c r="BR8" s="4">
        <v>0</v>
      </c>
      <c r="BS8" s="4">
        <f t="shared" ca="1" si="18"/>
        <v>15590.636046636078</v>
      </c>
      <c r="BT8" s="4">
        <f t="shared" ca="1" si="19"/>
        <v>11000</v>
      </c>
      <c r="BU8" s="4">
        <f t="shared" si="20"/>
        <v>0</v>
      </c>
      <c r="BV8" s="4">
        <f t="shared" si="21"/>
        <v>1</v>
      </c>
      <c r="BW8" s="4">
        <f t="shared" ca="1" si="22"/>
        <v>0</v>
      </c>
      <c r="BX8" s="4">
        <f t="shared" ca="1" si="23"/>
        <v>0</v>
      </c>
      <c r="BY8" s="4">
        <f t="shared" ca="1" si="24"/>
        <v>0</v>
      </c>
      <c r="BZ8" s="4">
        <f t="shared" ca="1" si="25"/>
        <v>0</v>
      </c>
      <c r="CA8" s="4">
        <f t="shared" ca="1" si="26"/>
        <v>0</v>
      </c>
      <c r="CB8" s="4">
        <f ca="1">MAX(0,BW8+BX8+BY8-BU8)*$BV8</f>
        <v>0</v>
      </c>
      <c r="CC8" s="4"/>
      <c r="CD8" s="4">
        <f t="shared" ca="1" si="27"/>
        <v>82400</v>
      </c>
      <c r="CE8" s="4">
        <f t="shared" ref="CE8:CE71" ca="1" si="128">IF($AZ8=3,0,BI8-BH8+BW8+BX8+FD8+FE8+FI8-DE8-CX8+Q8-CG8)</f>
        <v>64370.614967568799</v>
      </c>
      <c r="CF8" s="16">
        <f t="shared" si="28"/>
        <v>0</v>
      </c>
      <c r="CG8" s="4">
        <f t="shared" ref="CG8:CG71" si="129">IF(E8&gt;$HQ$73,0,MAX(0,MIN($HR$72*AX8,(BB8-$HR$71)*$HQ$70)))+MAX(0,MIN($HQ$69*AX8,BB8*$HQ$68))</f>
        <v>3468.1938</v>
      </c>
      <c r="CH8" s="4" t="e">
        <f t="shared" ca="1" si="29"/>
        <v>#NAME?</v>
      </c>
      <c r="CI8" s="4" t="e">
        <f t="shared" ca="1" si="30"/>
        <v>#NAME?</v>
      </c>
      <c r="CJ8" s="4" t="e">
        <f t="shared" ref="CJ8:CJ71" ca="1" si="130">CD8-(CG8+CH8+CI8)-CR8</f>
        <v>#NAME?</v>
      </c>
      <c r="CK8" s="4" t="e">
        <f t="shared" ca="1" si="31"/>
        <v>#NAME?</v>
      </c>
      <c r="CL8" s="4" t="e">
        <f t="shared" ca="1" si="32"/>
        <v>#NAME?</v>
      </c>
      <c r="CM8" s="16"/>
      <c r="CN8" s="4">
        <f t="shared" si="33"/>
        <v>0</v>
      </c>
      <c r="CO8" s="4">
        <f t="shared" ref="CO8:CO38" si="131">CHOOSE(AZ8,0,IF(CN8&gt;100,1,0),0,0)</f>
        <v>0</v>
      </c>
      <c r="CP8" s="4">
        <f t="shared" ca="1" si="34"/>
        <v>6745.6819766819608</v>
      </c>
      <c r="CQ8" s="4"/>
      <c r="CR8" s="4">
        <f t="shared" ca="1" si="35"/>
        <v>14561.1912324312</v>
      </c>
      <c r="CS8" s="4">
        <f t="shared" ca="1" si="36"/>
        <v>23230</v>
      </c>
      <c r="CT8" s="4">
        <f t="shared" ca="1" si="37"/>
        <v>14832</v>
      </c>
      <c r="CU8" s="4"/>
      <c r="CV8" s="4">
        <f t="shared" ref="CV8:CV71" ca="1" si="132">CR8</f>
        <v>14561.1912324312</v>
      </c>
      <c r="CW8" s="4">
        <f t="shared" ca="1" si="38"/>
        <v>0</v>
      </c>
      <c r="CX8" s="4">
        <f t="shared" ca="1" si="39"/>
        <v>0</v>
      </c>
      <c r="CY8" s="4">
        <f t="shared" ref="CY8:CY71" ca="1" si="133">MAX(0,CR8-CX8)</f>
        <v>14561.1912324312</v>
      </c>
      <c r="CZ8" s="4"/>
      <c r="DA8" s="4">
        <f t="shared" ca="1" si="40"/>
        <v>14561.1912324312</v>
      </c>
      <c r="DB8" s="4">
        <f t="shared" si="41"/>
        <v>5150</v>
      </c>
      <c r="DC8" s="4">
        <f t="shared" ref="DC8:DC71" ca="1" si="134">CX8</f>
        <v>0</v>
      </c>
      <c r="DD8" s="4">
        <f t="shared" ca="1" si="42"/>
        <v>15590.636046636078</v>
      </c>
      <c r="DE8" s="4">
        <f t="shared" ca="1" si="43"/>
        <v>14561.1912324312</v>
      </c>
      <c r="DF8" s="4">
        <f t="shared" ref="DF8:DF71" ca="1" si="135">DD8-DE8</f>
        <v>1029.4448142048786</v>
      </c>
      <c r="DG8" s="4">
        <f t="shared" ref="DG8:DG71" ca="1" si="136">DE8-DH8</f>
        <v>7280.5956162155999</v>
      </c>
      <c r="DH8" s="4">
        <f t="shared" ca="1" si="44"/>
        <v>7280.5956162155999</v>
      </c>
      <c r="DI8" s="4"/>
      <c r="DJ8" s="4">
        <f t="shared" ca="1" si="45"/>
        <v>0</v>
      </c>
      <c r="DK8" s="4">
        <f t="shared" ca="1" si="46"/>
        <v>5500</v>
      </c>
      <c r="DL8" s="4">
        <f t="shared" ca="1" si="47"/>
        <v>5500</v>
      </c>
      <c r="DM8" s="4">
        <f t="shared" ca="1" si="48"/>
        <v>11000</v>
      </c>
      <c r="DN8" s="4">
        <f t="shared" ca="1" si="49"/>
        <v>0</v>
      </c>
      <c r="DO8" s="4">
        <f t="shared" ca="1" si="50"/>
        <v>11000</v>
      </c>
      <c r="DP8" s="4"/>
      <c r="DQ8" s="4">
        <f t="shared" ca="1" si="51"/>
        <v>0</v>
      </c>
      <c r="DR8" s="4"/>
      <c r="DS8" s="4">
        <f t="shared" ref="DS8:DS71" si="137">IF($B$74=1,$B$83*AX8,0)</f>
        <v>0</v>
      </c>
      <c r="DT8" s="4">
        <f t="shared" si="52"/>
        <v>0</v>
      </c>
      <c r="DU8" s="4">
        <f t="shared" si="53"/>
        <v>0</v>
      </c>
      <c r="DV8" s="4"/>
      <c r="DW8" s="4">
        <f t="shared" ref="DW8:DW39" ca="1" si="138">DW7+DY7+DX7-DZ7+EL7-FN7</f>
        <v>6745.6819766819608</v>
      </c>
      <c r="DX8" s="4">
        <f t="shared" ca="1" si="54"/>
        <v>7280.5956162155999</v>
      </c>
      <c r="DY8" s="4">
        <f t="shared" ref="DY8:DY71" ca="1" si="139">IF($AZ8&gt;=3,0,DW8*$N8)</f>
        <v>337.28409883409807</v>
      </c>
      <c r="DZ8" s="4">
        <f t="shared" ca="1" si="55"/>
        <v>0</v>
      </c>
      <c r="EA8" s="4">
        <f t="shared" ca="1" si="56"/>
        <v>0</v>
      </c>
      <c r="EB8" s="4">
        <f t="shared" ca="1" si="57"/>
        <v>7082.9660755160585</v>
      </c>
      <c r="EC8" s="4">
        <f t="shared" si="58"/>
        <v>1</v>
      </c>
      <c r="ED8" s="4"/>
      <c r="EE8" s="4">
        <f t="shared" ref="EE8:EE39" ca="1" si="140">EE7+EG7+EF7-EH7-EL7-FO7</f>
        <v>0</v>
      </c>
      <c r="EF8" s="4">
        <f t="shared" ca="1" si="59"/>
        <v>0</v>
      </c>
      <c r="EG8" s="4">
        <f t="shared" ref="EG8:EG71" ca="1" si="141">IF($AZ8&gt;=3,0,EE8*$N8)</f>
        <v>0</v>
      </c>
      <c r="EH8" s="4">
        <f t="shared" ca="1" si="60"/>
        <v>0</v>
      </c>
      <c r="EI8" s="4">
        <f t="shared" ca="1" si="61"/>
        <v>0</v>
      </c>
      <c r="EJ8" s="4">
        <f t="shared" ca="1" si="62"/>
        <v>0</v>
      </c>
      <c r="EK8" s="4">
        <f t="shared" si="63"/>
        <v>1</v>
      </c>
      <c r="EL8" s="4">
        <f t="shared" si="64"/>
        <v>0</v>
      </c>
      <c r="EM8" s="4"/>
      <c r="EN8" s="4">
        <f t="shared" ref="EN8:EN39" ca="1" si="142">EN7+EP7+EO7-EQ7-FP7</f>
        <v>0</v>
      </c>
      <c r="EO8" s="4">
        <f t="shared" ca="1" si="65"/>
        <v>0</v>
      </c>
      <c r="EP8" s="4">
        <f t="shared" ref="EP8:EP71" ca="1" si="143">IF($AZ8&gt;=3,0,EN8*$N8)</f>
        <v>0</v>
      </c>
      <c r="EQ8" s="4">
        <f t="shared" ca="1" si="66"/>
        <v>0</v>
      </c>
      <c r="ER8" s="4">
        <v>0</v>
      </c>
      <c r="ES8" s="4">
        <f t="shared" ref="ES8:ES71" ca="1" si="144">EN8+EP8</f>
        <v>0</v>
      </c>
      <c r="ET8" s="4"/>
      <c r="EU8" s="4">
        <f t="shared" ref="EU8:EU39" ca="1" si="145">EU7+EW7+EV7-EX7-FQ7</f>
        <v>0</v>
      </c>
      <c r="EV8" s="4">
        <f t="shared" ca="1" si="67"/>
        <v>0</v>
      </c>
      <c r="EW8" s="4">
        <f t="shared" ref="EW8:EW71" ca="1" si="146">IF($AZ8&gt;=3,0,EU8*$N8)</f>
        <v>0</v>
      </c>
      <c r="EX8" s="4">
        <f t="shared" ca="1" si="68"/>
        <v>0</v>
      </c>
      <c r="EY8" s="4">
        <v>0</v>
      </c>
      <c r="EZ8" s="4">
        <f t="shared" ref="EZ8:EZ71" ca="1" si="147">EU8+EW8</f>
        <v>0</v>
      </c>
      <c r="FA8" s="4">
        <f t="shared" ref="FA8:FA39" ca="1" si="148">FA7+FC7-FH7-FR7+AP7</f>
        <v>0</v>
      </c>
      <c r="FB8" s="1">
        <f t="shared" ca="1" si="69"/>
        <v>0</v>
      </c>
      <c r="FC8" s="4">
        <f t="shared" ref="FC8:FC71" ca="1" si="149">EW8*$O8</f>
        <v>0</v>
      </c>
      <c r="FD8" s="4">
        <f t="shared" ref="FD8:FD71" ca="1" si="150">EW8*(1-$O8-$P8)</f>
        <v>0</v>
      </c>
      <c r="FE8" s="4">
        <f t="shared" ca="1" si="70"/>
        <v>0</v>
      </c>
      <c r="FF8" s="4">
        <f t="shared" ca="1" si="71"/>
        <v>0</v>
      </c>
      <c r="FG8" s="4">
        <f t="shared" ca="1" si="72"/>
        <v>0</v>
      </c>
      <c r="FH8" s="17">
        <f t="shared" ca="1" si="73"/>
        <v>0</v>
      </c>
      <c r="FI8" s="4">
        <f t="shared" ca="1" si="74"/>
        <v>0</v>
      </c>
      <c r="FJ8" s="4"/>
      <c r="FK8" s="4">
        <f t="shared" ca="1" si="75"/>
        <v>7082.9660755160585</v>
      </c>
      <c r="FL8" s="4"/>
      <c r="FM8" s="4">
        <v>0</v>
      </c>
      <c r="FN8" s="4">
        <f t="shared" si="76"/>
        <v>0</v>
      </c>
      <c r="FO8" s="4">
        <f t="shared" si="77"/>
        <v>0</v>
      </c>
      <c r="FP8" s="4">
        <f t="shared" si="78"/>
        <v>0</v>
      </c>
      <c r="FQ8" s="4">
        <f t="shared" si="79"/>
        <v>0</v>
      </c>
      <c r="FR8" s="4">
        <f t="shared" si="80"/>
        <v>0</v>
      </c>
      <c r="FS8" s="4">
        <f t="shared" si="81"/>
        <v>0</v>
      </c>
      <c r="FT8" s="4">
        <f t="shared" ca="1" si="82"/>
        <v>7280.5956162155999</v>
      </c>
      <c r="FU8" s="4"/>
      <c r="FV8" s="3">
        <f t="shared" si="83"/>
        <v>0.98039215686274506</v>
      </c>
      <c r="FW8" s="3">
        <f t="shared" si="84"/>
        <v>0.98039215686274506</v>
      </c>
      <c r="FX8" s="4">
        <f t="shared" ref="FX8:FX71" si="151">IF($B$70=1,AW8,AV8)</f>
        <v>2018</v>
      </c>
      <c r="FY8" s="18">
        <f t="shared" si="85"/>
        <v>80.784313725490193</v>
      </c>
      <c r="FZ8" s="18">
        <f t="shared" si="86"/>
        <v>0</v>
      </c>
      <c r="GA8" s="18">
        <f t="shared" si="87"/>
        <v>0</v>
      </c>
      <c r="GB8" s="18">
        <f t="shared" si="88"/>
        <v>0</v>
      </c>
      <c r="GC8" s="18">
        <f t="shared" ca="1" si="89"/>
        <v>0</v>
      </c>
      <c r="GD8" s="18">
        <f t="shared" ca="1" si="90"/>
        <v>0</v>
      </c>
      <c r="GE8" s="18">
        <f t="shared" ca="1" si="91"/>
        <v>0</v>
      </c>
      <c r="GF8" s="18">
        <f t="shared" ca="1" si="92"/>
        <v>0</v>
      </c>
      <c r="GG8" s="18" t="e">
        <f t="shared" ca="1" si="93"/>
        <v>#NAME?</v>
      </c>
      <c r="GH8" s="18" t="e">
        <f t="shared" ca="1" si="94"/>
        <v>#NAME?</v>
      </c>
      <c r="GI8" s="4"/>
      <c r="GJ8" s="4">
        <f t="shared" si="95"/>
        <v>2018</v>
      </c>
      <c r="GK8" s="4">
        <f t="shared" ca="1" si="96"/>
        <v>6.6134137026293729</v>
      </c>
      <c r="GL8" s="4">
        <f t="shared" ca="1" si="97"/>
        <v>0</v>
      </c>
      <c r="GM8" s="4">
        <f t="shared" ca="1" si="98"/>
        <v>0</v>
      </c>
      <c r="GN8" s="4">
        <f t="shared" ca="1" si="99"/>
        <v>0</v>
      </c>
      <c r="GO8" s="4"/>
      <c r="GP8" s="3">
        <f t="shared" ref="GP8:GP71" ca="1" si="152">IF(FK8=0,0.1,EB8/FK8)</f>
        <v>1</v>
      </c>
      <c r="GQ8" s="3">
        <f t="shared" ca="1" si="100"/>
        <v>0</v>
      </c>
      <c r="GR8" s="3">
        <f t="shared" ca="1" si="101"/>
        <v>0</v>
      </c>
      <c r="GS8" s="3">
        <f t="shared" ca="1" si="102"/>
        <v>0</v>
      </c>
      <c r="GT8" s="3">
        <f t="array" aca="1" ref="GT8" ca="1">SUM(GP8:GS8*$GU$6:$GX$6)</f>
        <v>1</v>
      </c>
      <c r="GU8" s="3">
        <f t="shared" ca="1" si="103"/>
        <v>1</v>
      </c>
      <c r="GV8" s="3">
        <f t="shared" ca="1" si="103"/>
        <v>0</v>
      </c>
      <c r="GW8" s="3">
        <f t="shared" ca="1" si="103"/>
        <v>0</v>
      </c>
      <c r="GX8" s="3">
        <f t="shared" ca="1" si="103"/>
        <v>0</v>
      </c>
      <c r="GY8" s="11"/>
      <c r="GZ8" s="27">
        <v>50</v>
      </c>
      <c r="HA8" s="29">
        <v>2.5000000000000001E-2</v>
      </c>
      <c r="HB8" s="29">
        <f t="shared" ref="HB8:HB58" ca="1" si="153">OFFSET(HC8,0,$HB$3-1)</f>
        <v>6.3100000000000003E-2</v>
      </c>
      <c r="HC8" s="29">
        <v>6.3100000000000003E-2</v>
      </c>
      <c r="HD8" s="29">
        <v>6.0999999999999999E-2</v>
      </c>
      <c r="HE8" s="29">
        <v>4.4200000000000003E-2</v>
      </c>
      <c r="HG8" s="27">
        <v>48</v>
      </c>
      <c r="HH8" s="30">
        <v>2.3799999999999998E-2</v>
      </c>
      <c r="HJ8">
        <f>HJ7+1</f>
        <v>2011</v>
      </c>
      <c r="HK8" s="27">
        <v>22450</v>
      </c>
      <c r="HL8" s="27">
        <v>5000</v>
      </c>
      <c r="HM8" s="27"/>
      <c r="HO8">
        <f t="shared" si="104"/>
        <v>45916</v>
      </c>
      <c r="HP8" s="4">
        <f t="shared" si="105"/>
        <v>45916</v>
      </c>
      <c r="HQ8" s="3">
        <f t="shared" ca="1" si="106"/>
        <v>0.15</v>
      </c>
      <c r="HR8" s="4">
        <f t="shared" ref="HR8:HR13" ca="1" si="154">HQ8*(HP8-HP7)+HR7</f>
        <v>6887.4</v>
      </c>
      <c r="HS8" s="4"/>
      <c r="HT8" t="s">
        <v>171</v>
      </c>
      <c r="HU8" s="4"/>
      <c r="HV8" s="4">
        <f>HQ47</f>
        <v>11635</v>
      </c>
      <c r="HW8" s="4">
        <f>HV8*(1+$B$15)^($B$7-$HP$26)</f>
        <v>11635</v>
      </c>
      <c r="IB8" t="s">
        <v>386</v>
      </c>
      <c r="ID8" s="4" t="e">
        <f ca="1">interpolate(ID7,$HP$7:$HP$13,$HR$7:$HR$13,7)</f>
        <v>#NAME?</v>
      </c>
      <c r="IE8" s="90" t="e">
        <f ca="1">interpolate(IE7,$HP$7:$HP$13,$HR$7:$HR$13,7)</f>
        <v>#NAME?</v>
      </c>
    </row>
    <row r="9" spans="1:240" x14ac:dyDescent="0.25">
      <c r="A9" t="s">
        <v>164</v>
      </c>
      <c r="B9" s="62">
        <f>Inputs_Summary!AJ6</f>
        <v>1</v>
      </c>
      <c r="D9">
        <f t="shared" si="107"/>
        <v>2019</v>
      </c>
      <c r="E9">
        <f t="shared" si="108"/>
        <v>24</v>
      </c>
      <c r="F9" s="8"/>
      <c r="G9" s="8"/>
      <c r="H9" s="9"/>
      <c r="I9" s="9"/>
      <c r="J9" s="92"/>
      <c r="K9" s="91"/>
      <c r="L9" s="91"/>
      <c r="N9" s="93">
        <f t="shared" si="109"/>
        <v>0.05</v>
      </c>
      <c r="O9" s="23">
        <f t="shared" si="110"/>
        <v>0.4</v>
      </c>
      <c r="P9" s="23">
        <f t="shared" si="111"/>
        <v>0.1</v>
      </c>
      <c r="Q9" s="4">
        <f t="shared" si="0"/>
        <v>0</v>
      </c>
      <c r="R9" s="4">
        <f t="shared" si="112"/>
        <v>0</v>
      </c>
      <c r="S9" s="4">
        <f t="shared" si="113"/>
        <v>0</v>
      </c>
      <c r="T9" s="4">
        <f t="shared" ca="1" si="114"/>
        <v>0</v>
      </c>
      <c r="V9" s="18" t="e">
        <f t="shared" ca="1" si="1"/>
        <v>#NAME?</v>
      </c>
      <c r="W9" s="18" t="e">
        <f t="shared" ca="1" si="2"/>
        <v>#NAME?</v>
      </c>
      <c r="X9" s="18">
        <f t="shared" si="3"/>
        <v>0</v>
      </c>
      <c r="Y9" s="18">
        <f t="shared" ca="1" si="4"/>
        <v>10.574687441565628</v>
      </c>
      <c r="Z9" s="18">
        <f t="shared" ca="1" si="5"/>
        <v>0</v>
      </c>
      <c r="AA9" s="18">
        <f t="shared" ca="1" si="6"/>
        <v>3.1226303596501284</v>
      </c>
      <c r="AB9" s="18">
        <f t="shared" ca="1" si="7"/>
        <v>0</v>
      </c>
      <c r="AC9" s="18">
        <f t="shared" ca="1" si="8"/>
        <v>13.805807085478335</v>
      </c>
      <c r="AD9" s="18">
        <f t="shared" ca="1" si="9"/>
        <v>0</v>
      </c>
      <c r="AE9" s="18">
        <f t="shared" ca="1" si="10"/>
        <v>0</v>
      </c>
      <c r="AF9" s="18">
        <f t="shared" ca="1" si="11"/>
        <v>0</v>
      </c>
      <c r="AG9" s="18">
        <f t="shared" ca="1" si="12"/>
        <v>13.805807085478335</v>
      </c>
      <c r="AI9">
        <f>Person2!E9</f>
        <v>24</v>
      </c>
      <c r="AJ9">
        <f>Person2!AZ9</f>
        <v>1</v>
      </c>
      <c r="AK9">
        <f>IF($AZ9&lt;&gt;3,Person2!FM9,0)</f>
        <v>0</v>
      </c>
      <c r="AL9" s="4">
        <f ca="1">IF($AZ9&lt;&gt;3,Person2!FN9+Person2!FT9,0)</f>
        <v>0</v>
      </c>
      <c r="AM9">
        <f>IF($AZ9&lt;&gt;3,Person2!FO9,0)</f>
        <v>0</v>
      </c>
      <c r="AN9">
        <f>IF($AZ9&lt;&gt;3,Person2!FP9,0)</f>
        <v>0</v>
      </c>
      <c r="AO9">
        <f>IF($AZ9&lt;&gt;3,Person2!FQ9,0)</f>
        <v>0</v>
      </c>
      <c r="AP9">
        <f>IF($AZ9&lt;&gt;3,Person2!FR9,0)</f>
        <v>0</v>
      </c>
      <c r="AQ9">
        <v>0</v>
      </c>
      <c r="AR9" s="4">
        <f>Person2!FS9</f>
        <v>0</v>
      </c>
      <c r="AS9" s="4">
        <v>0</v>
      </c>
      <c r="AT9" s="4">
        <v>0</v>
      </c>
      <c r="AV9">
        <f t="shared" si="115"/>
        <v>2019</v>
      </c>
      <c r="AW9">
        <f t="shared" si="116"/>
        <v>24</v>
      </c>
      <c r="AX9">
        <f t="shared" si="117"/>
        <v>1.0404</v>
      </c>
      <c r="AY9">
        <f t="shared" si="118"/>
        <v>0.96116878123798544</v>
      </c>
      <c r="AZ9">
        <f t="shared" si="119"/>
        <v>1</v>
      </c>
      <c r="BB9" s="4">
        <f t="shared" si="13"/>
        <v>84872</v>
      </c>
      <c r="BC9">
        <f t="shared" si="14"/>
        <v>0</v>
      </c>
      <c r="BD9" s="4">
        <f t="shared" si="15"/>
        <v>0</v>
      </c>
      <c r="BE9" s="4">
        <f t="shared" si="120"/>
        <v>0</v>
      </c>
      <c r="BF9" s="4">
        <f t="shared" si="121"/>
        <v>0</v>
      </c>
      <c r="BG9" s="4">
        <f t="shared" si="122"/>
        <v>0</v>
      </c>
      <c r="BH9" s="4">
        <f t="shared" si="16"/>
        <v>0</v>
      </c>
      <c r="BI9" s="4">
        <f t="shared" si="123"/>
        <v>84872</v>
      </c>
      <c r="BJ9" s="4"/>
      <c r="BK9" s="4">
        <f t="shared" si="17"/>
        <v>52020</v>
      </c>
      <c r="BL9" s="4">
        <f t="shared" si="124"/>
        <v>0</v>
      </c>
      <c r="BM9" s="4">
        <f t="shared" si="125"/>
        <v>52020</v>
      </c>
      <c r="BN9" s="4">
        <v>18601.310559615125</v>
      </c>
      <c r="BO9" s="4">
        <f t="shared" si="126"/>
        <v>70621.310559615129</v>
      </c>
      <c r="BP9" s="4">
        <f t="shared" si="127"/>
        <v>14250.689440384871</v>
      </c>
      <c r="BQ9" s="4"/>
      <c r="BR9" s="4">
        <v>0</v>
      </c>
      <c r="BS9" s="4">
        <f t="shared" ca="1" si="18"/>
        <v>11001.904814204878</v>
      </c>
      <c r="BT9" s="4">
        <f t="shared" ca="1" si="19"/>
        <v>17000</v>
      </c>
      <c r="BU9" s="4">
        <f t="shared" si="20"/>
        <v>0</v>
      </c>
      <c r="BV9" s="4">
        <f t="shared" si="21"/>
        <v>1</v>
      </c>
      <c r="BW9" s="4">
        <f t="shared" ca="1" si="22"/>
        <v>0</v>
      </c>
      <c r="BX9" s="4">
        <f t="shared" ca="1" si="23"/>
        <v>0</v>
      </c>
      <c r="BY9" s="4">
        <f t="shared" ca="1" si="24"/>
        <v>0</v>
      </c>
      <c r="BZ9" s="4">
        <f t="shared" ca="1" si="25"/>
        <v>0</v>
      </c>
      <c r="CA9" s="4">
        <f t="shared" ca="1" si="26"/>
        <v>0</v>
      </c>
      <c r="CB9" s="4">
        <f ca="1">MAX(0,BW9+BX9+BY9-BU9)*$BV9</f>
        <v>0</v>
      </c>
      <c r="CC9" s="4"/>
      <c r="CD9" s="4">
        <f t="shared" ca="1" si="27"/>
        <v>84872</v>
      </c>
      <c r="CE9" s="4">
        <f t="shared" ca="1" si="128"/>
        <v>70332.537509795133</v>
      </c>
      <c r="CF9" s="16">
        <f t="shared" si="28"/>
        <v>0</v>
      </c>
      <c r="CG9" s="4">
        <f t="shared" si="129"/>
        <v>3537.5576759999999</v>
      </c>
      <c r="CH9" s="4" t="e">
        <f t="shared" ca="1" si="29"/>
        <v>#NAME?</v>
      </c>
      <c r="CI9" s="4" t="e">
        <f t="shared" ca="1" si="30"/>
        <v>#NAME?</v>
      </c>
      <c r="CJ9" s="4" t="e">
        <f t="shared" ca="1" si="130"/>
        <v>#NAME?</v>
      </c>
      <c r="CK9" s="4" t="e">
        <f t="shared" ca="1" si="31"/>
        <v>#NAME?</v>
      </c>
      <c r="CL9" s="4" t="e">
        <f t="shared" ca="1" si="32"/>
        <v>#NAME?</v>
      </c>
      <c r="CM9" s="16"/>
      <c r="CN9" s="4">
        <f t="shared" si="33"/>
        <v>0</v>
      </c>
      <c r="CO9" s="4">
        <f t="shared" si="131"/>
        <v>0</v>
      </c>
      <c r="CP9" s="4">
        <f t="shared" ca="1" si="34"/>
        <v>14363.561691731658</v>
      </c>
      <c r="CQ9" s="4"/>
      <c r="CR9" s="4">
        <f t="shared" ca="1" si="35"/>
        <v>14250.689440384871</v>
      </c>
      <c r="CS9" s="4">
        <f t="shared" ca="1" si="36"/>
        <v>23690</v>
      </c>
      <c r="CT9" s="4">
        <f t="shared" ca="1" si="37"/>
        <v>15276.96</v>
      </c>
      <c r="CU9" s="4"/>
      <c r="CV9" s="4">
        <f t="shared" ca="1" si="132"/>
        <v>14250.689440384871</v>
      </c>
      <c r="CW9" s="4">
        <f t="shared" ca="1" si="38"/>
        <v>0</v>
      </c>
      <c r="CX9" s="4">
        <f t="shared" ca="1" si="39"/>
        <v>0</v>
      </c>
      <c r="CY9" s="4">
        <f t="shared" ca="1" si="133"/>
        <v>14250.689440384871</v>
      </c>
      <c r="CZ9" s="4"/>
      <c r="DA9" s="4">
        <f t="shared" ca="1" si="40"/>
        <v>14250.689440384871</v>
      </c>
      <c r="DB9" s="4">
        <f t="shared" si="41"/>
        <v>5304.5</v>
      </c>
      <c r="DC9" s="4">
        <f t="shared" ca="1" si="134"/>
        <v>0</v>
      </c>
      <c r="DD9" s="4">
        <f t="shared" ca="1" si="42"/>
        <v>11001.904814204878</v>
      </c>
      <c r="DE9" s="4">
        <f t="shared" ca="1" si="43"/>
        <v>11001.904814204878</v>
      </c>
      <c r="DF9" s="4">
        <f t="shared" ca="1" si="135"/>
        <v>0</v>
      </c>
      <c r="DG9" s="4">
        <f t="shared" ca="1" si="136"/>
        <v>5500.9524071024389</v>
      </c>
      <c r="DH9" s="4">
        <f t="shared" ca="1" si="44"/>
        <v>5500.9524071024389</v>
      </c>
      <c r="DI9" s="4"/>
      <c r="DJ9" s="4">
        <f t="shared" ca="1" si="45"/>
        <v>3248.7846261799932</v>
      </c>
      <c r="DK9" s="4">
        <f t="shared" ca="1" si="46"/>
        <v>6000</v>
      </c>
      <c r="DL9" s="4">
        <f t="shared" ca="1" si="47"/>
        <v>6000</v>
      </c>
      <c r="DM9" s="4">
        <f t="shared" ca="1" si="48"/>
        <v>17000</v>
      </c>
      <c r="DN9" s="4">
        <f t="shared" ca="1" si="49"/>
        <v>3248.7846261799932</v>
      </c>
      <c r="DO9" s="4">
        <f t="shared" ca="1" si="50"/>
        <v>13751.215373820007</v>
      </c>
      <c r="DP9" s="4"/>
      <c r="DQ9" s="4">
        <f t="shared" ca="1" si="51"/>
        <v>0</v>
      </c>
      <c r="DR9" s="4"/>
      <c r="DS9" s="4">
        <f t="shared" si="137"/>
        <v>0</v>
      </c>
      <c r="DT9" s="4">
        <f t="shared" si="52"/>
        <v>0</v>
      </c>
      <c r="DU9" s="4">
        <f t="shared" si="53"/>
        <v>0</v>
      </c>
      <c r="DV9" s="4"/>
      <c r="DW9" s="4">
        <f t="shared" ca="1" si="138"/>
        <v>14363.561691731658</v>
      </c>
      <c r="DX9" s="4">
        <f t="shared" ca="1" si="54"/>
        <v>5500.9524071024389</v>
      </c>
      <c r="DY9" s="4">
        <f t="shared" ca="1" si="139"/>
        <v>718.17808458658294</v>
      </c>
      <c r="DZ9" s="4">
        <f t="shared" ca="1" si="55"/>
        <v>0</v>
      </c>
      <c r="EA9" s="4">
        <f t="shared" ca="1" si="56"/>
        <v>0</v>
      </c>
      <c r="EB9" s="4">
        <f t="shared" ca="1" si="57"/>
        <v>15081.739776318242</v>
      </c>
      <c r="EC9" s="4">
        <f t="shared" si="58"/>
        <v>1</v>
      </c>
      <c r="ED9" s="4"/>
      <c r="EE9" s="4">
        <f t="shared" ca="1" si="140"/>
        <v>0</v>
      </c>
      <c r="EF9" s="4">
        <f t="shared" ca="1" si="59"/>
        <v>0</v>
      </c>
      <c r="EG9" s="4">
        <f t="shared" ca="1" si="141"/>
        <v>0</v>
      </c>
      <c r="EH9" s="4">
        <f t="shared" ca="1" si="60"/>
        <v>0</v>
      </c>
      <c r="EI9" s="4">
        <f t="shared" ca="1" si="61"/>
        <v>0</v>
      </c>
      <c r="EJ9" s="4">
        <f t="shared" ca="1" si="62"/>
        <v>0</v>
      </c>
      <c r="EK9" s="4">
        <f t="shared" si="63"/>
        <v>1</v>
      </c>
      <c r="EL9" s="4">
        <f t="shared" si="64"/>
        <v>0</v>
      </c>
      <c r="EM9" s="4"/>
      <c r="EN9" s="4">
        <f t="shared" ca="1" si="142"/>
        <v>0</v>
      </c>
      <c r="EO9" s="4">
        <f t="shared" ca="1" si="65"/>
        <v>3248.7846261799932</v>
      </c>
      <c r="EP9" s="4">
        <f t="shared" ca="1" si="143"/>
        <v>0</v>
      </c>
      <c r="EQ9" s="4">
        <f t="shared" ca="1" si="66"/>
        <v>0</v>
      </c>
      <c r="ER9" s="4">
        <v>0</v>
      </c>
      <c r="ES9" s="4">
        <f t="shared" ca="1" si="144"/>
        <v>0</v>
      </c>
      <c r="ET9" s="4"/>
      <c r="EU9" s="4">
        <f t="shared" ca="1" si="145"/>
        <v>0</v>
      </c>
      <c r="EV9" s="4">
        <f t="shared" ca="1" si="67"/>
        <v>0</v>
      </c>
      <c r="EW9" s="4">
        <f t="shared" ca="1" si="146"/>
        <v>0</v>
      </c>
      <c r="EX9" s="4">
        <f t="shared" ca="1" si="68"/>
        <v>0</v>
      </c>
      <c r="EY9" s="4">
        <v>0</v>
      </c>
      <c r="EZ9" s="4">
        <f t="shared" ca="1" si="147"/>
        <v>0</v>
      </c>
      <c r="FA9" s="4">
        <f t="shared" ca="1" si="148"/>
        <v>0</v>
      </c>
      <c r="FB9" s="1">
        <f t="shared" ca="1" si="69"/>
        <v>0</v>
      </c>
      <c r="FC9" s="4">
        <f t="shared" ca="1" si="149"/>
        <v>0</v>
      </c>
      <c r="FD9" s="4">
        <f t="shared" ca="1" si="150"/>
        <v>0</v>
      </c>
      <c r="FE9" s="4">
        <f t="shared" ca="1" si="70"/>
        <v>0</v>
      </c>
      <c r="FF9" s="4">
        <f t="shared" ca="1" si="71"/>
        <v>0</v>
      </c>
      <c r="FG9" s="4">
        <f t="shared" ca="1" si="72"/>
        <v>0</v>
      </c>
      <c r="FH9" s="17">
        <f t="shared" ca="1" si="73"/>
        <v>0</v>
      </c>
      <c r="FI9" s="4">
        <f t="shared" ca="1" si="74"/>
        <v>0</v>
      </c>
      <c r="FJ9" s="4"/>
      <c r="FK9" s="4">
        <f t="shared" ca="1" si="75"/>
        <v>15081.739776318242</v>
      </c>
      <c r="FL9" s="4"/>
      <c r="FM9" s="4">
        <v>0</v>
      </c>
      <c r="FN9" s="4">
        <f t="shared" si="76"/>
        <v>0</v>
      </c>
      <c r="FO9" s="4">
        <f t="shared" si="77"/>
        <v>0</v>
      </c>
      <c r="FP9" s="4">
        <f t="shared" si="78"/>
        <v>0</v>
      </c>
      <c r="FQ9" s="4">
        <f t="shared" si="79"/>
        <v>0</v>
      </c>
      <c r="FR9" s="4">
        <f t="shared" si="80"/>
        <v>0</v>
      </c>
      <c r="FS9" s="4">
        <f t="shared" si="81"/>
        <v>0</v>
      </c>
      <c r="FT9" s="4">
        <f t="shared" ca="1" si="82"/>
        <v>5500.9524071024389</v>
      </c>
      <c r="FU9" s="4"/>
      <c r="FV9" s="3">
        <f t="shared" si="83"/>
        <v>0.96116878123798544</v>
      </c>
      <c r="FW9" s="3">
        <f t="shared" si="84"/>
        <v>0.96116878123798544</v>
      </c>
      <c r="FX9" s="4">
        <f t="shared" si="151"/>
        <v>2019</v>
      </c>
      <c r="FY9" s="18">
        <f t="shared" si="85"/>
        <v>81.576316801230305</v>
      </c>
      <c r="FZ9" s="18">
        <f t="shared" si="86"/>
        <v>0</v>
      </c>
      <c r="GA9" s="18">
        <f t="shared" si="87"/>
        <v>0</v>
      </c>
      <c r="GB9" s="18">
        <f t="shared" si="88"/>
        <v>0</v>
      </c>
      <c r="GC9" s="18">
        <f t="shared" ca="1" si="89"/>
        <v>0</v>
      </c>
      <c r="GD9" s="18">
        <f t="shared" ca="1" si="90"/>
        <v>0</v>
      </c>
      <c r="GE9" s="18">
        <f t="shared" ca="1" si="91"/>
        <v>0</v>
      </c>
      <c r="GF9" s="18">
        <f t="shared" ca="1" si="92"/>
        <v>0</v>
      </c>
      <c r="GG9" s="18" t="e">
        <f t="shared" ca="1" si="93"/>
        <v>#NAME?</v>
      </c>
      <c r="GH9" s="18" t="e">
        <f t="shared" ca="1" si="94"/>
        <v>#NAME?</v>
      </c>
      <c r="GI9" s="4"/>
      <c r="GJ9" s="4">
        <f t="shared" si="95"/>
        <v>2019</v>
      </c>
      <c r="GK9" s="4">
        <f t="shared" ca="1" si="96"/>
        <v>13.805807085478335</v>
      </c>
      <c r="GL9" s="4">
        <f t="shared" ca="1" si="97"/>
        <v>0</v>
      </c>
      <c r="GM9" s="4">
        <f t="shared" ca="1" si="98"/>
        <v>0</v>
      </c>
      <c r="GN9" s="4">
        <f t="shared" ca="1" si="99"/>
        <v>0</v>
      </c>
      <c r="GO9" s="4"/>
      <c r="GP9" s="3">
        <f t="shared" ca="1" si="152"/>
        <v>1</v>
      </c>
      <c r="GQ9" s="3">
        <f t="shared" ca="1" si="100"/>
        <v>0</v>
      </c>
      <c r="GR9" s="3">
        <f t="shared" ca="1" si="101"/>
        <v>0</v>
      </c>
      <c r="GS9" s="3">
        <f t="shared" ca="1" si="102"/>
        <v>0</v>
      </c>
      <c r="GT9" s="3">
        <f t="array" aca="1" ref="GT9" ca="1">SUM(GP9:GS9*$GU$6:$GX$6)</f>
        <v>1</v>
      </c>
      <c r="GU9" s="3">
        <f t="shared" ref="GU9:GU72" ca="1" si="155">IF($GT9=0,0.25,MIN(1,MAX(0,GP9*GU$6/$GT9)))</f>
        <v>1</v>
      </c>
      <c r="GV9" s="3">
        <f t="shared" ref="GV9:GV72" ca="1" si="156">IF($GT9=0,0.25,MIN(1,MAX(0,GQ9*GV$6/$GT9)))</f>
        <v>0</v>
      </c>
      <c r="GW9" s="3">
        <f t="shared" ref="GW9:GW72" ca="1" si="157">IF($GT9=0,0.25,MIN(1,MAX(0,GR9*GW$6/$GT9)))</f>
        <v>0</v>
      </c>
      <c r="GX9" s="3">
        <f t="shared" ref="GX9:GX72" ca="1" si="158">IF($GT9=0,0.25,MIN(1,MAX(0,GS9*GX$6/$GT9)))</f>
        <v>0</v>
      </c>
      <c r="GY9" s="11"/>
      <c r="GZ9" s="27">
        <v>51</v>
      </c>
      <c r="HA9" s="29">
        <v>2.5600000000000001E-2</v>
      </c>
      <c r="HB9" s="29">
        <f t="shared" ca="1" si="153"/>
        <v>6.3500000000000001E-2</v>
      </c>
      <c r="HC9" s="29">
        <v>6.3500000000000001E-2</v>
      </c>
      <c r="HD9" s="29">
        <v>6.0999999999999999E-2</v>
      </c>
      <c r="HE9" s="29">
        <v>4.4600000000000001E-2</v>
      </c>
      <c r="HG9" s="27">
        <v>49</v>
      </c>
      <c r="HH9" s="30">
        <v>2.4300000000000002E-2</v>
      </c>
      <c r="HJ9">
        <f t="shared" ref="HJ9:HJ72" si="159">HJ8+1</f>
        <v>2012</v>
      </c>
      <c r="HK9" s="27">
        <v>22970</v>
      </c>
      <c r="HL9" s="27">
        <v>5000</v>
      </c>
      <c r="HM9" s="27"/>
      <c r="HO9">
        <f t="shared" si="104"/>
        <v>91831</v>
      </c>
      <c r="HP9" s="4">
        <f t="shared" si="105"/>
        <v>91831</v>
      </c>
      <c r="HQ9" s="3">
        <f t="shared" ca="1" si="106"/>
        <v>0.20499999999999999</v>
      </c>
      <c r="HR9" s="4">
        <f t="shared" ca="1" si="154"/>
        <v>16299.974999999999</v>
      </c>
      <c r="HS9" s="4"/>
      <c r="HT9" t="s">
        <v>172</v>
      </c>
      <c r="HU9" s="4"/>
      <c r="HV9" s="4">
        <f>HQ48</f>
        <v>7225</v>
      </c>
      <c r="HW9" s="4">
        <f>HV9*(1+$B$15)^($B$7-$HP$26)</f>
        <v>7225</v>
      </c>
      <c r="IB9" t="s">
        <v>387</v>
      </c>
      <c r="ID9" s="4">
        <f ca="1">$HV$7*$HV$8</f>
        <v>1745.25</v>
      </c>
      <c r="IE9" s="90">
        <f ca="1">$HV$7*$HV$8</f>
        <v>1745.25</v>
      </c>
    </row>
    <row r="10" spans="1:240" x14ac:dyDescent="0.25">
      <c r="A10" t="s">
        <v>144</v>
      </c>
      <c r="B10" s="62" t="str">
        <f>Inputs_Summary!AJ7</f>
        <v>22 year old</v>
      </c>
      <c r="D10">
        <f t="shared" si="107"/>
        <v>2020</v>
      </c>
      <c r="E10">
        <f t="shared" si="108"/>
        <v>25</v>
      </c>
      <c r="F10" s="8"/>
      <c r="G10" s="8"/>
      <c r="H10" s="9"/>
      <c r="I10" s="9"/>
      <c r="J10" s="92"/>
      <c r="K10" s="91"/>
      <c r="L10" s="91"/>
      <c r="N10" s="93">
        <f t="shared" si="109"/>
        <v>0.05</v>
      </c>
      <c r="O10" s="23">
        <f t="shared" si="110"/>
        <v>0.4</v>
      </c>
      <c r="P10" s="23">
        <f t="shared" si="111"/>
        <v>0.1</v>
      </c>
      <c r="Q10" s="4">
        <f t="shared" si="0"/>
        <v>0</v>
      </c>
      <c r="R10" s="4">
        <f t="shared" si="112"/>
        <v>0</v>
      </c>
      <c r="S10" s="4">
        <f t="shared" si="113"/>
        <v>0</v>
      </c>
      <c r="T10" s="4">
        <f t="shared" ca="1" si="114"/>
        <v>0</v>
      </c>
      <c r="V10" s="18" t="e">
        <f t="shared" ca="1" si="1"/>
        <v>#NAME?</v>
      </c>
      <c r="W10" s="18" t="e">
        <f t="shared" ca="1" si="2"/>
        <v>#NAME?</v>
      </c>
      <c r="X10" s="18">
        <f t="shared" si="3"/>
        <v>0</v>
      </c>
      <c r="Y10" s="18">
        <f t="shared" ca="1" si="4"/>
        <v>9.6791899420283318</v>
      </c>
      <c r="Z10" s="18">
        <f t="shared" ca="1" si="5"/>
        <v>0</v>
      </c>
      <c r="AA10" s="18">
        <f t="shared" ca="1" si="6"/>
        <v>4.3008397463302321</v>
      </c>
      <c r="AB10" s="18">
        <f t="shared" ca="1" si="7"/>
        <v>0</v>
      </c>
      <c r="AC10" s="18">
        <f t="shared" ca="1" si="8"/>
        <v>19.395530549544183</v>
      </c>
      <c r="AD10" s="18">
        <f t="shared" ca="1" si="9"/>
        <v>0</v>
      </c>
      <c r="AE10" s="18">
        <f t="shared" ca="1" si="10"/>
        <v>3.0614023133824788</v>
      </c>
      <c r="AF10" s="18">
        <f t="shared" ca="1" si="11"/>
        <v>0</v>
      </c>
      <c r="AG10" s="18">
        <f t="shared" ca="1" si="12"/>
        <v>22.45693286292666</v>
      </c>
      <c r="AI10">
        <f>Person2!E10</f>
        <v>25</v>
      </c>
      <c r="AJ10">
        <f>Person2!AZ10</f>
        <v>1</v>
      </c>
      <c r="AK10">
        <f>IF($AZ10&lt;&gt;3,Person2!FM10,0)</f>
        <v>0</v>
      </c>
      <c r="AL10" s="4">
        <f ca="1">IF($AZ10&lt;&gt;3,Person2!FN10+Person2!FT10,0)</f>
        <v>0</v>
      </c>
      <c r="AM10">
        <f>IF($AZ10&lt;&gt;3,Person2!FO10,0)</f>
        <v>0</v>
      </c>
      <c r="AN10">
        <f>IF($AZ10&lt;&gt;3,Person2!FP10,0)</f>
        <v>0</v>
      </c>
      <c r="AO10">
        <f>IF($AZ10&lt;&gt;3,Person2!FQ10,0)</f>
        <v>0</v>
      </c>
      <c r="AP10">
        <f>IF($AZ10&lt;&gt;3,Person2!FR10,0)</f>
        <v>0</v>
      </c>
      <c r="AQ10">
        <v>0</v>
      </c>
      <c r="AR10" s="4">
        <f>Person2!FS10</f>
        <v>0</v>
      </c>
      <c r="AS10" s="4">
        <v>0</v>
      </c>
      <c r="AT10" s="4">
        <v>0</v>
      </c>
      <c r="AV10">
        <f t="shared" si="115"/>
        <v>2020</v>
      </c>
      <c r="AW10">
        <f t="shared" si="116"/>
        <v>25</v>
      </c>
      <c r="AX10">
        <f t="shared" si="117"/>
        <v>1.0612079999999999</v>
      </c>
      <c r="AY10">
        <f t="shared" si="118"/>
        <v>0.94232233454704462</v>
      </c>
      <c r="AZ10">
        <f t="shared" si="119"/>
        <v>1</v>
      </c>
      <c r="BB10" s="4">
        <f t="shared" si="13"/>
        <v>87418.16</v>
      </c>
      <c r="BC10">
        <f t="shared" si="14"/>
        <v>0</v>
      </c>
      <c r="BD10" s="4">
        <f t="shared" si="15"/>
        <v>0</v>
      </c>
      <c r="BE10" s="4">
        <f t="shared" si="120"/>
        <v>0</v>
      </c>
      <c r="BF10" s="4">
        <f t="shared" si="121"/>
        <v>0</v>
      </c>
      <c r="BG10" s="4">
        <f t="shared" si="122"/>
        <v>0</v>
      </c>
      <c r="BH10" s="4">
        <f t="shared" si="16"/>
        <v>0</v>
      </c>
      <c r="BI10" s="4">
        <f t="shared" si="123"/>
        <v>87418.16</v>
      </c>
      <c r="BJ10" s="4"/>
      <c r="BK10" s="4">
        <f t="shared" si="17"/>
        <v>53060.399999999994</v>
      </c>
      <c r="BL10" s="4">
        <f t="shared" si="124"/>
        <v>0</v>
      </c>
      <c r="BM10" s="4">
        <f t="shared" si="125"/>
        <v>53060.399999999994</v>
      </c>
      <c r="BN10" s="4">
        <v>19522.040654476401</v>
      </c>
      <c r="BO10" s="4">
        <f t="shared" si="126"/>
        <v>72582.440654476392</v>
      </c>
      <c r="BP10" s="4">
        <f t="shared" si="127"/>
        <v>14835.719345523612</v>
      </c>
      <c r="BQ10" s="4"/>
      <c r="BR10" s="4">
        <v>0</v>
      </c>
      <c r="BS10" s="4">
        <f t="shared" ca="1" si="18"/>
        <v>10271.6338</v>
      </c>
      <c r="BT10" s="4">
        <f t="shared" ca="1" si="19"/>
        <v>19751.215373820007</v>
      </c>
      <c r="BU10" s="4">
        <f t="shared" si="20"/>
        <v>0</v>
      </c>
      <c r="BV10" s="4">
        <f t="shared" si="21"/>
        <v>1</v>
      </c>
      <c r="BW10" s="4">
        <f t="shared" ca="1" si="22"/>
        <v>0</v>
      </c>
      <c r="BX10" s="4">
        <f t="shared" ca="1" si="23"/>
        <v>0</v>
      </c>
      <c r="BY10" s="4">
        <f t="shared" ca="1" si="24"/>
        <v>0</v>
      </c>
      <c r="BZ10" s="4">
        <f t="shared" ca="1" si="25"/>
        <v>0</v>
      </c>
      <c r="CA10" s="4">
        <f t="shared" ca="1" si="26"/>
        <v>0</v>
      </c>
      <c r="CB10" s="4">
        <f ca="1">MAX(0,BW10+BX10+BY10-BU10)*$BV10</f>
        <v>0</v>
      </c>
      <c r="CC10" s="4"/>
      <c r="CD10" s="4">
        <f t="shared" ca="1" si="27"/>
        <v>87418.16</v>
      </c>
      <c r="CE10" s="4">
        <f t="shared" ca="1" si="128"/>
        <v>73538.217370480008</v>
      </c>
      <c r="CF10" s="16">
        <f t="shared" si="28"/>
        <v>0</v>
      </c>
      <c r="CG10" s="4">
        <f t="shared" si="129"/>
        <v>3608.30882952</v>
      </c>
      <c r="CH10" s="4" t="e">
        <f t="shared" ca="1" si="29"/>
        <v>#NAME?</v>
      </c>
      <c r="CI10" s="4" t="e">
        <f t="shared" ca="1" si="30"/>
        <v>#NAME?</v>
      </c>
      <c r="CJ10" s="4" t="e">
        <f t="shared" ca="1" si="130"/>
        <v>#NAME?</v>
      </c>
      <c r="CK10" s="4" t="e">
        <f t="shared" ca="1" si="31"/>
        <v>#NAME?</v>
      </c>
      <c r="CL10" s="4" t="e">
        <f t="shared" ca="1" si="32"/>
        <v>#NAME?</v>
      </c>
      <c r="CM10" s="16"/>
      <c r="CN10" s="4">
        <f t="shared" si="33"/>
        <v>0</v>
      </c>
      <c r="CO10" s="4">
        <f t="shared" si="131"/>
        <v>0</v>
      </c>
      <c r="CP10" s="4">
        <f t="shared" ca="1" si="34"/>
        <v>23831.476809600674</v>
      </c>
      <c r="CQ10" s="4"/>
      <c r="CR10" s="4">
        <f t="shared" ca="1" si="35"/>
        <v>14835.719345523612</v>
      </c>
      <c r="CS10" s="4">
        <f t="shared" ca="1" si="36"/>
        <v>24170</v>
      </c>
      <c r="CT10" s="4">
        <f t="shared" ca="1" si="37"/>
        <v>15735.2688</v>
      </c>
      <c r="CU10" s="4"/>
      <c r="CV10" s="4">
        <f t="shared" ca="1" si="132"/>
        <v>14835.719345523612</v>
      </c>
      <c r="CW10" s="4">
        <f t="shared" ca="1" si="38"/>
        <v>0</v>
      </c>
      <c r="CX10" s="4">
        <f t="shared" ca="1" si="39"/>
        <v>0</v>
      </c>
      <c r="CY10" s="4">
        <f t="shared" ca="1" si="133"/>
        <v>14835.719345523612</v>
      </c>
      <c r="CZ10" s="4"/>
      <c r="DA10" s="4">
        <f t="shared" ca="1" si="40"/>
        <v>14835.719345523612</v>
      </c>
      <c r="DB10" s="4">
        <f t="shared" si="41"/>
        <v>5463.6350000000002</v>
      </c>
      <c r="DC10" s="4">
        <f t="shared" ca="1" si="134"/>
        <v>0</v>
      </c>
      <c r="DD10" s="4">
        <f t="shared" ca="1" si="42"/>
        <v>10271.6338</v>
      </c>
      <c r="DE10" s="4">
        <f t="shared" ca="1" si="43"/>
        <v>10271.6338</v>
      </c>
      <c r="DF10" s="4">
        <f t="shared" ca="1" si="135"/>
        <v>0</v>
      </c>
      <c r="DG10" s="4">
        <f t="shared" ca="1" si="136"/>
        <v>5135.8168999999998</v>
      </c>
      <c r="DH10" s="4">
        <f t="shared" ca="1" si="44"/>
        <v>5135.8168999999998</v>
      </c>
      <c r="DI10" s="4"/>
      <c r="DJ10" s="4">
        <f t="shared" ca="1" si="45"/>
        <v>4564.0855455236124</v>
      </c>
      <c r="DK10" s="4">
        <f t="shared" ca="1" si="46"/>
        <v>6000</v>
      </c>
      <c r="DL10" s="4">
        <f t="shared" ca="1" si="47"/>
        <v>6000</v>
      </c>
      <c r="DM10" s="4">
        <f t="shared" ca="1" si="48"/>
        <v>19751.215373820007</v>
      </c>
      <c r="DN10" s="4">
        <f t="shared" ca="1" si="49"/>
        <v>4564.0855455236124</v>
      </c>
      <c r="DO10" s="4">
        <f t="shared" ca="1" si="50"/>
        <v>15187.129828296394</v>
      </c>
      <c r="DP10" s="4"/>
      <c r="DQ10" s="4">
        <f t="shared" ca="1" si="51"/>
        <v>0</v>
      </c>
      <c r="DR10" s="4"/>
      <c r="DS10" s="4">
        <f t="shared" si="137"/>
        <v>0</v>
      </c>
      <c r="DT10" s="4">
        <f t="shared" si="52"/>
        <v>0</v>
      </c>
      <c r="DU10" s="4">
        <f t="shared" si="53"/>
        <v>0</v>
      </c>
      <c r="DV10" s="4"/>
      <c r="DW10" s="4">
        <f t="shared" ca="1" si="138"/>
        <v>20582.692183420681</v>
      </c>
      <c r="DX10" s="4">
        <f t="shared" ca="1" si="54"/>
        <v>5135.8168999999998</v>
      </c>
      <c r="DY10" s="4">
        <f t="shared" ca="1" si="139"/>
        <v>1029.1346091710341</v>
      </c>
      <c r="DZ10" s="4">
        <f t="shared" ca="1" si="55"/>
        <v>0</v>
      </c>
      <c r="EA10" s="4">
        <f t="shared" ca="1" si="56"/>
        <v>0</v>
      </c>
      <c r="EB10" s="4">
        <f t="shared" ca="1" si="57"/>
        <v>21611.826792591713</v>
      </c>
      <c r="EC10" s="4">
        <f t="shared" si="58"/>
        <v>1</v>
      </c>
      <c r="ED10" s="4"/>
      <c r="EE10" s="4">
        <f t="shared" ca="1" si="140"/>
        <v>0</v>
      </c>
      <c r="EF10" s="4">
        <f t="shared" ca="1" si="59"/>
        <v>0</v>
      </c>
      <c r="EG10" s="4">
        <f t="shared" ca="1" si="141"/>
        <v>0</v>
      </c>
      <c r="EH10" s="4">
        <f t="shared" ca="1" si="60"/>
        <v>0</v>
      </c>
      <c r="EI10" s="4">
        <f t="shared" ca="1" si="61"/>
        <v>0</v>
      </c>
      <c r="EJ10" s="4">
        <f t="shared" ca="1" si="62"/>
        <v>0</v>
      </c>
      <c r="EK10" s="4">
        <f t="shared" si="63"/>
        <v>1</v>
      </c>
      <c r="EL10" s="4">
        <f t="shared" si="64"/>
        <v>0</v>
      </c>
      <c r="EM10" s="4"/>
      <c r="EN10" s="4">
        <f t="shared" ca="1" si="142"/>
        <v>3248.7846261799932</v>
      </c>
      <c r="EO10" s="4">
        <f t="shared" ca="1" si="65"/>
        <v>4564.0855455236124</v>
      </c>
      <c r="EP10" s="4">
        <f t="shared" ca="1" si="143"/>
        <v>162.43923130899967</v>
      </c>
      <c r="EQ10" s="4">
        <f t="shared" ca="1" si="66"/>
        <v>0</v>
      </c>
      <c r="ER10" s="4">
        <v>0</v>
      </c>
      <c r="ES10" s="4">
        <f t="shared" ca="1" si="144"/>
        <v>3411.223857488993</v>
      </c>
      <c r="ET10" s="4"/>
      <c r="EU10" s="4">
        <f t="shared" ca="1" si="145"/>
        <v>0</v>
      </c>
      <c r="EV10" s="4">
        <f t="shared" ca="1" si="67"/>
        <v>0</v>
      </c>
      <c r="EW10" s="4">
        <f t="shared" ca="1" si="146"/>
        <v>0</v>
      </c>
      <c r="EX10" s="4">
        <f t="shared" ca="1" si="68"/>
        <v>0</v>
      </c>
      <c r="EY10" s="4">
        <v>0</v>
      </c>
      <c r="EZ10" s="4">
        <f t="shared" ca="1" si="147"/>
        <v>0</v>
      </c>
      <c r="FA10" s="4">
        <f t="shared" ca="1" si="148"/>
        <v>0</v>
      </c>
      <c r="FB10" s="1">
        <f t="shared" ca="1" si="69"/>
        <v>0</v>
      </c>
      <c r="FC10" s="4">
        <f t="shared" ca="1" si="149"/>
        <v>0</v>
      </c>
      <c r="FD10" s="4">
        <f t="shared" ca="1" si="150"/>
        <v>0</v>
      </c>
      <c r="FE10" s="4">
        <f t="shared" ca="1" si="70"/>
        <v>0</v>
      </c>
      <c r="FF10" s="4">
        <f t="shared" ca="1" si="71"/>
        <v>0</v>
      </c>
      <c r="FG10" s="4">
        <f t="shared" ca="1" si="72"/>
        <v>0</v>
      </c>
      <c r="FH10" s="17">
        <f t="shared" ca="1" si="73"/>
        <v>0</v>
      </c>
      <c r="FI10" s="4">
        <f t="shared" ca="1" si="74"/>
        <v>0</v>
      </c>
      <c r="FJ10" s="4"/>
      <c r="FK10" s="4">
        <f t="shared" ca="1" si="75"/>
        <v>25023.050650080706</v>
      </c>
      <c r="FL10" s="4"/>
      <c r="FM10" s="4">
        <v>0</v>
      </c>
      <c r="FN10" s="4">
        <f t="shared" si="76"/>
        <v>0</v>
      </c>
      <c r="FO10" s="4">
        <f t="shared" si="77"/>
        <v>0</v>
      </c>
      <c r="FP10" s="4">
        <f t="shared" si="78"/>
        <v>0</v>
      </c>
      <c r="FQ10" s="4">
        <f t="shared" si="79"/>
        <v>0</v>
      </c>
      <c r="FR10" s="4">
        <f t="shared" si="80"/>
        <v>0</v>
      </c>
      <c r="FS10" s="4">
        <f t="shared" si="81"/>
        <v>0</v>
      </c>
      <c r="FT10" s="4">
        <f t="shared" ca="1" si="82"/>
        <v>5135.8168999999998</v>
      </c>
      <c r="FU10" s="4"/>
      <c r="FV10" s="3">
        <f t="shared" si="83"/>
        <v>0.94232233454704462</v>
      </c>
      <c r="FW10" s="3">
        <f t="shared" si="84"/>
        <v>0.94232233454704462</v>
      </c>
      <c r="FX10" s="4">
        <f t="shared" si="151"/>
        <v>2020</v>
      </c>
      <c r="FY10" s="18">
        <f t="shared" si="85"/>
        <v>82.376084613007066</v>
      </c>
      <c r="FZ10" s="18">
        <f t="shared" si="86"/>
        <v>0</v>
      </c>
      <c r="GA10" s="18">
        <f t="shared" si="87"/>
        <v>0</v>
      </c>
      <c r="GB10" s="18">
        <f t="shared" si="88"/>
        <v>0</v>
      </c>
      <c r="GC10" s="18">
        <f t="shared" ca="1" si="89"/>
        <v>0</v>
      </c>
      <c r="GD10" s="18">
        <f t="shared" ca="1" si="90"/>
        <v>0</v>
      </c>
      <c r="GE10" s="18">
        <f t="shared" ca="1" si="91"/>
        <v>0</v>
      </c>
      <c r="GF10" s="18">
        <f t="shared" ca="1" si="92"/>
        <v>0</v>
      </c>
      <c r="GG10" s="18" t="e">
        <f t="shared" ca="1" si="93"/>
        <v>#NAME?</v>
      </c>
      <c r="GH10" s="18" t="e">
        <f t="shared" ca="1" si="94"/>
        <v>#NAME?</v>
      </c>
      <c r="GI10" s="4"/>
      <c r="GJ10" s="4">
        <f t="shared" si="95"/>
        <v>2020</v>
      </c>
      <c r="GK10" s="4">
        <f t="shared" ca="1" si="96"/>
        <v>19.395530549544183</v>
      </c>
      <c r="GL10" s="4">
        <f t="shared" ca="1" si="97"/>
        <v>0</v>
      </c>
      <c r="GM10" s="4">
        <f t="shared" ca="1" si="98"/>
        <v>3.0614023133824788</v>
      </c>
      <c r="GN10" s="4">
        <f t="shared" ca="1" si="99"/>
        <v>0</v>
      </c>
      <c r="GO10" s="4"/>
      <c r="GP10" s="3">
        <f t="shared" ca="1" si="152"/>
        <v>0.86367673929165822</v>
      </c>
      <c r="GQ10" s="3">
        <f t="shared" ca="1" si="100"/>
        <v>0</v>
      </c>
      <c r="GR10" s="3">
        <f t="shared" ca="1" si="101"/>
        <v>0</v>
      </c>
      <c r="GS10" s="3">
        <f t="shared" ca="1" si="102"/>
        <v>0.13632326070834178</v>
      </c>
      <c r="GT10" s="3">
        <f t="array" aca="1" ref="GT10" ca="1">SUM(GP10:GS10*$GU$6:$GX$6)</f>
        <v>1</v>
      </c>
      <c r="GU10" s="3">
        <f t="shared" ca="1" si="155"/>
        <v>0.86367673929165822</v>
      </c>
      <c r="GV10" s="3">
        <f t="shared" ca="1" si="156"/>
        <v>0</v>
      </c>
      <c r="GW10" s="3">
        <f t="shared" ca="1" si="157"/>
        <v>0</v>
      </c>
      <c r="GX10" s="3">
        <f t="shared" ca="1" si="158"/>
        <v>0.13632326070834178</v>
      </c>
      <c r="GY10" s="11"/>
      <c r="GZ10" s="27">
        <v>52</v>
      </c>
      <c r="HA10" s="29">
        <v>2.63E-2</v>
      </c>
      <c r="HB10" s="29">
        <f t="shared" ca="1" si="153"/>
        <v>6.4000000000000001E-2</v>
      </c>
      <c r="HC10" s="29">
        <v>6.4000000000000001E-2</v>
      </c>
      <c r="HD10" s="29">
        <v>6.0999999999999999E-2</v>
      </c>
      <c r="HE10" s="29">
        <v>4.4999999999999998E-2</v>
      </c>
      <c r="HG10" s="27">
        <v>50</v>
      </c>
      <c r="HH10" s="30">
        <v>2.5000000000000001E-2</v>
      </c>
      <c r="HJ10">
        <f t="shared" si="159"/>
        <v>2013</v>
      </c>
      <c r="HK10" s="27">
        <v>23820</v>
      </c>
      <c r="HL10" s="27">
        <v>5500</v>
      </c>
      <c r="HM10" s="27"/>
      <c r="HO10">
        <f t="shared" si="104"/>
        <v>142363</v>
      </c>
      <c r="HP10" s="4">
        <f t="shared" si="105"/>
        <v>142363</v>
      </c>
      <c r="HQ10" s="3">
        <f t="shared" ca="1" si="106"/>
        <v>0.26</v>
      </c>
      <c r="HR10" s="4">
        <f t="shared" ca="1" si="154"/>
        <v>29438.294999999998</v>
      </c>
      <c r="HS10" s="4"/>
      <c r="IB10" t="s">
        <v>388</v>
      </c>
      <c r="ID10" s="4" t="e">
        <f ca="1">ID8-ID9</f>
        <v>#NAME?</v>
      </c>
      <c r="IE10" s="90" t="e">
        <f ca="1">IE8-IE9</f>
        <v>#NAME?</v>
      </c>
    </row>
    <row r="11" spans="1:240" x14ac:dyDescent="0.25">
      <c r="A11" t="s">
        <v>78</v>
      </c>
      <c r="B11" s="62">
        <f>Inputs_Summary!AJ8</f>
        <v>22</v>
      </c>
      <c r="D11">
        <f t="shared" si="107"/>
        <v>2021</v>
      </c>
      <c r="E11">
        <f t="shared" si="108"/>
        <v>26</v>
      </c>
      <c r="F11" s="8"/>
      <c r="G11" s="8"/>
      <c r="H11" s="9"/>
      <c r="I11" s="9"/>
      <c r="J11" s="92"/>
      <c r="K11" s="91"/>
      <c r="L11" s="91"/>
      <c r="N11" s="93">
        <f t="shared" si="109"/>
        <v>0.05</v>
      </c>
      <c r="O11" s="23">
        <f t="shared" si="110"/>
        <v>0.4</v>
      </c>
      <c r="P11" s="23">
        <f t="shared" si="111"/>
        <v>0.1</v>
      </c>
      <c r="Q11" s="4">
        <f t="shared" si="0"/>
        <v>0</v>
      </c>
      <c r="R11" s="4">
        <f t="shared" si="112"/>
        <v>0</v>
      </c>
      <c r="S11" s="4">
        <f t="shared" si="113"/>
        <v>0</v>
      </c>
      <c r="T11" s="4">
        <f t="shared" ca="1" si="114"/>
        <v>0</v>
      </c>
      <c r="V11" s="18" t="e">
        <f t="shared" ca="1" si="1"/>
        <v>#NAME?</v>
      </c>
      <c r="W11" s="18" t="e">
        <f t="shared" ca="1" si="2"/>
        <v>#NAME?</v>
      </c>
      <c r="X11" s="18">
        <f t="shared" si="3"/>
        <v>0</v>
      </c>
      <c r="Y11" s="18">
        <f t="shared" ca="1" si="4"/>
        <v>9.7740839610678218</v>
      </c>
      <c r="Z11" s="18">
        <f t="shared" ca="1" si="5"/>
        <v>0</v>
      </c>
      <c r="AA11" s="18">
        <f t="shared" ca="1" si="6"/>
        <v>4.7961764306079608</v>
      </c>
      <c r="AB11" s="18">
        <f t="shared" ca="1" si="7"/>
        <v>0</v>
      </c>
      <c r="AC11" s="18">
        <f t="shared" ca="1" si="8"/>
        <v>24.710688282387796</v>
      </c>
      <c r="AD11" s="18">
        <f t="shared" ca="1" si="9"/>
        <v>0</v>
      </c>
      <c r="AE11" s="18">
        <f t="shared" ca="1" si="10"/>
        <v>7.3679531131194445</v>
      </c>
      <c r="AF11" s="18">
        <f t="shared" ca="1" si="11"/>
        <v>0</v>
      </c>
      <c r="AG11" s="18">
        <f t="shared" ca="1" si="12"/>
        <v>32.07864139550724</v>
      </c>
      <c r="AI11">
        <f>Person2!E11</f>
        <v>26</v>
      </c>
      <c r="AJ11">
        <f>Person2!AZ11</f>
        <v>1</v>
      </c>
      <c r="AK11">
        <f>IF($AZ11&lt;&gt;3,Person2!FM11,0)</f>
        <v>0</v>
      </c>
      <c r="AL11" s="4">
        <f ca="1">IF($AZ11&lt;&gt;3,Person2!FN11+Person2!FT11,0)</f>
        <v>0</v>
      </c>
      <c r="AM11">
        <f>IF($AZ11&lt;&gt;3,Person2!FO11,0)</f>
        <v>0</v>
      </c>
      <c r="AN11">
        <f>IF($AZ11&lt;&gt;3,Person2!FP11,0)</f>
        <v>0</v>
      </c>
      <c r="AO11">
        <f>IF($AZ11&lt;&gt;3,Person2!FQ11,0)</f>
        <v>0</v>
      </c>
      <c r="AP11">
        <f>IF($AZ11&lt;&gt;3,Person2!FR11,0)</f>
        <v>0</v>
      </c>
      <c r="AQ11">
        <v>0</v>
      </c>
      <c r="AR11" s="4">
        <f>Person2!FS11</f>
        <v>0</v>
      </c>
      <c r="AS11" s="4">
        <v>0</v>
      </c>
      <c r="AT11" s="4">
        <v>0</v>
      </c>
      <c r="AV11">
        <f t="shared" si="115"/>
        <v>2021</v>
      </c>
      <c r="AW11">
        <f t="shared" si="116"/>
        <v>26</v>
      </c>
      <c r="AX11">
        <f t="shared" si="117"/>
        <v>1.08243216</v>
      </c>
      <c r="AY11">
        <f t="shared" si="118"/>
        <v>0.9238454260265142</v>
      </c>
      <c r="AZ11">
        <f t="shared" si="119"/>
        <v>1</v>
      </c>
      <c r="BB11" s="4">
        <f t="shared" si="13"/>
        <v>90040.704799999992</v>
      </c>
      <c r="BC11">
        <f t="shared" si="14"/>
        <v>0</v>
      </c>
      <c r="BD11" s="4">
        <f t="shared" si="15"/>
        <v>0</v>
      </c>
      <c r="BE11" s="4">
        <f t="shared" si="120"/>
        <v>0</v>
      </c>
      <c r="BF11" s="4">
        <f t="shared" si="121"/>
        <v>0</v>
      </c>
      <c r="BG11" s="4">
        <f t="shared" si="122"/>
        <v>0</v>
      </c>
      <c r="BH11" s="4">
        <f t="shared" si="16"/>
        <v>0</v>
      </c>
      <c r="BI11" s="4">
        <f t="shared" si="123"/>
        <v>90040.704799999992</v>
      </c>
      <c r="BJ11" s="4"/>
      <c r="BK11" s="4">
        <f t="shared" si="17"/>
        <v>54121.608</v>
      </c>
      <c r="BL11" s="4">
        <f t="shared" si="124"/>
        <v>0</v>
      </c>
      <c r="BM11" s="4">
        <f t="shared" si="125"/>
        <v>54121.608</v>
      </c>
      <c r="BN11" s="4">
        <v>20147.778372475928</v>
      </c>
      <c r="BO11" s="4">
        <f t="shared" si="126"/>
        <v>74269.386372475929</v>
      </c>
      <c r="BP11" s="4">
        <f t="shared" si="127"/>
        <v>15771.318427524064</v>
      </c>
      <c r="BQ11" s="4"/>
      <c r="BR11" s="4">
        <v>0</v>
      </c>
      <c r="BS11" s="4">
        <f t="shared" ca="1" si="18"/>
        <v>10579.782813999998</v>
      </c>
      <c r="BT11" s="4">
        <f t="shared" ca="1" si="19"/>
        <v>21187.129828296394</v>
      </c>
      <c r="BU11" s="4">
        <f t="shared" si="20"/>
        <v>0</v>
      </c>
      <c r="BV11" s="4">
        <f t="shared" si="21"/>
        <v>1</v>
      </c>
      <c r="BW11" s="4">
        <f t="shared" ca="1" si="22"/>
        <v>0</v>
      </c>
      <c r="BX11" s="4">
        <f t="shared" ca="1" si="23"/>
        <v>0</v>
      </c>
      <c r="BY11" s="4">
        <f t="shared" ca="1" si="24"/>
        <v>0</v>
      </c>
      <c r="BZ11" s="4">
        <f t="shared" ca="1" si="25"/>
        <v>0</v>
      </c>
      <c r="CA11" s="4">
        <f t="shared" ca="1" si="26"/>
        <v>0</v>
      </c>
      <c r="CB11" s="4">
        <f ca="1">MAX(0,BW11+BX11+BY11-BU11)*$BV11</f>
        <v>0</v>
      </c>
      <c r="CC11" s="4"/>
      <c r="CD11" s="4">
        <f t="shared" ca="1" si="27"/>
        <v>90040.704799999992</v>
      </c>
      <c r="CE11" s="4">
        <f t="shared" ca="1" si="128"/>
        <v>75780.446979889603</v>
      </c>
      <c r="CF11" s="16">
        <f t="shared" si="28"/>
        <v>0</v>
      </c>
      <c r="CG11" s="4">
        <f t="shared" si="129"/>
        <v>3680.4750061104</v>
      </c>
      <c r="CH11" s="4" t="e">
        <f t="shared" ca="1" si="29"/>
        <v>#NAME?</v>
      </c>
      <c r="CI11" s="4" t="e">
        <f t="shared" ca="1" si="30"/>
        <v>#NAME?</v>
      </c>
      <c r="CJ11" s="4" t="e">
        <f t="shared" ca="1" si="130"/>
        <v>#NAME?</v>
      </c>
      <c r="CK11" s="4" t="e">
        <f t="shared" ca="1" si="31"/>
        <v>#NAME?</v>
      </c>
      <c r="CL11" s="4" t="e">
        <f t="shared" ca="1" si="32"/>
        <v>#NAME?</v>
      </c>
      <c r="CM11" s="16"/>
      <c r="CN11" s="4">
        <f t="shared" si="33"/>
        <v>0</v>
      </c>
      <c r="CO11" s="4">
        <f t="shared" si="131"/>
        <v>0</v>
      </c>
      <c r="CP11" s="4">
        <f t="shared" ca="1" si="34"/>
        <v>34722.953095604316</v>
      </c>
      <c r="CQ11" s="4"/>
      <c r="CR11" s="4">
        <f t="shared" ca="1" si="35"/>
        <v>15771.318427524064</v>
      </c>
      <c r="CS11" s="4">
        <f t="shared" ca="1" si="36"/>
        <v>24650</v>
      </c>
      <c r="CT11" s="4">
        <f t="shared" ca="1" si="37"/>
        <v>16207.326863999999</v>
      </c>
      <c r="CU11" s="4"/>
      <c r="CV11" s="4">
        <f t="shared" ca="1" si="132"/>
        <v>15771.318427524064</v>
      </c>
      <c r="CW11" s="4">
        <f t="shared" ca="1" si="38"/>
        <v>0</v>
      </c>
      <c r="CX11" s="4">
        <f t="shared" ca="1" si="39"/>
        <v>0</v>
      </c>
      <c r="CY11" s="4">
        <f t="shared" ca="1" si="133"/>
        <v>15771.318427524064</v>
      </c>
      <c r="CZ11" s="4"/>
      <c r="DA11" s="4">
        <f t="shared" ca="1" si="40"/>
        <v>15771.318427524064</v>
      </c>
      <c r="DB11" s="4">
        <f t="shared" si="41"/>
        <v>5627.5440499999995</v>
      </c>
      <c r="DC11" s="4">
        <f t="shared" ca="1" si="134"/>
        <v>0</v>
      </c>
      <c r="DD11" s="4">
        <f t="shared" ca="1" si="42"/>
        <v>10579.782813999998</v>
      </c>
      <c r="DE11" s="4">
        <f t="shared" ca="1" si="43"/>
        <v>10579.782813999998</v>
      </c>
      <c r="DF11" s="4">
        <f t="shared" ca="1" si="135"/>
        <v>0</v>
      </c>
      <c r="DG11" s="4">
        <f t="shared" ca="1" si="136"/>
        <v>5289.8914069999992</v>
      </c>
      <c r="DH11" s="4">
        <f t="shared" ca="1" si="44"/>
        <v>5289.8914069999992</v>
      </c>
      <c r="DI11" s="4"/>
      <c r="DJ11" s="4">
        <f t="shared" ca="1" si="45"/>
        <v>5191.5356135240654</v>
      </c>
      <c r="DK11" s="4">
        <f t="shared" ca="1" si="46"/>
        <v>6000</v>
      </c>
      <c r="DL11" s="4">
        <f t="shared" ca="1" si="47"/>
        <v>6000</v>
      </c>
      <c r="DM11" s="4">
        <f t="shared" ca="1" si="48"/>
        <v>21187.129828296394</v>
      </c>
      <c r="DN11" s="4">
        <f t="shared" ca="1" si="49"/>
        <v>5191.5356135240654</v>
      </c>
      <c r="DO11" s="4">
        <f t="shared" ca="1" si="50"/>
        <v>15995.594214772329</v>
      </c>
      <c r="DP11" s="4"/>
      <c r="DQ11" s="4">
        <f t="shared" ca="1" si="51"/>
        <v>0</v>
      </c>
      <c r="DR11" s="4"/>
      <c r="DS11" s="4">
        <f t="shared" si="137"/>
        <v>0</v>
      </c>
      <c r="DT11" s="4">
        <f t="shared" si="52"/>
        <v>0</v>
      </c>
      <c r="DU11" s="4">
        <f t="shared" si="53"/>
        <v>0</v>
      </c>
      <c r="DV11" s="4"/>
      <c r="DW11" s="4">
        <f t="shared" ca="1" si="138"/>
        <v>26747.643692591715</v>
      </c>
      <c r="DX11" s="4">
        <f t="shared" ca="1" si="54"/>
        <v>5289.8914069999992</v>
      </c>
      <c r="DY11" s="4">
        <f t="shared" ca="1" si="139"/>
        <v>1337.3821846295859</v>
      </c>
      <c r="DZ11" s="4">
        <f t="shared" ca="1" si="55"/>
        <v>0</v>
      </c>
      <c r="EA11" s="4">
        <f t="shared" ca="1" si="56"/>
        <v>0</v>
      </c>
      <c r="EB11" s="4">
        <f t="shared" ca="1" si="57"/>
        <v>28085.025877221302</v>
      </c>
      <c r="EC11" s="4">
        <f t="shared" si="58"/>
        <v>1</v>
      </c>
      <c r="ED11" s="4"/>
      <c r="EE11" s="4">
        <f t="shared" ca="1" si="140"/>
        <v>0</v>
      </c>
      <c r="EF11" s="4">
        <f t="shared" ca="1" si="59"/>
        <v>0</v>
      </c>
      <c r="EG11" s="4">
        <f t="shared" ca="1" si="141"/>
        <v>0</v>
      </c>
      <c r="EH11" s="4">
        <f t="shared" ca="1" si="60"/>
        <v>0</v>
      </c>
      <c r="EI11" s="4">
        <f t="shared" ca="1" si="61"/>
        <v>0</v>
      </c>
      <c r="EJ11" s="4">
        <f t="shared" ca="1" si="62"/>
        <v>0</v>
      </c>
      <c r="EK11" s="4">
        <f t="shared" si="63"/>
        <v>1</v>
      </c>
      <c r="EL11" s="4">
        <f t="shared" si="64"/>
        <v>0</v>
      </c>
      <c r="EM11" s="4"/>
      <c r="EN11" s="4">
        <f t="shared" ca="1" si="142"/>
        <v>7975.3094030126049</v>
      </c>
      <c r="EO11" s="4">
        <f t="shared" ca="1" si="65"/>
        <v>5191.5356135240654</v>
      </c>
      <c r="EP11" s="4">
        <f t="shared" ca="1" si="143"/>
        <v>398.76547015063028</v>
      </c>
      <c r="EQ11" s="4">
        <f t="shared" ca="1" si="66"/>
        <v>0</v>
      </c>
      <c r="ER11" s="4">
        <v>0</v>
      </c>
      <c r="ES11" s="4">
        <f t="shared" ca="1" si="144"/>
        <v>8374.0748731632357</v>
      </c>
      <c r="ET11" s="4"/>
      <c r="EU11" s="4">
        <f t="shared" ca="1" si="145"/>
        <v>0</v>
      </c>
      <c r="EV11" s="4">
        <f t="shared" ca="1" si="67"/>
        <v>0</v>
      </c>
      <c r="EW11" s="4">
        <f t="shared" ca="1" si="146"/>
        <v>0</v>
      </c>
      <c r="EX11" s="4">
        <f t="shared" ca="1" si="68"/>
        <v>0</v>
      </c>
      <c r="EY11" s="4">
        <v>0</v>
      </c>
      <c r="EZ11" s="4">
        <f t="shared" ca="1" si="147"/>
        <v>0</v>
      </c>
      <c r="FA11" s="4">
        <f t="shared" ca="1" si="148"/>
        <v>0</v>
      </c>
      <c r="FB11" s="1">
        <f t="shared" ca="1" si="69"/>
        <v>0</v>
      </c>
      <c r="FC11" s="4">
        <f t="shared" ca="1" si="149"/>
        <v>0</v>
      </c>
      <c r="FD11" s="4">
        <f t="shared" ca="1" si="150"/>
        <v>0</v>
      </c>
      <c r="FE11" s="4">
        <f t="shared" ca="1" si="70"/>
        <v>0</v>
      </c>
      <c r="FF11" s="4">
        <f t="shared" ca="1" si="71"/>
        <v>0</v>
      </c>
      <c r="FG11" s="4">
        <f t="shared" ca="1" si="72"/>
        <v>0</v>
      </c>
      <c r="FH11" s="17">
        <f t="shared" ca="1" si="73"/>
        <v>0</v>
      </c>
      <c r="FI11" s="4">
        <f t="shared" ca="1" si="74"/>
        <v>0</v>
      </c>
      <c r="FJ11" s="4"/>
      <c r="FK11" s="4">
        <f t="shared" ca="1" si="75"/>
        <v>36459.100750384539</v>
      </c>
      <c r="FL11" s="4"/>
      <c r="FM11" s="4">
        <v>0</v>
      </c>
      <c r="FN11" s="4">
        <f t="shared" si="76"/>
        <v>0</v>
      </c>
      <c r="FO11" s="4">
        <f t="shared" si="77"/>
        <v>0</v>
      </c>
      <c r="FP11" s="4">
        <f t="shared" si="78"/>
        <v>0</v>
      </c>
      <c r="FQ11" s="4">
        <f t="shared" si="79"/>
        <v>0</v>
      </c>
      <c r="FR11" s="4">
        <f t="shared" si="80"/>
        <v>0</v>
      </c>
      <c r="FS11" s="4">
        <f t="shared" si="81"/>
        <v>0</v>
      </c>
      <c r="FT11" s="4">
        <f t="shared" ca="1" si="82"/>
        <v>5289.8914069999992</v>
      </c>
      <c r="FU11" s="4"/>
      <c r="FV11" s="3">
        <f t="shared" si="83"/>
        <v>0.9238454260265142</v>
      </c>
      <c r="FW11" s="3">
        <f t="shared" si="84"/>
        <v>0.9238454260265142</v>
      </c>
      <c r="FX11" s="4">
        <f t="shared" si="151"/>
        <v>2021</v>
      </c>
      <c r="FY11" s="18">
        <f t="shared" si="85"/>
        <v>83.183693285683589</v>
      </c>
      <c r="FZ11" s="18">
        <f t="shared" si="86"/>
        <v>0</v>
      </c>
      <c r="GA11" s="18">
        <f t="shared" si="87"/>
        <v>0</v>
      </c>
      <c r="GB11" s="18">
        <f t="shared" si="88"/>
        <v>0</v>
      </c>
      <c r="GC11" s="18">
        <f t="shared" ca="1" si="89"/>
        <v>0</v>
      </c>
      <c r="GD11" s="18">
        <f t="shared" ca="1" si="90"/>
        <v>0</v>
      </c>
      <c r="GE11" s="18">
        <f t="shared" ca="1" si="91"/>
        <v>0</v>
      </c>
      <c r="GF11" s="18">
        <f t="shared" ca="1" si="92"/>
        <v>0</v>
      </c>
      <c r="GG11" s="18" t="e">
        <f t="shared" ca="1" si="93"/>
        <v>#NAME?</v>
      </c>
      <c r="GH11" s="18" t="e">
        <f t="shared" ca="1" si="94"/>
        <v>#NAME?</v>
      </c>
      <c r="GI11" s="4"/>
      <c r="GJ11" s="4">
        <f t="shared" si="95"/>
        <v>2021</v>
      </c>
      <c r="GK11" s="4">
        <f t="shared" ca="1" si="96"/>
        <v>24.710688282387796</v>
      </c>
      <c r="GL11" s="4">
        <f t="shared" ca="1" si="97"/>
        <v>0</v>
      </c>
      <c r="GM11" s="4">
        <f t="shared" ca="1" si="98"/>
        <v>7.3679531131194445</v>
      </c>
      <c r="GN11" s="4">
        <f t="shared" ca="1" si="99"/>
        <v>0</v>
      </c>
      <c r="GO11" s="4"/>
      <c r="GP11" s="3">
        <f t="shared" ca="1" si="152"/>
        <v>0.77031592384859038</v>
      </c>
      <c r="GQ11" s="3">
        <f t="shared" ca="1" si="100"/>
        <v>0</v>
      </c>
      <c r="GR11" s="3">
        <f t="shared" ca="1" si="101"/>
        <v>0</v>
      </c>
      <c r="GS11" s="3">
        <f t="shared" ca="1" si="102"/>
        <v>0.22968407615140954</v>
      </c>
      <c r="GT11" s="3">
        <f t="array" aca="1" ref="GT11" ca="1">SUM(GP11:GS11*$GU$6:$GX$6)</f>
        <v>0.99999999999999989</v>
      </c>
      <c r="GU11" s="3">
        <f t="shared" ca="1" si="155"/>
        <v>0.77031592384859049</v>
      </c>
      <c r="GV11" s="3">
        <f t="shared" ca="1" si="156"/>
        <v>0</v>
      </c>
      <c r="GW11" s="3">
        <f t="shared" ca="1" si="157"/>
        <v>0</v>
      </c>
      <c r="GX11" s="3">
        <f t="shared" ca="1" si="158"/>
        <v>0.22968407615140957</v>
      </c>
      <c r="GY11" s="11"/>
      <c r="GZ11" s="27">
        <v>53</v>
      </c>
      <c r="HA11" s="29">
        <v>2.7E-2</v>
      </c>
      <c r="HB11" s="29">
        <f t="shared" ca="1" si="153"/>
        <v>6.4500000000000002E-2</v>
      </c>
      <c r="HC11" s="29">
        <v>6.4500000000000002E-2</v>
      </c>
      <c r="HD11" s="29">
        <v>6.0999999999999999E-2</v>
      </c>
      <c r="HE11" s="29">
        <v>4.5499999999999999E-2</v>
      </c>
      <c r="HG11" s="27">
        <v>51</v>
      </c>
      <c r="HH11" s="30">
        <v>2.5600000000000001E-2</v>
      </c>
      <c r="HJ11">
        <f t="shared" si="159"/>
        <v>2014</v>
      </c>
      <c r="HK11" s="27">
        <v>24270</v>
      </c>
      <c r="HL11" s="27">
        <v>5500</v>
      </c>
      <c r="HM11" s="27"/>
      <c r="HO11">
        <f t="shared" si="104"/>
        <v>202800</v>
      </c>
      <c r="HP11" s="4">
        <f t="shared" si="105"/>
        <v>202800</v>
      </c>
      <c r="HQ11" s="3">
        <f t="shared" ca="1" si="106"/>
        <v>0.28999999999999998</v>
      </c>
      <c r="HR11" s="4">
        <f t="shared" ca="1" si="154"/>
        <v>46965.024999999994</v>
      </c>
      <c r="HS11" s="4"/>
      <c r="HU11" s="4"/>
      <c r="HV11" s="4"/>
      <c r="ID11" s="4"/>
      <c r="IE11" s="90"/>
    </row>
    <row r="12" spans="1:240" x14ac:dyDescent="0.25">
      <c r="A12" t="s">
        <v>14</v>
      </c>
      <c r="B12" s="62">
        <f>Inputs_Summary!AJ9</f>
        <v>60</v>
      </c>
      <c r="D12">
        <f t="shared" si="107"/>
        <v>2022</v>
      </c>
      <c r="E12">
        <f t="shared" si="108"/>
        <v>27</v>
      </c>
      <c r="F12" s="8"/>
      <c r="G12" s="8"/>
      <c r="H12" s="9"/>
      <c r="I12" s="9"/>
      <c r="J12" s="92"/>
      <c r="K12" s="91"/>
      <c r="L12" s="91"/>
      <c r="N12" s="93">
        <f t="shared" si="109"/>
        <v>0.05</v>
      </c>
      <c r="O12" s="23">
        <f t="shared" si="110"/>
        <v>0.4</v>
      </c>
      <c r="P12" s="23">
        <f t="shared" si="111"/>
        <v>0.1</v>
      </c>
      <c r="Q12" s="4">
        <f t="shared" si="0"/>
        <v>0</v>
      </c>
      <c r="R12" s="4">
        <f t="shared" si="112"/>
        <v>0</v>
      </c>
      <c r="S12" s="4">
        <f t="shared" si="113"/>
        <v>0</v>
      </c>
      <c r="T12" s="4">
        <f t="shared" ca="1" si="114"/>
        <v>0</v>
      </c>
      <c r="V12" s="18" t="e">
        <f t="shared" ca="1" si="1"/>
        <v>#NAME?</v>
      </c>
      <c r="W12" s="18" t="e">
        <f t="shared" ca="1" si="2"/>
        <v>#NAME?</v>
      </c>
      <c r="X12" s="18">
        <f t="shared" si="3"/>
        <v>0</v>
      </c>
      <c r="Y12" s="18">
        <f t="shared" ca="1" si="4"/>
        <v>9.8699083136273114</v>
      </c>
      <c r="Z12" s="18">
        <f t="shared" ca="1" si="5"/>
        <v>0</v>
      </c>
      <c r="AA12" s="18">
        <f t="shared" ca="1" si="6"/>
        <v>5.2963693568884302</v>
      </c>
      <c r="AB12" s="18">
        <f t="shared" ca="1" si="7"/>
        <v>0</v>
      </c>
      <c r="AC12" s="18">
        <f t="shared" ca="1" si="8"/>
        <v>30.228690859844217</v>
      </c>
      <c r="AD12" s="18">
        <f t="shared" ca="1" si="9"/>
        <v>0</v>
      </c>
      <c r="AE12" s="18">
        <f t="shared" ca="1" si="10"/>
        <v>12.28679137194449</v>
      </c>
      <c r="AF12" s="18">
        <f t="shared" ca="1" si="11"/>
        <v>0</v>
      </c>
      <c r="AG12" s="18">
        <f t="shared" ca="1" si="12"/>
        <v>42.51548223178871</v>
      </c>
      <c r="AI12">
        <f>Person2!E12</f>
        <v>27</v>
      </c>
      <c r="AJ12">
        <f>Person2!AZ12</f>
        <v>1</v>
      </c>
      <c r="AK12">
        <f>IF($AZ12&lt;&gt;3,Person2!FM12,0)</f>
        <v>0</v>
      </c>
      <c r="AL12" s="4">
        <f ca="1">IF($AZ12&lt;&gt;3,Person2!FN12+Person2!FT12,0)</f>
        <v>0</v>
      </c>
      <c r="AM12">
        <f>IF($AZ12&lt;&gt;3,Person2!FO12,0)</f>
        <v>0</v>
      </c>
      <c r="AN12">
        <f>IF($AZ12&lt;&gt;3,Person2!FP12,0)</f>
        <v>0</v>
      </c>
      <c r="AO12">
        <f>IF($AZ12&lt;&gt;3,Person2!FQ12,0)</f>
        <v>0</v>
      </c>
      <c r="AP12">
        <f>IF($AZ12&lt;&gt;3,Person2!FR12,0)</f>
        <v>0</v>
      </c>
      <c r="AQ12">
        <v>0</v>
      </c>
      <c r="AR12" s="4">
        <f>Person2!FS12</f>
        <v>0</v>
      </c>
      <c r="AS12" s="4">
        <v>0</v>
      </c>
      <c r="AT12" s="4">
        <v>0</v>
      </c>
      <c r="AV12">
        <f t="shared" si="115"/>
        <v>2022</v>
      </c>
      <c r="AW12">
        <f t="shared" si="116"/>
        <v>27</v>
      </c>
      <c r="AX12">
        <f t="shared" si="117"/>
        <v>1.1040808032</v>
      </c>
      <c r="AY12">
        <f t="shared" si="118"/>
        <v>0.90573080982991594</v>
      </c>
      <c r="AZ12">
        <f t="shared" si="119"/>
        <v>1</v>
      </c>
      <c r="BB12" s="4">
        <f t="shared" si="13"/>
        <v>92741.925943999988</v>
      </c>
      <c r="BC12">
        <f t="shared" si="14"/>
        <v>0</v>
      </c>
      <c r="BD12" s="4">
        <f t="shared" si="15"/>
        <v>0</v>
      </c>
      <c r="BE12" s="4">
        <f t="shared" si="120"/>
        <v>0</v>
      </c>
      <c r="BF12" s="4">
        <f t="shared" si="121"/>
        <v>0</v>
      </c>
      <c r="BG12" s="4">
        <f t="shared" si="122"/>
        <v>0</v>
      </c>
      <c r="BH12" s="4">
        <f t="shared" si="16"/>
        <v>0</v>
      </c>
      <c r="BI12" s="4">
        <f t="shared" si="123"/>
        <v>92741.925943999988</v>
      </c>
      <c r="BJ12" s="4"/>
      <c r="BK12" s="4">
        <f t="shared" si="17"/>
        <v>55204.040160000004</v>
      </c>
      <c r="BL12" s="4">
        <f t="shared" si="124"/>
        <v>0</v>
      </c>
      <c r="BM12" s="4">
        <f t="shared" si="125"/>
        <v>55204.040160000004</v>
      </c>
      <c r="BN12" s="4">
        <v>20793.089751982738</v>
      </c>
      <c r="BO12" s="4">
        <f t="shared" si="126"/>
        <v>75997.129911982745</v>
      </c>
      <c r="BP12" s="4">
        <f t="shared" si="127"/>
        <v>16744.796032017242</v>
      </c>
      <c r="BQ12" s="4"/>
      <c r="BR12" s="4">
        <v>0</v>
      </c>
      <c r="BS12" s="4">
        <f t="shared" ca="1" si="18"/>
        <v>10897.176298419998</v>
      </c>
      <c r="BT12" s="4">
        <f t="shared" ca="1" si="19"/>
        <v>21995.594214772329</v>
      </c>
      <c r="BU12" s="4">
        <f t="shared" si="20"/>
        <v>0</v>
      </c>
      <c r="BV12" s="4">
        <f t="shared" si="21"/>
        <v>1</v>
      </c>
      <c r="BW12" s="4">
        <f t="shared" ca="1" si="22"/>
        <v>0</v>
      </c>
      <c r="BX12" s="4">
        <f t="shared" ca="1" si="23"/>
        <v>0</v>
      </c>
      <c r="BY12" s="4">
        <f t="shared" ca="1" si="24"/>
        <v>0</v>
      </c>
      <c r="BZ12" s="4">
        <f t="shared" ca="1" si="25"/>
        <v>0</v>
      </c>
      <c r="CA12" s="4">
        <f t="shared" ca="1" si="26"/>
        <v>0</v>
      </c>
      <c r="CB12" s="4">
        <f t="shared" ref="CB12:CB75" ca="1" si="160">MAX(0,BW12+BX12+BY12-BU12)*$BV12</f>
        <v>0</v>
      </c>
      <c r="CC12" s="4"/>
      <c r="CD12" s="4">
        <f t="shared" ca="1" si="27"/>
        <v>92741.925943999988</v>
      </c>
      <c r="CE12" s="4">
        <f t="shared" ca="1" si="128"/>
        <v>78090.665139347373</v>
      </c>
      <c r="CF12" s="16">
        <f t="shared" si="28"/>
        <v>0</v>
      </c>
      <c r="CG12" s="4">
        <f t="shared" si="129"/>
        <v>3754.084506232608</v>
      </c>
      <c r="CH12" s="4" t="e">
        <f t="shared" ca="1" si="29"/>
        <v>#NAME?</v>
      </c>
      <c r="CI12" s="4" t="e">
        <f t="shared" ca="1" si="30"/>
        <v>#NAME?</v>
      </c>
      <c r="CJ12" s="4" t="e">
        <f t="shared" ca="1" si="130"/>
        <v>#NAME?</v>
      </c>
      <c r="CK12" s="4" t="e">
        <f t="shared" ca="1" si="31"/>
        <v>#NAME?</v>
      </c>
      <c r="CL12" s="4" t="e">
        <f t="shared" ca="1" si="32"/>
        <v>#NAME?</v>
      </c>
      <c r="CM12" s="16"/>
      <c r="CN12" s="4">
        <f t="shared" si="33"/>
        <v>0</v>
      </c>
      <c r="CO12" s="4">
        <f t="shared" si="131"/>
        <v>0</v>
      </c>
      <c r="CP12" s="4">
        <f t="shared" ca="1" si="34"/>
        <v>46940.5277709086</v>
      </c>
      <c r="CQ12" s="4"/>
      <c r="CR12" s="4">
        <f t="shared" ca="1" si="35"/>
        <v>16744.796032017242</v>
      </c>
      <c r="CS12" s="4">
        <f t="shared" ca="1" si="36"/>
        <v>25140</v>
      </c>
      <c r="CT12" s="4">
        <f t="shared" ca="1" si="37"/>
        <v>16693.546669919997</v>
      </c>
      <c r="CU12" s="4"/>
      <c r="CV12" s="4">
        <f t="shared" ca="1" si="132"/>
        <v>16744.796032017242</v>
      </c>
      <c r="CW12" s="4">
        <f t="shared" ca="1" si="38"/>
        <v>0</v>
      </c>
      <c r="CX12" s="4">
        <f t="shared" ca="1" si="39"/>
        <v>0</v>
      </c>
      <c r="CY12" s="4">
        <f t="shared" ca="1" si="133"/>
        <v>16744.796032017242</v>
      </c>
      <c r="CZ12" s="4"/>
      <c r="DA12" s="4">
        <f t="shared" ca="1" si="40"/>
        <v>16744.796032017242</v>
      </c>
      <c r="DB12" s="4">
        <f t="shared" si="41"/>
        <v>5796.3703714999992</v>
      </c>
      <c r="DC12" s="4">
        <f t="shared" ca="1" si="134"/>
        <v>0</v>
      </c>
      <c r="DD12" s="4">
        <f t="shared" ca="1" si="42"/>
        <v>10897.176298419998</v>
      </c>
      <c r="DE12" s="4">
        <f t="shared" ca="1" si="43"/>
        <v>10897.176298419998</v>
      </c>
      <c r="DF12" s="4">
        <f t="shared" ca="1" si="135"/>
        <v>0</v>
      </c>
      <c r="DG12" s="4">
        <f t="shared" ca="1" si="136"/>
        <v>5448.5881492099988</v>
      </c>
      <c r="DH12" s="4">
        <f t="shared" ca="1" si="44"/>
        <v>5448.5881492099988</v>
      </c>
      <c r="DI12" s="4"/>
      <c r="DJ12" s="4">
        <f t="shared" ca="1" si="45"/>
        <v>5847.6197335972447</v>
      </c>
      <c r="DK12" s="4">
        <f t="shared" ca="1" si="46"/>
        <v>6000</v>
      </c>
      <c r="DL12" s="4">
        <f t="shared" ca="1" si="47"/>
        <v>6000</v>
      </c>
      <c r="DM12" s="4">
        <f t="shared" ca="1" si="48"/>
        <v>21995.594214772329</v>
      </c>
      <c r="DN12" s="4">
        <f t="shared" ca="1" si="49"/>
        <v>5847.6197335972447</v>
      </c>
      <c r="DO12" s="4">
        <f t="shared" ca="1" si="50"/>
        <v>16147.974481175084</v>
      </c>
      <c r="DP12" s="4"/>
      <c r="DQ12" s="4">
        <f t="shared" ca="1" si="51"/>
        <v>0</v>
      </c>
      <c r="DR12" s="4"/>
      <c r="DS12" s="4">
        <f t="shared" si="137"/>
        <v>0</v>
      </c>
      <c r="DT12" s="4">
        <f t="shared" si="52"/>
        <v>0</v>
      </c>
      <c r="DU12" s="4">
        <f t="shared" si="53"/>
        <v>0</v>
      </c>
      <c r="DV12" s="4"/>
      <c r="DW12" s="4">
        <f t="shared" ca="1" si="138"/>
        <v>33374.917284221301</v>
      </c>
      <c r="DX12" s="4">
        <f t="shared" ca="1" si="54"/>
        <v>5448.5881492099988</v>
      </c>
      <c r="DY12" s="4">
        <f t="shared" ca="1" si="139"/>
        <v>1668.7458642110651</v>
      </c>
      <c r="DZ12" s="4">
        <f t="shared" ca="1" si="55"/>
        <v>0</v>
      </c>
      <c r="EA12" s="4">
        <f t="shared" ca="1" si="56"/>
        <v>0</v>
      </c>
      <c r="EB12" s="4">
        <f t="shared" ca="1" si="57"/>
        <v>35043.663148432366</v>
      </c>
      <c r="EC12" s="4">
        <f t="shared" si="58"/>
        <v>1</v>
      </c>
      <c r="ED12" s="4"/>
      <c r="EE12" s="4">
        <f t="shared" ca="1" si="140"/>
        <v>0</v>
      </c>
      <c r="EF12" s="4">
        <f t="shared" ca="1" si="59"/>
        <v>0</v>
      </c>
      <c r="EG12" s="4">
        <f t="shared" ca="1" si="141"/>
        <v>0</v>
      </c>
      <c r="EH12" s="4">
        <f t="shared" ca="1" si="60"/>
        <v>0</v>
      </c>
      <c r="EI12" s="4">
        <f t="shared" ca="1" si="61"/>
        <v>0</v>
      </c>
      <c r="EJ12" s="4">
        <f t="shared" ca="1" si="62"/>
        <v>0</v>
      </c>
      <c r="EK12" s="4">
        <f t="shared" si="63"/>
        <v>1</v>
      </c>
      <c r="EL12" s="4">
        <f t="shared" si="64"/>
        <v>0</v>
      </c>
      <c r="EM12" s="4"/>
      <c r="EN12" s="4">
        <f t="shared" ca="1" si="142"/>
        <v>13565.610486687301</v>
      </c>
      <c r="EO12" s="4">
        <f t="shared" ca="1" si="65"/>
        <v>5847.6197335972447</v>
      </c>
      <c r="EP12" s="4">
        <f t="shared" ca="1" si="143"/>
        <v>678.28052433436505</v>
      </c>
      <c r="EQ12" s="4">
        <f t="shared" ca="1" si="66"/>
        <v>0</v>
      </c>
      <c r="ER12" s="4">
        <v>0</v>
      </c>
      <c r="ES12" s="4">
        <f t="shared" ca="1" si="144"/>
        <v>14243.891011021666</v>
      </c>
      <c r="ET12" s="4"/>
      <c r="EU12" s="4">
        <f t="shared" ca="1" si="145"/>
        <v>0</v>
      </c>
      <c r="EV12" s="4">
        <f t="shared" ca="1" si="67"/>
        <v>0</v>
      </c>
      <c r="EW12" s="4">
        <f t="shared" ca="1" si="146"/>
        <v>0</v>
      </c>
      <c r="EX12" s="4">
        <f t="shared" ca="1" si="68"/>
        <v>0</v>
      </c>
      <c r="EY12" s="4">
        <v>0</v>
      </c>
      <c r="EZ12" s="4">
        <f t="shared" ca="1" si="147"/>
        <v>0</v>
      </c>
      <c r="FA12" s="4">
        <f t="shared" ca="1" si="148"/>
        <v>0</v>
      </c>
      <c r="FB12" s="1">
        <f t="shared" ca="1" si="69"/>
        <v>0</v>
      </c>
      <c r="FC12" s="4">
        <f t="shared" ca="1" si="149"/>
        <v>0</v>
      </c>
      <c r="FD12" s="4">
        <f t="shared" ca="1" si="150"/>
        <v>0</v>
      </c>
      <c r="FE12" s="4">
        <f t="shared" ca="1" si="70"/>
        <v>0</v>
      </c>
      <c r="FF12" s="4">
        <f t="shared" ca="1" si="71"/>
        <v>0</v>
      </c>
      <c r="FG12" s="4">
        <f t="shared" ca="1" si="72"/>
        <v>0</v>
      </c>
      <c r="FH12" s="17">
        <f t="shared" ca="1" si="73"/>
        <v>0</v>
      </c>
      <c r="FI12" s="4">
        <f t="shared" ca="1" si="74"/>
        <v>0</v>
      </c>
      <c r="FJ12" s="4"/>
      <c r="FK12" s="4">
        <f t="shared" ca="1" si="75"/>
        <v>49287.554159454034</v>
      </c>
      <c r="FL12" s="4"/>
      <c r="FM12" s="4">
        <v>0</v>
      </c>
      <c r="FN12" s="4">
        <f t="shared" si="76"/>
        <v>0</v>
      </c>
      <c r="FO12" s="4">
        <f t="shared" si="77"/>
        <v>0</v>
      </c>
      <c r="FP12" s="4">
        <f t="shared" si="78"/>
        <v>0</v>
      </c>
      <c r="FQ12" s="4">
        <f t="shared" si="79"/>
        <v>0</v>
      </c>
      <c r="FR12" s="4">
        <f t="shared" si="80"/>
        <v>0</v>
      </c>
      <c r="FS12" s="4">
        <f t="shared" si="81"/>
        <v>0</v>
      </c>
      <c r="FT12" s="4">
        <f t="shared" ca="1" si="82"/>
        <v>5448.5881492099988</v>
      </c>
      <c r="FU12" s="4"/>
      <c r="FV12" s="3">
        <f t="shared" si="83"/>
        <v>0.90573080982991594</v>
      </c>
      <c r="FW12" s="3">
        <f t="shared" si="84"/>
        <v>0.90573080982991594</v>
      </c>
      <c r="FX12" s="4">
        <f t="shared" si="151"/>
        <v>2022</v>
      </c>
      <c r="FY12" s="18">
        <f t="shared" si="85"/>
        <v>83.999219690445202</v>
      </c>
      <c r="FZ12" s="18">
        <f t="shared" si="86"/>
        <v>0</v>
      </c>
      <c r="GA12" s="18">
        <f t="shared" si="87"/>
        <v>0</v>
      </c>
      <c r="GB12" s="18">
        <f t="shared" si="88"/>
        <v>0</v>
      </c>
      <c r="GC12" s="18">
        <f t="shared" ca="1" si="89"/>
        <v>0</v>
      </c>
      <c r="GD12" s="18">
        <f t="shared" ca="1" si="90"/>
        <v>0</v>
      </c>
      <c r="GE12" s="18">
        <f t="shared" ca="1" si="91"/>
        <v>0</v>
      </c>
      <c r="GF12" s="18">
        <f t="shared" ca="1" si="92"/>
        <v>0</v>
      </c>
      <c r="GG12" s="18" t="e">
        <f t="shared" ca="1" si="93"/>
        <v>#NAME?</v>
      </c>
      <c r="GH12" s="18" t="e">
        <f t="shared" ca="1" si="94"/>
        <v>#NAME?</v>
      </c>
      <c r="GI12" s="4"/>
      <c r="GJ12" s="4">
        <f t="shared" si="95"/>
        <v>2022</v>
      </c>
      <c r="GK12" s="4">
        <f t="shared" ca="1" si="96"/>
        <v>30.228690859844217</v>
      </c>
      <c r="GL12" s="4">
        <f t="shared" ca="1" si="97"/>
        <v>0</v>
      </c>
      <c r="GM12" s="4">
        <f t="shared" ca="1" si="98"/>
        <v>12.28679137194449</v>
      </c>
      <c r="GN12" s="4">
        <f t="shared" ca="1" si="99"/>
        <v>0</v>
      </c>
      <c r="GO12" s="4"/>
      <c r="GP12" s="3">
        <f t="shared" ca="1" si="152"/>
        <v>0.71100430415069615</v>
      </c>
      <c r="GQ12" s="3">
        <f t="shared" ca="1" si="100"/>
        <v>0</v>
      </c>
      <c r="GR12" s="3">
        <f t="shared" ca="1" si="101"/>
        <v>0</v>
      </c>
      <c r="GS12" s="3">
        <f t="shared" ca="1" si="102"/>
        <v>0.28899569584930379</v>
      </c>
      <c r="GT12" s="3">
        <f t="array" aca="1" ref="GT12" ca="1">SUM(GP12:GS12*$GU$6:$GX$6)</f>
        <v>1</v>
      </c>
      <c r="GU12" s="3">
        <f t="shared" ca="1" si="155"/>
        <v>0.71100430415069615</v>
      </c>
      <c r="GV12" s="3">
        <f t="shared" ca="1" si="156"/>
        <v>0</v>
      </c>
      <c r="GW12" s="3">
        <f t="shared" ca="1" si="157"/>
        <v>0</v>
      </c>
      <c r="GX12" s="3">
        <f t="shared" ca="1" si="158"/>
        <v>0.28899569584930379</v>
      </c>
      <c r="GY12" s="11"/>
      <c r="GZ12" s="27">
        <v>54</v>
      </c>
      <c r="HA12" s="29">
        <v>2.7799999999999998E-2</v>
      </c>
      <c r="HB12" s="29">
        <f t="shared" ca="1" si="153"/>
        <v>6.5100000000000005E-2</v>
      </c>
      <c r="HC12" s="29">
        <v>6.5100000000000005E-2</v>
      </c>
      <c r="HD12" s="29">
        <v>6.4000000000000001E-2</v>
      </c>
      <c r="HE12" s="29">
        <v>4.5900000000000003E-2</v>
      </c>
      <c r="HG12" s="27">
        <v>52</v>
      </c>
      <c r="HH12" s="30">
        <v>2.63E-2</v>
      </c>
      <c r="HJ12">
        <f t="shared" si="159"/>
        <v>2015</v>
      </c>
      <c r="HK12" s="27">
        <v>24930</v>
      </c>
      <c r="HL12" s="27">
        <v>10000</v>
      </c>
      <c r="HM12" s="27"/>
      <c r="HO12">
        <f t="shared" si="104"/>
        <v>900000</v>
      </c>
      <c r="HP12" s="4">
        <f t="shared" si="105"/>
        <v>900000</v>
      </c>
      <c r="HQ12" s="3">
        <f t="shared" ca="1" si="106"/>
        <v>0.33</v>
      </c>
      <c r="HR12" s="4">
        <f t="shared" ca="1" si="154"/>
        <v>277041.02500000002</v>
      </c>
      <c r="HS12" s="4"/>
      <c r="HT12" t="s">
        <v>631</v>
      </c>
      <c r="HV12">
        <f>HQ59</f>
        <v>0.38</v>
      </c>
      <c r="HW12" s="3">
        <f>HQ60</f>
        <v>0.17</v>
      </c>
      <c r="HX12" t="s">
        <v>632</v>
      </c>
      <c r="IB12" t="s">
        <v>389</v>
      </c>
      <c r="ID12" s="4" t="e">
        <f ca="1">interpolate(ID7,$HP$18:$HP$24,$HR$18:$HR$24,7)</f>
        <v>#NAME?</v>
      </c>
      <c r="IE12" s="90" t="e">
        <f ca="1">interpolate(IE7,$HP$18:$HP$24,$HR$18:$HR$24,7)</f>
        <v>#NAME?</v>
      </c>
    </row>
    <row r="13" spans="1:240" x14ac:dyDescent="0.25">
      <c r="A13" t="s">
        <v>15</v>
      </c>
      <c r="B13" s="62">
        <f>Inputs_Summary!AJ10</f>
        <v>80</v>
      </c>
      <c r="D13">
        <f t="shared" si="107"/>
        <v>2023</v>
      </c>
      <c r="E13">
        <f t="shared" si="108"/>
        <v>28</v>
      </c>
      <c r="F13" s="8"/>
      <c r="G13" s="8"/>
      <c r="H13" s="9"/>
      <c r="I13" s="9"/>
      <c r="J13" s="92"/>
      <c r="K13" s="91"/>
      <c r="L13" s="91"/>
      <c r="N13" s="93">
        <f t="shared" si="109"/>
        <v>0.05</v>
      </c>
      <c r="O13" s="23">
        <f t="shared" si="110"/>
        <v>0.4</v>
      </c>
      <c r="P13" s="23">
        <f t="shared" si="111"/>
        <v>0.1</v>
      </c>
      <c r="Q13" s="4">
        <f t="shared" si="0"/>
        <v>0</v>
      </c>
      <c r="R13" s="4">
        <f t="shared" si="112"/>
        <v>0</v>
      </c>
      <c r="S13" s="4">
        <f t="shared" si="113"/>
        <v>0</v>
      </c>
      <c r="T13" s="4">
        <f t="shared" ca="1" si="114"/>
        <v>0</v>
      </c>
      <c r="V13" s="18" t="e">
        <f t="shared" ca="1" si="1"/>
        <v>#NAME?</v>
      </c>
      <c r="W13" s="18" t="e">
        <f t="shared" ca="1" si="2"/>
        <v>#NAME?</v>
      </c>
      <c r="X13" s="18">
        <f t="shared" si="3"/>
        <v>0</v>
      </c>
      <c r="Y13" s="18">
        <f t="shared" ca="1" si="4"/>
        <v>9.9666721206236542</v>
      </c>
      <c r="Z13" s="18">
        <f t="shared" ca="1" si="5"/>
        <v>0</v>
      </c>
      <c r="AA13" s="18">
        <f t="shared" ca="1" si="6"/>
        <v>5.8014661353873525</v>
      </c>
      <c r="AB13" s="18">
        <f t="shared" ca="1" si="7"/>
        <v>0</v>
      </c>
      <c r="AC13" s="18">
        <f t="shared" ca="1" si="8"/>
        <v>35.955960352598119</v>
      </c>
      <c r="AD13" s="18">
        <f t="shared" ca="1" si="9"/>
        <v>0</v>
      </c>
      <c r="AE13" s="18">
        <f t="shared" ca="1" si="10"/>
        <v>17.840686566107983</v>
      </c>
      <c r="AF13" s="18">
        <f t="shared" ca="1" si="11"/>
        <v>0</v>
      </c>
      <c r="AG13" s="18">
        <f t="shared" ca="1" si="12"/>
        <v>53.796646918706102</v>
      </c>
      <c r="AI13">
        <f>Person2!E13</f>
        <v>28</v>
      </c>
      <c r="AJ13">
        <f>Person2!AZ13</f>
        <v>1</v>
      </c>
      <c r="AK13">
        <f>IF($AZ13&lt;&gt;3,Person2!FM13,0)</f>
        <v>0</v>
      </c>
      <c r="AL13" s="4">
        <f ca="1">IF($AZ13&lt;&gt;3,Person2!FN13+Person2!FT13,0)</f>
        <v>0</v>
      </c>
      <c r="AM13">
        <f>IF($AZ13&lt;&gt;3,Person2!FO13,0)</f>
        <v>0</v>
      </c>
      <c r="AN13">
        <f>IF($AZ13&lt;&gt;3,Person2!FP13,0)</f>
        <v>0</v>
      </c>
      <c r="AO13">
        <f>IF($AZ13&lt;&gt;3,Person2!FQ13,0)</f>
        <v>0</v>
      </c>
      <c r="AP13">
        <f>IF($AZ13&lt;&gt;3,Person2!FR13,0)</f>
        <v>0</v>
      </c>
      <c r="AQ13">
        <v>0</v>
      </c>
      <c r="AR13" s="4">
        <f>Person2!FS13</f>
        <v>0</v>
      </c>
      <c r="AS13" s="4">
        <v>0</v>
      </c>
      <c r="AT13" s="4">
        <v>0</v>
      </c>
      <c r="AV13">
        <f t="shared" si="115"/>
        <v>2023</v>
      </c>
      <c r="AW13">
        <f t="shared" si="116"/>
        <v>28</v>
      </c>
      <c r="AX13">
        <f t="shared" si="117"/>
        <v>1.1261624192640001</v>
      </c>
      <c r="AY13">
        <f t="shared" si="118"/>
        <v>0.88797138218619198</v>
      </c>
      <c r="AZ13">
        <f t="shared" si="119"/>
        <v>1</v>
      </c>
      <c r="BB13" s="4">
        <f t="shared" si="13"/>
        <v>95524.183722319998</v>
      </c>
      <c r="BC13">
        <f t="shared" si="14"/>
        <v>0</v>
      </c>
      <c r="BD13" s="4">
        <f t="shared" si="15"/>
        <v>0</v>
      </c>
      <c r="BE13" s="4">
        <f t="shared" si="120"/>
        <v>0</v>
      </c>
      <c r="BF13" s="4">
        <f t="shared" si="121"/>
        <v>0</v>
      </c>
      <c r="BG13" s="4">
        <f t="shared" si="122"/>
        <v>0</v>
      </c>
      <c r="BH13" s="4">
        <f t="shared" si="16"/>
        <v>0</v>
      </c>
      <c r="BI13" s="4">
        <f t="shared" si="123"/>
        <v>95524.183722319998</v>
      </c>
      <c r="BJ13" s="4"/>
      <c r="BK13" s="4">
        <f t="shared" si="17"/>
        <v>56308.120963200003</v>
      </c>
      <c r="BL13" s="4">
        <f t="shared" si="124"/>
        <v>0</v>
      </c>
      <c r="BM13" s="4">
        <f t="shared" si="125"/>
        <v>56308.120963200003</v>
      </c>
      <c r="BN13" s="4">
        <v>21458.578033441416</v>
      </c>
      <c r="BO13" s="4">
        <f t="shared" si="126"/>
        <v>77766.698996641411</v>
      </c>
      <c r="BP13" s="4">
        <f t="shared" si="127"/>
        <v>17757.484725678587</v>
      </c>
      <c r="BQ13" s="4"/>
      <c r="BR13" s="4">
        <v>0</v>
      </c>
      <c r="BS13" s="4">
        <f t="shared" ca="1" si="18"/>
        <v>11224.091587372597</v>
      </c>
      <c r="BT13" s="4">
        <f t="shared" ca="1" si="19"/>
        <v>22647.974481175086</v>
      </c>
      <c r="BU13" s="4">
        <f t="shared" si="20"/>
        <v>0</v>
      </c>
      <c r="BV13" s="4">
        <f t="shared" si="21"/>
        <v>1</v>
      </c>
      <c r="BW13" s="4">
        <f t="shared" ca="1" si="22"/>
        <v>0</v>
      </c>
      <c r="BX13" s="4">
        <f t="shared" ca="1" si="23"/>
        <v>0</v>
      </c>
      <c r="BY13" s="4">
        <f t="shared" ca="1" si="24"/>
        <v>0</v>
      </c>
      <c r="BZ13" s="4">
        <f t="shared" ca="1" si="25"/>
        <v>0</v>
      </c>
      <c r="CA13" s="4">
        <f t="shared" ca="1" si="26"/>
        <v>0</v>
      </c>
      <c r="CB13" s="4">
        <f t="shared" ca="1" si="160"/>
        <v>0</v>
      </c>
      <c r="CC13" s="4"/>
      <c r="CD13" s="4">
        <f t="shared" ca="1" si="27"/>
        <v>95524.183722319998</v>
      </c>
      <c r="CE13" s="4">
        <f t="shared" ca="1" si="128"/>
        <v>80470.925938590139</v>
      </c>
      <c r="CF13" s="16">
        <f t="shared" si="28"/>
        <v>0</v>
      </c>
      <c r="CG13" s="4">
        <f t="shared" si="129"/>
        <v>3829.1661963572606</v>
      </c>
      <c r="CH13" s="4" t="e">
        <f t="shared" ca="1" si="29"/>
        <v>#NAME?</v>
      </c>
      <c r="CI13" s="4" t="e">
        <f t="shared" ca="1" si="30"/>
        <v>#NAME?</v>
      </c>
      <c r="CJ13" s="4" t="e">
        <f t="shared" ca="1" si="130"/>
        <v>#NAME?</v>
      </c>
      <c r="CK13" s="4" t="e">
        <f t="shared" ca="1" si="31"/>
        <v>#NAME?</v>
      </c>
      <c r="CL13" s="4" t="e">
        <f t="shared" ca="1" si="32"/>
        <v>#NAME?</v>
      </c>
      <c r="CM13" s="16"/>
      <c r="CN13" s="4">
        <f t="shared" si="33"/>
        <v>0</v>
      </c>
      <c r="CO13" s="4">
        <f t="shared" si="131"/>
        <v>0</v>
      </c>
      <c r="CP13" s="4">
        <f t="shared" ca="1" si="34"/>
        <v>60583.762042261282</v>
      </c>
      <c r="CQ13" s="4"/>
      <c r="CR13" s="4">
        <f t="shared" ca="1" si="35"/>
        <v>17757.484725678587</v>
      </c>
      <c r="CS13" s="4">
        <f t="shared" ca="1" si="36"/>
        <v>25650</v>
      </c>
      <c r="CT13" s="4">
        <f t="shared" ca="1" si="37"/>
        <v>17194.353070017598</v>
      </c>
      <c r="CU13" s="4"/>
      <c r="CV13" s="4">
        <f t="shared" ca="1" si="132"/>
        <v>17757.484725678587</v>
      </c>
      <c r="CW13" s="4">
        <f t="shared" ca="1" si="38"/>
        <v>0</v>
      </c>
      <c r="CX13" s="4">
        <f t="shared" ca="1" si="39"/>
        <v>0</v>
      </c>
      <c r="CY13" s="4">
        <f t="shared" ca="1" si="133"/>
        <v>17757.484725678587</v>
      </c>
      <c r="CZ13" s="4"/>
      <c r="DA13" s="4">
        <f t="shared" ca="1" si="40"/>
        <v>17757.484725678587</v>
      </c>
      <c r="DB13" s="4">
        <f t="shared" si="41"/>
        <v>5970.2614826449999</v>
      </c>
      <c r="DC13" s="4">
        <f t="shared" ca="1" si="134"/>
        <v>0</v>
      </c>
      <c r="DD13" s="4">
        <f t="shared" ca="1" si="42"/>
        <v>11224.091587372597</v>
      </c>
      <c r="DE13" s="4">
        <f t="shared" ca="1" si="43"/>
        <v>11224.091587372597</v>
      </c>
      <c r="DF13" s="4">
        <f t="shared" ca="1" si="135"/>
        <v>0</v>
      </c>
      <c r="DG13" s="4">
        <f t="shared" ca="1" si="136"/>
        <v>5612.0457936862986</v>
      </c>
      <c r="DH13" s="4">
        <f t="shared" ca="1" si="44"/>
        <v>5612.0457936862986</v>
      </c>
      <c r="DI13" s="4"/>
      <c r="DJ13" s="4">
        <f t="shared" ca="1" si="45"/>
        <v>6533.3931383059899</v>
      </c>
      <c r="DK13" s="4">
        <f t="shared" ca="1" si="46"/>
        <v>6500</v>
      </c>
      <c r="DL13" s="4">
        <f t="shared" ca="1" si="47"/>
        <v>6500</v>
      </c>
      <c r="DM13" s="4">
        <f t="shared" ca="1" si="48"/>
        <v>22647.974481175086</v>
      </c>
      <c r="DN13" s="4">
        <f t="shared" ca="1" si="49"/>
        <v>6533.3931383059899</v>
      </c>
      <c r="DO13" s="4">
        <f t="shared" ca="1" si="50"/>
        <v>16114.581342869096</v>
      </c>
      <c r="DP13" s="4"/>
      <c r="DQ13" s="4">
        <f t="shared" ca="1" si="51"/>
        <v>0</v>
      </c>
      <c r="DR13" s="4"/>
      <c r="DS13" s="4">
        <f t="shared" si="137"/>
        <v>0</v>
      </c>
      <c r="DT13" s="4">
        <f t="shared" si="52"/>
        <v>0</v>
      </c>
      <c r="DU13" s="4">
        <f t="shared" si="53"/>
        <v>0</v>
      </c>
      <c r="DV13" s="4"/>
      <c r="DW13" s="4">
        <f t="shared" ca="1" si="138"/>
        <v>40492.251297642368</v>
      </c>
      <c r="DX13" s="4">
        <f t="shared" ca="1" si="54"/>
        <v>5612.0457936862986</v>
      </c>
      <c r="DY13" s="4">
        <f t="shared" ca="1" si="139"/>
        <v>2024.6125648821185</v>
      </c>
      <c r="DZ13" s="4">
        <f t="shared" ca="1" si="55"/>
        <v>0</v>
      </c>
      <c r="EA13" s="4">
        <f t="shared" ca="1" si="56"/>
        <v>0</v>
      </c>
      <c r="EB13" s="4">
        <f t="shared" ca="1" si="57"/>
        <v>42516.863862524486</v>
      </c>
      <c r="EC13" s="4">
        <f t="shared" si="58"/>
        <v>1</v>
      </c>
      <c r="ED13" s="4"/>
      <c r="EE13" s="4">
        <f t="shared" ca="1" si="140"/>
        <v>0</v>
      </c>
      <c r="EF13" s="4">
        <f t="shared" ca="1" si="59"/>
        <v>0</v>
      </c>
      <c r="EG13" s="4">
        <f t="shared" ca="1" si="141"/>
        <v>0</v>
      </c>
      <c r="EH13" s="4">
        <f t="shared" ca="1" si="60"/>
        <v>0</v>
      </c>
      <c r="EI13" s="4">
        <f t="shared" ca="1" si="61"/>
        <v>0</v>
      </c>
      <c r="EJ13" s="4">
        <f t="shared" ca="1" si="62"/>
        <v>0</v>
      </c>
      <c r="EK13" s="4">
        <f t="shared" si="63"/>
        <v>1</v>
      </c>
      <c r="EL13" s="4">
        <f t="shared" si="64"/>
        <v>0</v>
      </c>
      <c r="EM13" s="4"/>
      <c r="EN13" s="4">
        <f t="shared" ca="1" si="142"/>
        <v>20091.51074461891</v>
      </c>
      <c r="EO13" s="4">
        <f t="shared" ca="1" si="65"/>
        <v>6533.3931383059899</v>
      </c>
      <c r="EP13" s="4">
        <f t="shared" ca="1" si="143"/>
        <v>1004.5755372309455</v>
      </c>
      <c r="EQ13" s="4">
        <f t="shared" ca="1" si="66"/>
        <v>0</v>
      </c>
      <c r="ER13" s="4">
        <v>0</v>
      </c>
      <c r="ES13" s="4">
        <f t="shared" ca="1" si="144"/>
        <v>21096.086281849857</v>
      </c>
      <c r="ET13" s="4"/>
      <c r="EU13" s="4">
        <f t="shared" ca="1" si="145"/>
        <v>0</v>
      </c>
      <c r="EV13" s="4">
        <f t="shared" ca="1" si="67"/>
        <v>0</v>
      </c>
      <c r="EW13" s="4">
        <f t="shared" ca="1" si="146"/>
        <v>0</v>
      </c>
      <c r="EX13" s="4">
        <f t="shared" ca="1" si="68"/>
        <v>0</v>
      </c>
      <c r="EY13" s="4">
        <v>0</v>
      </c>
      <c r="EZ13" s="4">
        <f t="shared" ca="1" si="147"/>
        <v>0</v>
      </c>
      <c r="FA13" s="4">
        <f t="shared" ca="1" si="148"/>
        <v>0</v>
      </c>
      <c r="FB13" s="1">
        <f t="shared" ca="1" si="69"/>
        <v>0</v>
      </c>
      <c r="FC13" s="4">
        <f t="shared" ca="1" si="149"/>
        <v>0</v>
      </c>
      <c r="FD13" s="4">
        <f t="shared" ca="1" si="150"/>
        <v>0</v>
      </c>
      <c r="FE13" s="4">
        <f t="shared" ca="1" si="70"/>
        <v>0</v>
      </c>
      <c r="FF13" s="4">
        <f t="shared" ca="1" si="71"/>
        <v>0</v>
      </c>
      <c r="FG13" s="4">
        <f t="shared" ca="1" si="72"/>
        <v>0</v>
      </c>
      <c r="FH13" s="17">
        <f t="shared" ca="1" si="73"/>
        <v>0</v>
      </c>
      <c r="FI13" s="4">
        <f t="shared" ca="1" si="74"/>
        <v>0</v>
      </c>
      <c r="FJ13" s="4"/>
      <c r="FK13" s="4">
        <f t="shared" ca="1" si="75"/>
        <v>63612.950144374343</v>
      </c>
      <c r="FL13" s="4"/>
      <c r="FM13" s="4">
        <v>0</v>
      </c>
      <c r="FN13" s="4">
        <f t="shared" si="76"/>
        <v>0</v>
      </c>
      <c r="FO13" s="4">
        <f t="shared" si="77"/>
        <v>0</v>
      </c>
      <c r="FP13" s="4">
        <f t="shared" si="78"/>
        <v>0</v>
      </c>
      <c r="FQ13" s="4">
        <f t="shared" si="79"/>
        <v>0</v>
      </c>
      <c r="FR13" s="4">
        <f t="shared" si="80"/>
        <v>0</v>
      </c>
      <c r="FS13" s="4">
        <f t="shared" si="81"/>
        <v>0</v>
      </c>
      <c r="FT13" s="4">
        <f t="shared" ca="1" si="82"/>
        <v>5612.0457936862986</v>
      </c>
      <c r="FU13" s="4"/>
      <c r="FV13" s="3">
        <f t="shared" si="83"/>
        <v>0.88797138218619198</v>
      </c>
      <c r="FW13" s="3">
        <f t="shared" si="84"/>
        <v>0.88797138218619198</v>
      </c>
      <c r="FX13" s="4">
        <f t="shared" si="151"/>
        <v>2023</v>
      </c>
      <c r="FY13" s="18">
        <f t="shared" si="85"/>
        <v>84.822741452116233</v>
      </c>
      <c r="FZ13" s="18">
        <f t="shared" si="86"/>
        <v>0</v>
      </c>
      <c r="GA13" s="18">
        <f t="shared" si="87"/>
        <v>0</v>
      </c>
      <c r="GB13" s="18">
        <f t="shared" si="88"/>
        <v>0</v>
      </c>
      <c r="GC13" s="18">
        <f t="shared" ca="1" si="89"/>
        <v>0</v>
      </c>
      <c r="GD13" s="18">
        <f t="shared" ca="1" si="90"/>
        <v>0</v>
      </c>
      <c r="GE13" s="18">
        <f t="shared" ca="1" si="91"/>
        <v>0</v>
      </c>
      <c r="GF13" s="18">
        <f t="shared" ca="1" si="92"/>
        <v>0</v>
      </c>
      <c r="GG13" s="18" t="e">
        <f t="shared" ca="1" si="93"/>
        <v>#NAME?</v>
      </c>
      <c r="GH13" s="18" t="e">
        <f t="shared" ca="1" si="94"/>
        <v>#NAME?</v>
      </c>
      <c r="GI13" s="4"/>
      <c r="GJ13" s="4">
        <f t="shared" si="95"/>
        <v>2023</v>
      </c>
      <c r="GK13" s="4">
        <f t="shared" ca="1" si="96"/>
        <v>35.955960352598119</v>
      </c>
      <c r="GL13" s="4">
        <f t="shared" ca="1" si="97"/>
        <v>0</v>
      </c>
      <c r="GM13" s="4">
        <f t="shared" ca="1" si="98"/>
        <v>17.840686566107983</v>
      </c>
      <c r="GN13" s="4">
        <f t="shared" ca="1" si="99"/>
        <v>0</v>
      </c>
      <c r="GO13" s="4"/>
      <c r="GP13" s="3">
        <f t="shared" ca="1" si="152"/>
        <v>0.66836805659899889</v>
      </c>
      <c r="GQ13" s="3">
        <f t="shared" ca="1" si="100"/>
        <v>0</v>
      </c>
      <c r="GR13" s="3">
        <f t="shared" ca="1" si="101"/>
        <v>0</v>
      </c>
      <c r="GS13" s="3">
        <f t="shared" ca="1" si="102"/>
        <v>0.33163194340100111</v>
      </c>
      <c r="GT13" s="3">
        <f t="array" aca="1" ref="GT13" ca="1">SUM(GP13:GS13*$GU$6:$GX$6)</f>
        <v>1</v>
      </c>
      <c r="GU13" s="3">
        <f t="shared" ca="1" si="155"/>
        <v>0.66836805659899889</v>
      </c>
      <c r="GV13" s="3">
        <f t="shared" ca="1" si="156"/>
        <v>0</v>
      </c>
      <c r="GW13" s="3">
        <f t="shared" ca="1" si="157"/>
        <v>0</v>
      </c>
      <c r="GX13" s="3">
        <f t="shared" ca="1" si="158"/>
        <v>0.33163194340100111</v>
      </c>
      <c r="GY13" s="11"/>
      <c r="GZ13" s="27">
        <v>55</v>
      </c>
      <c r="HA13" s="29">
        <v>2.86E-2</v>
      </c>
      <c r="HB13" s="29">
        <f t="shared" ca="1" si="153"/>
        <v>6.5699999999999995E-2</v>
      </c>
      <c r="HC13" s="29">
        <v>6.5699999999999995E-2</v>
      </c>
      <c r="HD13" s="29">
        <v>6.5000000000000002E-2</v>
      </c>
      <c r="HE13" s="29">
        <v>4.6399999999999997E-2</v>
      </c>
      <c r="HG13" s="27">
        <v>53</v>
      </c>
      <c r="HH13" s="30">
        <v>2.7000000000000003E-2</v>
      </c>
      <c r="HJ13">
        <f t="shared" si="159"/>
        <v>2016</v>
      </c>
      <c r="HK13" s="27">
        <v>25370</v>
      </c>
      <c r="HL13" s="27">
        <f>ROUND(HM13/500,0)*500</f>
        <v>5500</v>
      </c>
      <c r="HM13" s="27">
        <v>5500</v>
      </c>
      <c r="HO13">
        <f t="shared" si="104"/>
        <v>1000000</v>
      </c>
      <c r="HP13" s="4">
        <f t="shared" si="105"/>
        <v>1000000</v>
      </c>
      <c r="HQ13" s="3">
        <f t="shared" ca="1" si="106"/>
        <v>0.33</v>
      </c>
      <c r="HR13" s="4">
        <f t="shared" ca="1" si="154"/>
        <v>310041.02500000002</v>
      </c>
      <c r="HT13" t="s">
        <v>226</v>
      </c>
      <c r="HU13" s="4"/>
      <c r="HV13">
        <f>HQ56</f>
        <v>0.1502</v>
      </c>
      <c r="HW13">
        <f>HQ57</f>
        <v>0.105217</v>
      </c>
      <c r="HX13" t="s">
        <v>632</v>
      </c>
      <c r="IB13" t="s">
        <v>390</v>
      </c>
      <c r="ID13" s="4">
        <f ca="1">$HV$18*$HV$19</f>
        <v>1869</v>
      </c>
      <c r="IE13" s="90">
        <f ca="1">$HV$18*$HV$19</f>
        <v>1869</v>
      </c>
      <c r="IF13" s="4"/>
    </row>
    <row r="14" spans="1:240" x14ac:dyDescent="0.25">
      <c r="A14" s="15" t="s">
        <v>82</v>
      </c>
      <c r="D14">
        <f t="shared" si="107"/>
        <v>2024</v>
      </c>
      <c r="E14">
        <f t="shared" si="108"/>
        <v>29</v>
      </c>
      <c r="F14" s="8"/>
      <c r="G14" s="8"/>
      <c r="H14" s="9"/>
      <c r="I14" s="9"/>
      <c r="J14" s="92"/>
      <c r="K14" s="91"/>
      <c r="L14" s="91"/>
      <c r="N14" s="93">
        <f t="shared" si="109"/>
        <v>0.05</v>
      </c>
      <c r="O14" s="23">
        <f t="shared" si="110"/>
        <v>0.4</v>
      </c>
      <c r="P14" s="23">
        <f t="shared" si="111"/>
        <v>0.1</v>
      </c>
      <c r="Q14" s="4">
        <f t="shared" si="0"/>
        <v>0</v>
      </c>
      <c r="R14" s="4">
        <f t="shared" si="112"/>
        <v>0</v>
      </c>
      <c r="S14" s="4">
        <f t="shared" si="113"/>
        <v>0</v>
      </c>
      <c r="T14" s="4">
        <f t="shared" ca="1" si="114"/>
        <v>0</v>
      </c>
      <c r="V14" s="18" t="e">
        <f t="shared" ca="1" si="1"/>
        <v>#NAME?</v>
      </c>
      <c r="W14" s="18" t="e">
        <f t="shared" ca="1" si="2"/>
        <v>#NAME?</v>
      </c>
      <c r="X14" s="18">
        <f t="shared" si="3"/>
        <v>0</v>
      </c>
      <c r="Y14" s="18">
        <f t="shared" ca="1" si="4"/>
        <v>10.064384592394479</v>
      </c>
      <c r="Z14" s="18">
        <f t="shared" ca="1" si="5"/>
        <v>0</v>
      </c>
      <c r="AA14" s="18">
        <f t="shared" ca="1" si="6"/>
        <v>6.3115148430872079</v>
      </c>
      <c r="AB14" s="18">
        <f t="shared" ca="1" si="7"/>
        <v>0</v>
      </c>
      <c r="AC14" s="18">
        <f t="shared" ca="1" si="8"/>
        <v>41.899112186803784</v>
      </c>
      <c r="AD14" s="18">
        <f t="shared" ca="1" si="9"/>
        <v>0</v>
      </c>
      <c r="AE14" s="18">
        <f t="shared" ca="1" si="10"/>
        <v>24.053124539020331</v>
      </c>
      <c r="AF14" s="18">
        <f t="shared" ca="1" si="11"/>
        <v>0</v>
      </c>
      <c r="AG14" s="18">
        <f t="shared" ca="1" si="12"/>
        <v>65.952236725824108</v>
      </c>
      <c r="AI14">
        <f>Person2!E14</f>
        <v>29</v>
      </c>
      <c r="AJ14">
        <f>Person2!AZ14</f>
        <v>1</v>
      </c>
      <c r="AK14">
        <f>IF($AZ14&lt;&gt;3,Person2!FM14,0)</f>
        <v>0</v>
      </c>
      <c r="AL14" s="4">
        <f ca="1">IF($AZ14&lt;&gt;3,Person2!FN14+Person2!FT14,0)</f>
        <v>0</v>
      </c>
      <c r="AM14">
        <f>IF($AZ14&lt;&gt;3,Person2!FO14,0)</f>
        <v>0</v>
      </c>
      <c r="AN14">
        <f>IF($AZ14&lt;&gt;3,Person2!FP14,0)</f>
        <v>0</v>
      </c>
      <c r="AO14">
        <f>IF($AZ14&lt;&gt;3,Person2!FQ14,0)</f>
        <v>0</v>
      </c>
      <c r="AP14">
        <f>IF($AZ14&lt;&gt;3,Person2!FR14,0)</f>
        <v>0</v>
      </c>
      <c r="AQ14">
        <v>0</v>
      </c>
      <c r="AR14" s="4">
        <f>Person2!FS14</f>
        <v>0</v>
      </c>
      <c r="AS14" s="4">
        <v>0</v>
      </c>
      <c r="AT14" s="4">
        <v>0</v>
      </c>
      <c r="AV14">
        <f t="shared" ref="AV14:AV39" si="161">AV13+1</f>
        <v>2024</v>
      </c>
      <c r="AW14">
        <f t="shared" si="116"/>
        <v>29</v>
      </c>
      <c r="AX14">
        <f t="shared" si="117"/>
        <v>1.14868566764928</v>
      </c>
      <c r="AY14">
        <f t="shared" si="118"/>
        <v>0.87056017861391377</v>
      </c>
      <c r="AZ14">
        <f t="shared" si="119"/>
        <v>1</v>
      </c>
      <c r="BB14" s="4">
        <f t="shared" si="13"/>
        <v>98389.909233989601</v>
      </c>
      <c r="BC14">
        <f t="shared" si="14"/>
        <v>0</v>
      </c>
      <c r="BD14" s="4">
        <f t="shared" si="15"/>
        <v>0</v>
      </c>
      <c r="BE14" s="4">
        <f t="shared" si="120"/>
        <v>0</v>
      </c>
      <c r="BF14" s="4">
        <f t="shared" si="121"/>
        <v>0</v>
      </c>
      <c r="BG14" s="4">
        <f t="shared" si="122"/>
        <v>0</v>
      </c>
      <c r="BH14" s="4">
        <f t="shared" si="16"/>
        <v>0</v>
      </c>
      <c r="BI14" s="4">
        <f t="shared" si="123"/>
        <v>98389.909233989601</v>
      </c>
      <c r="BJ14" s="4"/>
      <c r="BK14" s="4">
        <f t="shared" si="17"/>
        <v>57434.283382464004</v>
      </c>
      <c r="BL14" s="4">
        <f t="shared" si="124"/>
        <v>0</v>
      </c>
      <c r="BM14" s="4">
        <f t="shared" si="125"/>
        <v>57434.283382464004</v>
      </c>
      <c r="BN14" s="4">
        <v>22144.864875121842</v>
      </c>
      <c r="BO14" s="4">
        <f t="shared" si="126"/>
        <v>79579.148257585854</v>
      </c>
      <c r="BP14" s="4">
        <f t="shared" si="127"/>
        <v>18810.760976403748</v>
      </c>
      <c r="BQ14" s="4"/>
      <c r="BR14" s="4">
        <v>0</v>
      </c>
      <c r="BS14" s="4">
        <f t="shared" ca="1" si="18"/>
        <v>11560.814334993778</v>
      </c>
      <c r="BT14" s="4">
        <f t="shared" ca="1" si="19"/>
        <v>22614.581342869096</v>
      </c>
      <c r="BU14" s="4">
        <f t="shared" si="20"/>
        <v>0</v>
      </c>
      <c r="BV14" s="4">
        <f t="shared" si="21"/>
        <v>1</v>
      </c>
      <c r="BW14" s="4">
        <f t="shared" ca="1" si="22"/>
        <v>0</v>
      </c>
      <c r="BX14" s="4">
        <f t="shared" ca="1" si="23"/>
        <v>0</v>
      </c>
      <c r="BY14" s="4">
        <f t="shared" ca="1" si="24"/>
        <v>0</v>
      </c>
      <c r="BZ14" s="4">
        <f t="shared" ca="1" si="25"/>
        <v>0</v>
      </c>
      <c r="CA14" s="4">
        <f t="shared" ca="1" si="26"/>
        <v>0</v>
      </c>
      <c r="CB14" s="4">
        <f t="shared" ca="1" si="160"/>
        <v>0</v>
      </c>
      <c r="CC14" s="4"/>
      <c r="CD14" s="4">
        <f t="shared" ca="1" si="27"/>
        <v>98389.909233989601</v>
      </c>
      <c r="CE14" s="4">
        <f t="shared" ca="1" si="128"/>
        <v>82923.345378711427</v>
      </c>
      <c r="CF14" s="16">
        <f t="shared" si="28"/>
        <v>0</v>
      </c>
      <c r="CG14" s="4">
        <f t="shared" si="129"/>
        <v>3905.7495202844057</v>
      </c>
      <c r="CH14" s="4" t="e">
        <f t="shared" ca="1" si="29"/>
        <v>#NAME?</v>
      </c>
      <c r="CI14" s="4" t="e">
        <f t="shared" ca="1" si="30"/>
        <v>#NAME?</v>
      </c>
      <c r="CJ14" s="4" t="e">
        <f t="shared" ca="1" si="130"/>
        <v>#NAME?</v>
      </c>
      <c r="CK14" s="4" t="e">
        <f t="shared" ca="1" si="31"/>
        <v>#NAME?</v>
      </c>
      <c r="CL14" s="4" t="e">
        <f t="shared" ca="1" si="32"/>
        <v>#NAME?</v>
      </c>
      <c r="CM14" s="16"/>
      <c r="CN14" s="4">
        <f t="shared" si="33"/>
        <v>0</v>
      </c>
      <c r="CO14" s="4">
        <f t="shared" si="131"/>
        <v>0</v>
      </c>
      <c r="CP14" s="4">
        <f t="shared" ca="1" si="34"/>
        <v>75758.389076366642</v>
      </c>
      <c r="CQ14" s="4"/>
      <c r="CR14" s="4">
        <f t="shared" ca="1" si="35"/>
        <v>18810.760976403748</v>
      </c>
      <c r="CS14" s="4">
        <f t="shared" ca="1" si="36"/>
        <v>26160</v>
      </c>
      <c r="CT14" s="4">
        <f t="shared" ca="1" si="37"/>
        <v>17710.183662118128</v>
      </c>
      <c r="CU14" s="4"/>
      <c r="CV14" s="4">
        <f t="shared" ca="1" si="132"/>
        <v>18810.760976403748</v>
      </c>
      <c r="CW14" s="4">
        <f t="shared" ca="1" si="38"/>
        <v>0</v>
      </c>
      <c r="CX14" s="4">
        <f t="shared" ca="1" si="39"/>
        <v>0</v>
      </c>
      <c r="CY14" s="4">
        <f t="shared" ca="1" si="133"/>
        <v>18810.760976403748</v>
      </c>
      <c r="CZ14" s="4"/>
      <c r="DA14" s="4">
        <f t="shared" ca="1" si="40"/>
        <v>18810.760976403748</v>
      </c>
      <c r="DB14" s="4">
        <f t="shared" si="41"/>
        <v>6149.3693271243501</v>
      </c>
      <c r="DC14" s="4">
        <f t="shared" ca="1" si="134"/>
        <v>0</v>
      </c>
      <c r="DD14" s="4">
        <f t="shared" ca="1" si="42"/>
        <v>11560.814334993778</v>
      </c>
      <c r="DE14" s="4">
        <f t="shared" ca="1" si="43"/>
        <v>11560.814334993778</v>
      </c>
      <c r="DF14" s="4">
        <f t="shared" ca="1" si="135"/>
        <v>0</v>
      </c>
      <c r="DG14" s="4">
        <f t="shared" ca="1" si="136"/>
        <v>5780.4071674968891</v>
      </c>
      <c r="DH14" s="4">
        <f t="shared" ca="1" si="44"/>
        <v>5780.4071674968891</v>
      </c>
      <c r="DI14" s="4"/>
      <c r="DJ14" s="4">
        <f t="shared" ca="1" si="45"/>
        <v>7249.9466414099697</v>
      </c>
      <c r="DK14" s="4">
        <f t="shared" ca="1" si="46"/>
        <v>6500</v>
      </c>
      <c r="DL14" s="4">
        <f t="shared" ca="1" si="47"/>
        <v>6500</v>
      </c>
      <c r="DM14" s="4">
        <f t="shared" ca="1" si="48"/>
        <v>22614.581342869096</v>
      </c>
      <c r="DN14" s="4">
        <f t="shared" ca="1" si="49"/>
        <v>7249.9466414099697</v>
      </c>
      <c r="DO14" s="4">
        <f t="shared" ca="1" si="50"/>
        <v>15364.634701459127</v>
      </c>
      <c r="DP14" s="4"/>
      <c r="DQ14" s="4">
        <f t="shared" ca="1" si="51"/>
        <v>0</v>
      </c>
      <c r="DR14" s="4"/>
      <c r="DS14" s="4">
        <f t="shared" si="137"/>
        <v>0</v>
      </c>
      <c r="DT14" s="4">
        <f t="shared" si="52"/>
        <v>0</v>
      </c>
      <c r="DU14" s="4">
        <f t="shared" si="53"/>
        <v>0</v>
      </c>
      <c r="DV14" s="4"/>
      <c r="DW14" s="4">
        <f t="shared" ca="1" si="138"/>
        <v>48128.909656210788</v>
      </c>
      <c r="DX14" s="4">
        <f t="shared" ca="1" si="54"/>
        <v>5780.4071674968891</v>
      </c>
      <c r="DY14" s="4">
        <f t="shared" ca="1" si="139"/>
        <v>2406.4454828105395</v>
      </c>
      <c r="DZ14" s="4">
        <f t="shared" ca="1" si="55"/>
        <v>0</v>
      </c>
      <c r="EA14" s="4">
        <f t="shared" ca="1" si="56"/>
        <v>0</v>
      </c>
      <c r="EB14" s="4">
        <f t="shared" ca="1" si="57"/>
        <v>50535.355139021325</v>
      </c>
      <c r="EC14" s="4">
        <f t="shared" si="58"/>
        <v>1</v>
      </c>
      <c r="ED14" s="4"/>
      <c r="EE14" s="4">
        <f t="shared" ca="1" si="140"/>
        <v>0</v>
      </c>
      <c r="EF14" s="4">
        <f t="shared" ca="1" si="59"/>
        <v>0</v>
      </c>
      <c r="EG14" s="4">
        <f t="shared" ca="1" si="141"/>
        <v>0</v>
      </c>
      <c r="EH14" s="4">
        <f t="shared" ca="1" si="60"/>
        <v>0</v>
      </c>
      <c r="EI14" s="4">
        <f t="shared" ca="1" si="61"/>
        <v>0</v>
      </c>
      <c r="EJ14" s="4">
        <f t="shared" ca="1" si="62"/>
        <v>0</v>
      </c>
      <c r="EK14" s="4">
        <f t="shared" si="63"/>
        <v>1</v>
      </c>
      <c r="EL14" s="4">
        <f t="shared" si="64"/>
        <v>0</v>
      </c>
      <c r="EM14" s="4"/>
      <c r="EN14" s="4">
        <f t="shared" ca="1" si="142"/>
        <v>27629.479420155847</v>
      </c>
      <c r="EO14" s="4">
        <f t="shared" ca="1" si="65"/>
        <v>7249.9466414099697</v>
      </c>
      <c r="EP14" s="4">
        <f t="shared" ca="1" si="143"/>
        <v>1381.4739710077924</v>
      </c>
      <c r="EQ14" s="4">
        <f t="shared" ca="1" si="66"/>
        <v>0</v>
      </c>
      <c r="ER14" s="4">
        <v>0</v>
      </c>
      <c r="ES14" s="4">
        <f t="shared" ca="1" si="144"/>
        <v>29010.953391163639</v>
      </c>
      <c r="ET14" s="4"/>
      <c r="EU14" s="4">
        <f t="shared" ca="1" si="145"/>
        <v>0</v>
      </c>
      <c r="EV14" s="4">
        <f t="shared" ca="1" si="67"/>
        <v>0</v>
      </c>
      <c r="EW14" s="4">
        <f t="shared" ca="1" si="146"/>
        <v>0</v>
      </c>
      <c r="EX14" s="4">
        <f t="shared" ca="1" si="68"/>
        <v>0</v>
      </c>
      <c r="EY14" s="4">
        <v>0</v>
      </c>
      <c r="EZ14" s="4">
        <f t="shared" ca="1" si="147"/>
        <v>0</v>
      </c>
      <c r="FA14" s="4">
        <f t="shared" ca="1" si="148"/>
        <v>0</v>
      </c>
      <c r="FB14" s="1">
        <f t="shared" ca="1" si="69"/>
        <v>0</v>
      </c>
      <c r="FC14" s="4">
        <f t="shared" ca="1" si="149"/>
        <v>0</v>
      </c>
      <c r="FD14" s="4">
        <f t="shared" ca="1" si="150"/>
        <v>0</v>
      </c>
      <c r="FE14" s="4">
        <f t="shared" ca="1" si="70"/>
        <v>0</v>
      </c>
      <c r="FF14" s="4">
        <f t="shared" ca="1" si="71"/>
        <v>0</v>
      </c>
      <c r="FG14" s="4">
        <f t="shared" ca="1" si="72"/>
        <v>0</v>
      </c>
      <c r="FH14" s="17">
        <f t="shared" ca="1" si="73"/>
        <v>0</v>
      </c>
      <c r="FI14" s="4">
        <f t="shared" ca="1" si="74"/>
        <v>0</v>
      </c>
      <c r="FJ14" s="4"/>
      <c r="FK14" s="4">
        <f t="shared" ca="1" si="75"/>
        <v>79546.308530184964</v>
      </c>
      <c r="FL14" s="4"/>
      <c r="FM14" s="4">
        <v>0</v>
      </c>
      <c r="FN14" s="4">
        <f t="shared" si="76"/>
        <v>0</v>
      </c>
      <c r="FO14" s="4">
        <f t="shared" si="77"/>
        <v>0</v>
      </c>
      <c r="FP14" s="4">
        <f t="shared" si="78"/>
        <v>0</v>
      </c>
      <c r="FQ14" s="4">
        <f t="shared" si="79"/>
        <v>0</v>
      </c>
      <c r="FR14" s="4">
        <f t="shared" si="80"/>
        <v>0</v>
      </c>
      <c r="FS14" s="4">
        <f t="shared" si="81"/>
        <v>0</v>
      </c>
      <c r="FT14" s="4">
        <f t="shared" ca="1" si="82"/>
        <v>5780.4071674968891</v>
      </c>
      <c r="FU14" s="4"/>
      <c r="FV14" s="3">
        <f t="shared" si="83"/>
        <v>0.87056017861391377</v>
      </c>
      <c r="FW14" s="3">
        <f t="shared" si="84"/>
        <v>0.87056017861391377</v>
      </c>
      <c r="FX14" s="4">
        <f t="shared" si="151"/>
        <v>2024</v>
      </c>
      <c r="FY14" s="18">
        <f t="shared" si="85"/>
        <v>85.654336956548747</v>
      </c>
      <c r="FZ14" s="18">
        <f t="shared" si="86"/>
        <v>0</v>
      </c>
      <c r="GA14" s="18">
        <f t="shared" si="87"/>
        <v>0</v>
      </c>
      <c r="GB14" s="18">
        <f t="shared" si="88"/>
        <v>0</v>
      </c>
      <c r="GC14" s="18">
        <f t="shared" ca="1" si="89"/>
        <v>0</v>
      </c>
      <c r="GD14" s="18">
        <f t="shared" ca="1" si="90"/>
        <v>0</v>
      </c>
      <c r="GE14" s="18">
        <f t="shared" ca="1" si="91"/>
        <v>0</v>
      </c>
      <c r="GF14" s="18">
        <f t="shared" ca="1" si="92"/>
        <v>0</v>
      </c>
      <c r="GG14" s="18" t="e">
        <f t="shared" ca="1" si="93"/>
        <v>#NAME?</v>
      </c>
      <c r="GH14" s="18" t="e">
        <f t="shared" ca="1" si="94"/>
        <v>#NAME?</v>
      </c>
      <c r="GI14" s="4"/>
      <c r="GJ14" s="4">
        <f t="shared" si="95"/>
        <v>2024</v>
      </c>
      <c r="GK14" s="4">
        <f t="shared" ca="1" si="96"/>
        <v>41.899112186803784</v>
      </c>
      <c r="GL14" s="4">
        <f t="shared" ca="1" si="97"/>
        <v>0</v>
      </c>
      <c r="GM14" s="4">
        <f t="shared" ca="1" si="98"/>
        <v>24.053124539020331</v>
      </c>
      <c r="GN14" s="4">
        <f t="shared" ca="1" si="99"/>
        <v>0</v>
      </c>
      <c r="GO14" s="4"/>
      <c r="GP14" s="3">
        <f t="shared" ca="1" si="152"/>
        <v>0.63529478705910003</v>
      </c>
      <c r="GQ14" s="3">
        <f t="shared" ca="1" si="100"/>
        <v>0</v>
      </c>
      <c r="GR14" s="3">
        <f t="shared" ca="1" si="101"/>
        <v>0</v>
      </c>
      <c r="GS14" s="3">
        <f t="shared" ca="1" si="102"/>
        <v>0.36470521294090003</v>
      </c>
      <c r="GT14" s="3">
        <f t="array" aca="1" ref="GT14" ca="1">SUM(GP14:GS14*$GU$6:$GX$6)</f>
        <v>1</v>
      </c>
      <c r="GU14" s="3">
        <f t="shared" ca="1" si="155"/>
        <v>0.63529478705910003</v>
      </c>
      <c r="GV14" s="3">
        <f t="shared" ca="1" si="156"/>
        <v>0</v>
      </c>
      <c r="GW14" s="3">
        <f t="shared" ca="1" si="157"/>
        <v>0</v>
      </c>
      <c r="GX14" s="3">
        <f t="shared" ca="1" si="158"/>
        <v>0.36470521294090003</v>
      </c>
      <c r="GY14" s="11"/>
      <c r="GZ14" s="27">
        <v>56</v>
      </c>
      <c r="HA14" s="29">
        <v>2.9399999999999999E-2</v>
      </c>
      <c r="HB14" s="29">
        <f t="shared" ca="1" si="153"/>
        <v>6.6299999999999998E-2</v>
      </c>
      <c r="HC14" s="29">
        <v>6.6299999999999998E-2</v>
      </c>
      <c r="HD14" s="29">
        <v>6.5000000000000002E-2</v>
      </c>
      <c r="HE14" s="29">
        <v>4.7E-2</v>
      </c>
      <c r="HG14" s="27">
        <v>54</v>
      </c>
      <c r="HH14" s="30">
        <v>2.7700000000000002E-2</v>
      </c>
      <c r="HJ14">
        <f t="shared" si="159"/>
        <v>2017</v>
      </c>
      <c r="HK14" s="27">
        <v>26010</v>
      </c>
      <c r="HL14" s="27">
        <f>ROUND(HM14/500,0)*500</f>
        <v>5500</v>
      </c>
      <c r="HM14" s="28">
        <f>HM13*(1+$B$15)</f>
        <v>5610</v>
      </c>
      <c r="IB14" t="s">
        <v>391</v>
      </c>
      <c r="ID14" s="4" t="e">
        <f ca="1">ID12-ID13</f>
        <v>#NAME?</v>
      </c>
      <c r="IE14" s="90" t="e">
        <f ca="1">IE12-IE13</f>
        <v>#NAME?</v>
      </c>
    </row>
    <row r="15" spans="1:240" x14ac:dyDescent="0.25">
      <c r="A15" t="s">
        <v>10</v>
      </c>
      <c r="B15" s="63">
        <f>Inputs_Summary!AJ12</f>
        <v>0.02</v>
      </c>
      <c r="D15">
        <f t="shared" si="107"/>
        <v>2025</v>
      </c>
      <c r="E15">
        <f t="shared" si="108"/>
        <v>30</v>
      </c>
      <c r="F15" s="9"/>
      <c r="G15" s="9"/>
      <c r="H15" s="9"/>
      <c r="I15" s="9"/>
      <c r="J15" s="92"/>
      <c r="K15" s="91"/>
      <c r="L15" s="91"/>
      <c r="N15" s="93">
        <f t="shared" si="109"/>
        <v>0.05</v>
      </c>
      <c r="O15" s="23">
        <f t="shared" si="110"/>
        <v>0.4</v>
      </c>
      <c r="P15" s="23">
        <f t="shared" si="111"/>
        <v>0.1</v>
      </c>
      <c r="Q15" s="4">
        <f t="shared" si="0"/>
        <v>0</v>
      </c>
      <c r="R15" s="4">
        <f t="shared" si="112"/>
        <v>0</v>
      </c>
      <c r="S15" s="4">
        <f t="shared" si="113"/>
        <v>0</v>
      </c>
      <c r="T15" s="4">
        <f t="shared" ca="1" si="114"/>
        <v>0</v>
      </c>
      <c r="V15" s="18" t="e">
        <f t="shared" ca="1" si="1"/>
        <v>#NAME?</v>
      </c>
      <c r="W15" s="18" t="e">
        <f t="shared" ca="1" si="2"/>
        <v>#NAME?</v>
      </c>
      <c r="X15" s="18">
        <f t="shared" si="3"/>
        <v>0</v>
      </c>
      <c r="Y15" s="18">
        <f t="shared" ca="1" si="4"/>
        <v>10.163055029574812</v>
      </c>
      <c r="Z15" s="18">
        <f t="shared" ca="1" si="5"/>
        <v>0</v>
      </c>
      <c r="AA15" s="18">
        <f t="shared" ca="1" si="6"/>
        <v>6.8265640283135616</v>
      </c>
      <c r="AB15" s="18">
        <f t="shared" ca="1" si="7"/>
        <v>0</v>
      </c>
      <c r="AC15" s="18">
        <f t="shared" ca="1" si="8"/>
        <v>48.06496087484431</v>
      </c>
      <c r="AD15" s="18">
        <f t="shared" ca="1" si="9"/>
        <v>0</v>
      </c>
      <c r="AE15" s="18">
        <f t="shared" ca="1" si="10"/>
        <v>30.948329028488775</v>
      </c>
      <c r="AF15" s="18">
        <f t="shared" ca="1" si="11"/>
        <v>0</v>
      </c>
      <c r="AG15" s="18">
        <f t="shared" ca="1" si="12"/>
        <v>79.013289903333089</v>
      </c>
      <c r="AI15">
        <f>Person2!E15</f>
        <v>30</v>
      </c>
      <c r="AJ15">
        <f>Person2!AZ15</f>
        <v>1</v>
      </c>
      <c r="AK15">
        <f>IF($AZ15&lt;&gt;3,Person2!FM15,0)</f>
        <v>0</v>
      </c>
      <c r="AL15" s="4">
        <f ca="1">IF($AZ15&lt;&gt;3,Person2!FN15+Person2!FT15,0)</f>
        <v>0</v>
      </c>
      <c r="AM15">
        <f>IF($AZ15&lt;&gt;3,Person2!FO15,0)</f>
        <v>0</v>
      </c>
      <c r="AN15">
        <f>IF($AZ15&lt;&gt;3,Person2!FP15,0)</f>
        <v>0</v>
      </c>
      <c r="AO15">
        <f>IF($AZ15&lt;&gt;3,Person2!FQ15,0)</f>
        <v>0</v>
      </c>
      <c r="AP15">
        <f>IF($AZ15&lt;&gt;3,Person2!FR15,0)</f>
        <v>0</v>
      </c>
      <c r="AQ15">
        <v>0</v>
      </c>
      <c r="AR15" s="4">
        <f>Person2!FS15</f>
        <v>0</v>
      </c>
      <c r="AS15" s="4">
        <v>0</v>
      </c>
      <c r="AT15" s="4">
        <v>0</v>
      </c>
      <c r="AV15">
        <f t="shared" si="161"/>
        <v>2025</v>
      </c>
      <c r="AW15">
        <f t="shared" si="116"/>
        <v>30</v>
      </c>
      <c r="AX15">
        <f t="shared" si="117"/>
        <v>1.1716593810022657</v>
      </c>
      <c r="AY15">
        <f t="shared" si="118"/>
        <v>0.8534903711901114</v>
      </c>
      <c r="AZ15">
        <f t="shared" si="119"/>
        <v>1</v>
      </c>
      <c r="BB15" s="4">
        <f t="shared" si="13"/>
        <v>101341.60651100927</v>
      </c>
      <c r="BC15">
        <f t="shared" si="14"/>
        <v>0</v>
      </c>
      <c r="BD15" s="4">
        <f t="shared" si="15"/>
        <v>0</v>
      </c>
      <c r="BE15" s="4">
        <f t="shared" si="120"/>
        <v>0</v>
      </c>
      <c r="BF15" s="4">
        <f t="shared" si="121"/>
        <v>0</v>
      </c>
      <c r="BG15" s="4">
        <f t="shared" si="122"/>
        <v>0</v>
      </c>
      <c r="BH15" s="4">
        <f t="shared" si="16"/>
        <v>0</v>
      </c>
      <c r="BI15" s="4">
        <f t="shared" si="123"/>
        <v>101341.60651100927</v>
      </c>
      <c r="BJ15" s="4"/>
      <c r="BK15" s="4">
        <f t="shared" si="17"/>
        <v>58582.969050113286</v>
      </c>
      <c r="BL15" s="4">
        <f t="shared" si="124"/>
        <v>0</v>
      </c>
      <c r="BM15" s="4">
        <f t="shared" si="125"/>
        <v>58582.969050113286</v>
      </c>
      <c r="BN15" s="4">
        <v>22852.590912066204</v>
      </c>
      <c r="BO15" s="4">
        <f t="shared" si="126"/>
        <v>81435.559962179483</v>
      </c>
      <c r="BP15" s="4">
        <f t="shared" si="127"/>
        <v>19906.046548829792</v>
      </c>
      <c r="BQ15" s="4"/>
      <c r="BR15" s="4">
        <v>0</v>
      </c>
      <c r="BS15" s="4">
        <f t="shared" ca="1" si="18"/>
        <v>11907.63876504359</v>
      </c>
      <c r="BT15" s="4">
        <f t="shared" ca="1" si="19"/>
        <v>21864.634701459127</v>
      </c>
      <c r="BU15" s="4">
        <f t="shared" si="20"/>
        <v>0</v>
      </c>
      <c r="BV15" s="4">
        <f t="shared" si="21"/>
        <v>1</v>
      </c>
      <c r="BW15" s="4">
        <f t="shared" ca="1" si="22"/>
        <v>0</v>
      </c>
      <c r="BX15" s="4">
        <f t="shared" ca="1" si="23"/>
        <v>0</v>
      </c>
      <c r="BY15" s="4">
        <f t="shared" ca="1" si="24"/>
        <v>0</v>
      </c>
      <c r="BZ15" s="4">
        <f t="shared" ca="1" si="25"/>
        <v>0</v>
      </c>
      <c r="CA15" s="4">
        <f t="shared" ca="1" si="26"/>
        <v>0</v>
      </c>
      <c r="CB15" s="4">
        <f t="shared" ca="1" si="160"/>
        <v>0</v>
      </c>
      <c r="CC15" s="4"/>
      <c r="CD15" s="4">
        <f t="shared" ca="1" si="27"/>
        <v>101341.60651100927</v>
      </c>
      <c r="CE15" s="4">
        <f t="shared" ca="1" si="128"/>
        <v>85450.103235275586</v>
      </c>
      <c r="CF15" s="16">
        <f t="shared" si="28"/>
        <v>0</v>
      </c>
      <c r="CG15" s="4">
        <f t="shared" si="129"/>
        <v>3983.864510690094</v>
      </c>
      <c r="CH15" s="4" t="e">
        <f t="shared" ca="1" si="29"/>
        <v>#NAME?</v>
      </c>
      <c r="CI15" s="4" t="e">
        <f t="shared" ca="1" si="30"/>
        <v>#NAME?</v>
      </c>
      <c r="CJ15" s="4" t="e">
        <f t="shared" ca="1" si="130"/>
        <v>#NAME?</v>
      </c>
      <c r="CK15" s="4" t="e">
        <f t="shared" ca="1" si="31"/>
        <v>#NAME?</v>
      </c>
      <c r="CL15" s="4" t="e">
        <f t="shared" ca="1" si="32"/>
        <v>#NAME?</v>
      </c>
      <c r="CM15" s="16"/>
      <c r="CN15" s="4">
        <f t="shared" si="33"/>
        <v>0</v>
      </c>
      <c r="CO15" s="4">
        <f t="shared" si="131"/>
        <v>0</v>
      </c>
      <c r="CP15" s="4">
        <f t="shared" ca="1" si="34"/>
        <v>92576.662339091825</v>
      </c>
      <c r="CQ15" s="4"/>
      <c r="CR15" s="4">
        <f t="shared" ca="1" si="35"/>
        <v>19906.046548829792</v>
      </c>
      <c r="CS15" s="4">
        <f t="shared" ca="1" si="36"/>
        <v>26680</v>
      </c>
      <c r="CT15" s="4">
        <f t="shared" ca="1" si="37"/>
        <v>18241.48917198167</v>
      </c>
      <c r="CU15" s="4"/>
      <c r="CV15" s="4">
        <f t="shared" ca="1" si="132"/>
        <v>19906.046548829792</v>
      </c>
      <c r="CW15" s="4">
        <f t="shared" ca="1" si="38"/>
        <v>0</v>
      </c>
      <c r="CX15" s="4">
        <f t="shared" ca="1" si="39"/>
        <v>0</v>
      </c>
      <c r="CY15" s="4">
        <f t="shared" ca="1" si="133"/>
        <v>19906.046548829792</v>
      </c>
      <c r="CZ15" s="4"/>
      <c r="DA15" s="4">
        <f t="shared" ca="1" si="40"/>
        <v>19906.046548829792</v>
      </c>
      <c r="DB15" s="4">
        <f t="shared" si="41"/>
        <v>6333.8504069380797</v>
      </c>
      <c r="DC15" s="4">
        <f t="shared" ca="1" si="134"/>
        <v>0</v>
      </c>
      <c r="DD15" s="4">
        <f t="shared" ca="1" si="42"/>
        <v>11907.63876504359</v>
      </c>
      <c r="DE15" s="4">
        <f t="shared" ca="1" si="43"/>
        <v>11907.63876504359</v>
      </c>
      <c r="DF15" s="4">
        <f t="shared" ca="1" si="135"/>
        <v>0</v>
      </c>
      <c r="DG15" s="4">
        <f t="shared" ca="1" si="136"/>
        <v>5953.819382521795</v>
      </c>
      <c r="DH15" s="4">
        <f t="shared" ca="1" si="44"/>
        <v>5953.819382521795</v>
      </c>
      <c r="DI15" s="4"/>
      <c r="DJ15" s="4">
        <f t="shared" ca="1" si="45"/>
        <v>7998.4077837862023</v>
      </c>
      <c r="DK15" s="4">
        <f t="shared" ca="1" si="46"/>
        <v>6500</v>
      </c>
      <c r="DL15" s="4">
        <f t="shared" ca="1" si="47"/>
        <v>6500</v>
      </c>
      <c r="DM15" s="4">
        <f t="shared" ca="1" si="48"/>
        <v>21864.634701459127</v>
      </c>
      <c r="DN15" s="4">
        <f t="shared" ca="1" si="49"/>
        <v>7998.4077837862023</v>
      </c>
      <c r="DO15" s="4">
        <f t="shared" ca="1" si="50"/>
        <v>13866.226917672924</v>
      </c>
      <c r="DP15" s="4"/>
      <c r="DQ15" s="4">
        <f t="shared" ca="1" si="51"/>
        <v>0</v>
      </c>
      <c r="DR15" s="4"/>
      <c r="DS15" s="4">
        <f t="shared" si="137"/>
        <v>0</v>
      </c>
      <c r="DT15" s="4">
        <f t="shared" si="52"/>
        <v>0</v>
      </c>
      <c r="DU15" s="4">
        <f t="shared" si="53"/>
        <v>0</v>
      </c>
      <c r="DV15" s="4"/>
      <c r="DW15" s="4">
        <f t="shared" ca="1" si="138"/>
        <v>56315.762306518212</v>
      </c>
      <c r="DX15" s="4">
        <f t="shared" ca="1" si="54"/>
        <v>5953.819382521795</v>
      </c>
      <c r="DY15" s="4">
        <f t="shared" ca="1" si="139"/>
        <v>2815.7881153259109</v>
      </c>
      <c r="DZ15" s="4">
        <f t="shared" ca="1" si="55"/>
        <v>0</v>
      </c>
      <c r="EA15" s="4">
        <f t="shared" ca="1" si="56"/>
        <v>0</v>
      </c>
      <c r="EB15" s="4">
        <f t="shared" ca="1" si="57"/>
        <v>59131.55042184412</v>
      </c>
      <c r="EC15" s="4">
        <f t="shared" si="58"/>
        <v>1</v>
      </c>
      <c r="ED15" s="4"/>
      <c r="EE15" s="4">
        <f t="shared" ca="1" si="140"/>
        <v>0</v>
      </c>
      <c r="EF15" s="4">
        <f t="shared" ca="1" si="59"/>
        <v>0</v>
      </c>
      <c r="EG15" s="4">
        <f t="shared" ca="1" si="141"/>
        <v>0</v>
      </c>
      <c r="EH15" s="4">
        <f t="shared" ca="1" si="60"/>
        <v>0</v>
      </c>
      <c r="EI15" s="4">
        <f t="shared" ca="1" si="61"/>
        <v>0</v>
      </c>
      <c r="EJ15" s="4">
        <f t="shared" ca="1" si="62"/>
        <v>0</v>
      </c>
      <c r="EK15" s="4">
        <f t="shared" si="63"/>
        <v>1</v>
      </c>
      <c r="EL15" s="4">
        <f t="shared" si="64"/>
        <v>0</v>
      </c>
      <c r="EM15" s="4"/>
      <c r="EN15" s="4">
        <f t="shared" ca="1" si="142"/>
        <v>36260.900032573612</v>
      </c>
      <c r="EO15" s="4">
        <f t="shared" ca="1" si="65"/>
        <v>7998.4077837862023</v>
      </c>
      <c r="EP15" s="4">
        <f t="shared" ca="1" si="143"/>
        <v>1813.0450016286807</v>
      </c>
      <c r="EQ15" s="4">
        <f t="shared" ca="1" si="66"/>
        <v>0</v>
      </c>
      <c r="ER15" s="4">
        <v>0</v>
      </c>
      <c r="ES15" s="4">
        <f t="shared" ca="1" si="144"/>
        <v>38073.94503420229</v>
      </c>
      <c r="ET15" s="4"/>
      <c r="EU15" s="4">
        <f t="shared" ca="1" si="145"/>
        <v>0</v>
      </c>
      <c r="EV15" s="4">
        <f t="shared" ca="1" si="67"/>
        <v>0</v>
      </c>
      <c r="EW15" s="4">
        <f t="shared" ca="1" si="146"/>
        <v>0</v>
      </c>
      <c r="EX15" s="4">
        <f t="shared" ca="1" si="68"/>
        <v>0</v>
      </c>
      <c r="EY15" s="4">
        <v>0</v>
      </c>
      <c r="EZ15" s="4">
        <f t="shared" ca="1" si="147"/>
        <v>0</v>
      </c>
      <c r="FA15" s="4">
        <f t="shared" ca="1" si="148"/>
        <v>0</v>
      </c>
      <c r="FB15" s="1">
        <f t="shared" ca="1" si="69"/>
        <v>0</v>
      </c>
      <c r="FC15" s="4">
        <f t="shared" ca="1" si="149"/>
        <v>0</v>
      </c>
      <c r="FD15" s="4">
        <f t="shared" ca="1" si="150"/>
        <v>0</v>
      </c>
      <c r="FE15" s="4">
        <f t="shared" ca="1" si="70"/>
        <v>0</v>
      </c>
      <c r="FF15" s="4">
        <f t="shared" ca="1" si="71"/>
        <v>0</v>
      </c>
      <c r="FG15" s="4">
        <f t="shared" ca="1" si="72"/>
        <v>0</v>
      </c>
      <c r="FH15" s="17">
        <f t="shared" ca="1" si="73"/>
        <v>0</v>
      </c>
      <c r="FI15" s="4">
        <f t="shared" ca="1" si="74"/>
        <v>0</v>
      </c>
      <c r="FJ15" s="4"/>
      <c r="FK15" s="4">
        <f t="shared" ca="1" si="75"/>
        <v>97205.49545604641</v>
      </c>
      <c r="FL15" s="4"/>
      <c r="FM15" s="4">
        <v>0</v>
      </c>
      <c r="FN15" s="4">
        <f t="shared" si="76"/>
        <v>0</v>
      </c>
      <c r="FO15" s="4">
        <f t="shared" si="77"/>
        <v>0</v>
      </c>
      <c r="FP15" s="4">
        <f t="shared" si="78"/>
        <v>0</v>
      </c>
      <c r="FQ15" s="4">
        <f t="shared" si="79"/>
        <v>0</v>
      </c>
      <c r="FR15" s="4">
        <f t="shared" si="80"/>
        <v>0</v>
      </c>
      <c r="FS15" s="4">
        <f t="shared" si="81"/>
        <v>0</v>
      </c>
      <c r="FT15" s="4">
        <f t="shared" ca="1" si="82"/>
        <v>5953.819382521795</v>
      </c>
      <c r="FU15" s="4"/>
      <c r="FV15" s="3">
        <f t="shared" si="83"/>
        <v>0.8534903711901114</v>
      </c>
      <c r="FW15" s="3">
        <f t="shared" si="84"/>
        <v>0.8534903711901114</v>
      </c>
      <c r="FX15" s="4">
        <f t="shared" si="151"/>
        <v>2025</v>
      </c>
      <c r="FY15" s="18">
        <f t="shared" si="85"/>
        <v>86.49408535808351</v>
      </c>
      <c r="FZ15" s="18">
        <f t="shared" si="86"/>
        <v>0</v>
      </c>
      <c r="GA15" s="18">
        <f t="shared" si="87"/>
        <v>0</v>
      </c>
      <c r="GB15" s="18">
        <f t="shared" si="88"/>
        <v>0</v>
      </c>
      <c r="GC15" s="18">
        <f t="shared" ca="1" si="89"/>
        <v>0</v>
      </c>
      <c r="GD15" s="18">
        <f t="shared" ca="1" si="90"/>
        <v>0</v>
      </c>
      <c r="GE15" s="18">
        <f t="shared" ca="1" si="91"/>
        <v>0</v>
      </c>
      <c r="GF15" s="18">
        <f t="shared" ca="1" si="92"/>
        <v>0</v>
      </c>
      <c r="GG15" s="18" t="e">
        <f t="shared" ca="1" si="93"/>
        <v>#NAME?</v>
      </c>
      <c r="GH15" s="18" t="e">
        <f t="shared" ca="1" si="94"/>
        <v>#NAME?</v>
      </c>
      <c r="GI15" s="4"/>
      <c r="GJ15" s="4">
        <f t="shared" si="95"/>
        <v>2025</v>
      </c>
      <c r="GK15" s="4">
        <f t="shared" ca="1" si="96"/>
        <v>48.06496087484431</v>
      </c>
      <c r="GL15" s="4">
        <f t="shared" ca="1" si="97"/>
        <v>0</v>
      </c>
      <c r="GM15" s="4">
        <f t="shared" ca="1" si="98"/>
        <v>30.948329028488775</v>
      </c>
      <c r="GN15" s="4">
        <f t="shared" ca="1" si="99"/>
        <v>0</v>
      </c>
      <c r="GO15" s="4"/>
      <c r="GP15" s="3">
        <f t="shared" ca="1" si="152"/>
        <v>0.60831489150303997</v>
      </c>
      <c r="GQ15" s="3">
        <f t="shared" ca="1" si="100"/>
        <v>0</v>
      </c>
      <c r="GR15" s="3">
        <f t="shared" ca="1" si="101"/>
        <v>0</v>
      </c>
      <c r="GS15" s="3">
        <f t="shared" ca="1" si="102"/>
        <v>0.39168510849695998</v>
      </c>
      <c r="GT15" s="3">
        <f t="array" aca="1" ref="GT15" ca="1">SUM(GP15:GS15*$GU$6:$GX$6)</f>
        <v>1</v>
      </c>
      <c r="GU15" s="3">
        <f t="shared" ca="1" si="155"/>
        <v>0.60831489150303997</v>
      </c>
      <c r="GV15" s="3">
        <f t="shared" ca="1" si="156"/>
        <v>0</v>
      </c>
      <c r="GW15" s="3">
        <f t="shared" ca="1" si="157"/>
        <v>0</v>
      </c>
      <c r="GX15" s="3">
        <f t="shared" ca="1" si="158"/>
        <v>0.39168510849695998</v>
      </c>
      <c r="GY15" s="11"/>
      <c r="GZ15" s="27">
        <v>57</v>
      </c>
      <c r="HA15" s="29">
        <v>3.0300000000000001E-2</v>
      </c>
      <c r="HB15" s="29">
        <f t="shared" ca="1" si="153"/>
        <v>6.7000000000000004E-2</v>
      </c>
      <c r="HC15" s="29">
        <v>6.7000000000000004E-2</v>
      </c>
      <c r="HD15" s="29">
        <v>6.6000000000000003E-2</v>
      </c>
      <c r="HE15" s="29">
        <v>4.7600000000000003E-2</v>
      </c>
      <c r="HG15" s="27">
        <v>55</v>
      </c>
      <c r="HH15" s="30">
        <v>2.86E-2</v>
      </c>
      <c r="HJ15">
        <f t="shared" si="159"/>
        <v>2018</v>
      </c>
      <c r="HK15" s="28">
        <v>23230</v>
      </c>
      <c r="HL15" s="27">
        <f t="shared" ref="HL15:HL78" si="162">ROUND(HM15/500,0)*500</f>
        <v>5500</v>
      </c>
      <c r="HM15" s="28">
        <f t="shared" ref="HM15:HM78" si="163">HM14*(1+$B$15)</f>
        <v>5722.2</v>
      </c>
      <c r="HO15" t="s">
        <v>162</v>
      </c>
      <c r="HP15">
        <f>MATCH(B8,HR27:IG27,0)</f>
        <v>9</v>
      </c>
      <c r="HR15" s="2" t="s">
        <v>161</v>
      </c>
      <c r="HT15" s="100"/>
      <c r="ID15" s="4"/>
      <c r="IE15" s="90"/>
    </row>
    <row r="16" spans="1:240" x14ac:dyDescent="0.25">
      <c r="A16" t="s">
        <v>23</v>
      </c>
      <c r="B16" s="63">
        <f>Inputs_Summary!AJ13</f>
        <v>0.03</v>
      </c>
      <c r="D16">
        <f t="shared" si="107"/>
        <v>2026</v>
      </c>
      <c r="E16">
        <f t="shared" si="108"/>
        <v>31</v>
      </c>
      <c r="F16" s="9"/>
      <c r="G16" s="9"/>
      <c r="H16" s="9"/>
      <c r="I16" s="9"/>
      <c r="J16" s="92"/>
      <c r="K16" s="91"/>
      <c r="L16" s="91"/>
      <c r="N16" s="93">
        <f t="shared" si="109"/>
        <v>0.05</v>
      </c>
      <c r="O16" s="23">
        <f t="shared" si="110"/>
        <v>0.4</v>
      </c>
      <c r="P16" s="23">
        <f t="shared" si="111"/>
        <v>0.1</v>
      </c>
      <c r="Q16" s="4">
        <f t="shared" si="0"/>
        <v>0</v>
      </c>
      <c r="R16" s="4">
        <f t="shared" si="112"/>
        <v>0</v>
      </c>
      <c r="S16" s="4">
        <f t="shared" si="113"/>
        <v>0</v>
      </c>
      <c r="T16" s="4">
        <f t="shared" ca="1" si="114"/>
        <v>0</v>
      </c>
      <c r="V16" s="18" t="e">
        <f t="shared" ca="1" si="1"/>
        <v>#NAME?</v>
      </c>
      <c r="W16" s="18" t="e">
        <f t="shared" ca="1" si="2"/>
        <v>#NAME?</v>
      </c>
      <c r="X16" s="18">
        <f t="shared" si="3"/>
        <v>0</v>
      </c>
      <c r="Y16" s="18">
        <f t="shared" ca="1" si="4"/>
        <v>10.262692823982411</v>
      </c>
      <c r="Z16" s="18">
        <f t="shared" ca="1" si="5"/>
        <v>0</v>
      </c>
      <c r="AA16" s="18">
        <f t="shared" ca="1" si="6"/>
        <v>7.3466627153558388</v>
      </c>
      <c r="AB16" s="18">
        <f t="shared" ca="1" si="7"/>
        <v>0</v>
      </c>
      <c r="AC16" s="18">
        <f t="shared" ca="1" si="8"/>
        <v>54.460525915072488</v>
      </c>
      <c r="AD16" s="18">
        <f t="shared" ca="1" si="9"/>
        <v>0</v>
      </c>
      <c r="AE16" s="18">
        <f t="shared" ca="1" si="10"/>
        <v>38.551283831594873</v>
      </c>
      <c r="AF16" s="18">
        <f t="shared" ca="1" si="11"/>
        <v>0</v>
      </c>
      <c r="AG16" s="18">
        <f t="shared" ca="1" si="12"/>
        <v>93.011809746667353</v>
      </c>
      <c r="AI16">
        <f>Person2!E16</f>
        <v>31</v>
      </c>
      <c r="AJ16">
        <f>Person2!AZ16</f>
        <v>1</v>
      </c>
      <c r="AK16">
        <f>IF($AZ16&lt;&gt;3,Person2!FM16,0)</f>
        <v>0</v>
      </c>
      <c r="AL16" s="4">
        <f ca="1">IF($AZ16&lt;&gt;3,Person2!FN16+Person2!FT16,0)</f>
        <v>0</v>
      </c>
      <c r="AM16">
        <f>IF($AZ16&lt;&gt;3,Person2!FO16,0)</f>
        <v>0</v>
      </c>
      <c r="AN16">
        <f>IF($AZ16&lt;&gt;3,Person2!FP16,0)</f>
        <v>0</v>
      </c>
      <c r="AO16">
        <f>IF($AZ16&lt;&gt;3,Person2!FQ16,0)</f>
        <v>0</v>
      </c>
      <c r="AP16">
        <f>IF($AZ16&lt;&gt;3,Person2!FR16,0)</f>
        <v>0</v>
      </c>
      <c r="AQ16">
        <v>0</v>
      </c>
      <c r="AR16" s="4">
        <f>Person2!FS16</f>
        <v>0</v>
      </c>
      <c r="AS16" s="4">
        <v>0</v>
      </c>
      <c r="AT16" s="4">
        <v>0</v>
      </c>
      <c r="AV16">
        <f t="shared" si="161"/>
        <v>2026</v>
      </c>
      <c r="AW16">
        <f t="shared" si="116"/>
        <v>31</v>
      </c>
      <c r="AX16">
        <f t="shared" si="117"/>
        <v>1.1950925686223111</v>
      </c>
      <c r="AY16">
        <f t="shared" si="118"/>
        <v>0.83675526587265825</v>
      </c>
      <c r="AZ16">
        <f t="shared" si="119"/>
        <v>1</v>
      </c>
      <c r="BB16" s="4">
        <f t="shared" si="13"/>
        <v>104381.85470633955</v>
      </c>
      <c r="BC16">
        <f t="shared" si="14"/>
        <v>0</v>
      </c>
      <c r="BD16" s="4">
        <f t="shared" si="15"/>
        <v>0</v>
      </c>
      <c r="BE16" s="4">
        <f t="shared" si="120"/>
        <v>0</v>
      </c>
      <c r="BF16" s="4">
        <f t="shared" si="121"/>
        <v>0</v>
      </c>
      <c r="BG16" s="4">
        <f t="shared" si="122"/>
        <v>0</v>
      </c>
      <c r="BH16" s="4">
        <f t="shared" si="16"/>
        <v>0</v>
      </c>
      <c r="BI16" s="4">
        <f t="shared" si="123"/>
        <v>104381.85470633955</v>
      </c>
      <c r="BJ16" s="4"/>
      <c r="BK16" s="4">
        <f t="shared" si="17"/>
        <v>59754.628431115554</v>
      </c>
      <c r="BL16" s="4">
        <f t="shared" si="124"/>
        <v>0</v>
      </c>
      <c r="BM16" s="4">
        <f t="shared" si="125"/>
        <v>59754.628431115554</v>
      </c>
      <c r="BN16" s="4">
        <v>23582.416331932727</v>
      </c>
      <c r="BO16" s="4">
        <f t="shared" si="126"/>
        <v>83337.044763048281</v>
      </c>
      <c r="BP16" s="4">
        <f t="shared" si="127"/>
        <v>21044.809943291271</v>
      </c>
      <c r="BQ16" s="4"/>
      <c r="BR16" s="4">
        <v>0</v>
      </c>
      <c r="BS16" s="4">
        <f t="shared" ca="1" si="18"/>
        <v>12264.867927994899</v>
      </c>
      <c r="BT16" s="4">
        <f t="shared" ca="1" si="19"/>
        <v>20366.226917672924</v>
      </c>
      <c r="BU16" s="4">
        <f t="shared" si="20"/>
        <v>0</v>
      </c>
      <c r="BV16" s="4">
        <f t="shared" si="21"/>
        <v>1</v>
      </c>
      <c r="BW16" s="4">
        <f t="shared" ca="1" si="22"/>
        <v>0</v>
      </c>
      <c r="BX16" s="4">
        <f t="shared" ca="1" si="23"/>
        <v>0</v>
      </c>
      <c r="BY16" s="4">
        <f t="shared" ca="1" si="24"/>
        <v>0</v>
      </c>
      <c r="BZ16" s="4">
        <f t="shared" ca="1" si="25"/>
        <v>0</v>
      </c>
      <c r="CA16" s="4">
        <f t="shared" ca="1" si="26"/>
        <v>0</v>
      </c>
      <c r="CB16" s="4">
        <f t="shared" ca="1" si="160"/>
        <v>0</v>
      </c>
      <c r="CC16" s="4"/>
      <c r="CD16" s="4">
        <f t="shared" ca="1" si="27"/>
        <v>104381.85470633955</v>
      </c>
      <c r="CE16" s="4">
        <f t="shared" ca="1" si="128"/>
        <v>88053.444977440755</v>
      </c>
      <c r="CF16" s="16">
        <f t="shared" si="28"/>
        <v>0</v>
      </c>
      <c r="CG16" s="4">
        <f t="shared" si="129"/>
        <v>4063.5418009038958</v>
      </c>
      <c r="CH16" s="4" t="e">
        <f t="shared" ca="1" si="29"/>
        <v>#NAME?</v>
      </c>
      <c r="CI16" s="4" t="e">
        <f t="shared" ca="1" si="30"/>
        <v>#NAME?</v>
      </c>
      <c r="CJ16" s="4" t="e">
        <f t="shared" ca="1" si="130"/>
        <v>#NAME?</v>
      </c>
      <c r="CK16" s="4" t="e">
        <f t="shared" ca="1" si="31"/>
        <v>#NAME?</v>
      </c>
      <c r="CL16" s="4" t="e">
        <f t="shared" ca="1" si="32"/>
        <v>#NAME?</v>
      </c>
      <c r="CM16" s="16"/>
      <c r="CN16" s="4">
        <f t="shared" si="33"/>
        <v>0</v>
      </c>
      <c r="CO16" s="4">
        <f t="shared" si="131"/>
        <v>0</v>
      </c>
      <c r="CP16" s="4">
        <f t="shared" ca="1" si="34"/>
        <v>111157.7226223544</v>
      </c>
      <c r="CQ16" s="4"/>
      <c r="CR16" s="4">
        <f t="shared" ca="1" si="35"/>
        <v>21044.809943291271</v>
      </c>
      <c r="CS16" s="4">
        <f t="shared" ca="1" si="36"/>
        <v>27220</v>
      </c>
      <c r="CT16" s="4">
        <f t="shared" ca="1" si="37"/>
        <v>18788.73384714112</v>
      </c>
      <c r="CU16" s="4"/>
      <c r="CV16" s="4">
        <f t="shared" ca="1" si="132"/>
        <v>21044.809943291271</v>
      </c>
      <c r="CW16" s="4">
        <f t="shared" ca="1" si="38"/>
        <v>0</v>
      </c>
      <c r="CX16" s="4">
        <f t="shared" ca="1" si="39"/>
        <v>0</v>
      </c>
      <c r="CY16" s="4">
        <f t="shared" ca="1" si="133"/>
        <v>21044.809943291271</v>
      </c>
      <c r="CZ16" s="4"/>
      <c r="DA16" s="4">
        <f t="shared" ca="1" si="40"/>
        <v>21044.809943291271</v>
      </c>
      <c r="DB16" s="4">
        <f t="shared" si="41"/>
        <v>6523.865919146222</v>
      </c>
      <c r="DC16" s="4">
        <f t="shared" ca="1" si="134"/>
        <v>0</v>
      </c>
      <c r="DD16" s="4">
        <f t="shared" ca="1" si="42"/>
        <v>12264.867927994899</v>
      </c>
      <c r="DE16" s="4">
        <f t="shared" ca="1" si="43"/>
        <v>12264.867927994899</v>
      </c>
      <c r="DF16" s="4">
        <f t="shared" ca="1" si="135"/>
        <v>0</v>
      </c>
      <c r="DG16" s="4">
        <f t="shared" ca="1" si="136"/>
        <v>6132.4339639974496</v>
      </c>
      <c r="DH16" s="4">
        <f t="shared" ca="1" si="44"/>
        <v>6132.4339639974496</v>
      </c>
      <c r="DI16" s="4"/>
      <c r="DJ16" s="4">
        <f t="shared" ca="1" si="45"/>
        <v>8779.9420152963721</v>
      </c>
      <c r="DK16" s="4">
        <f t="shared" ca="1" si="46"/>
        <v>6500</v>
      </c>
      <c r="DL16" s="4">
        <f t="shared" ca="1" si="47"/>
        <v>6500</v>
      </c>
      <c r="DM16" s="4">
        <f t="shared" ca="1" si="48"/>
        <v>20366.226917672924</v>
      </c>
      <c r="DN16" s="4">
        <f t="shared" ca="1" si="49"/>
        <v>8779.9420152963721</v>
      </c>
      <c r="DO16" s="4">
        <f t="shared" ca="1" si="50"/>
        <v>11586.284902376552</v>
      </c>
      <c r="DP16" s="4"/>
      <c r="DQ16" s="4">
        <f t="shared" ca="1" si="51"/>
        <v>0</v>
      </c>
      <c r="DR16" s="4"/>
      <c r="DS16" s="4">
        <f t="shared" si="137"/>
        <v>0</v>
      </c>
      <c r="DT16" s="4">
        <f t="shared" si="52"/>
        <v>0</v>
      </c>
      <c r="DU16" s="4">
        <f t="shared" si="53"/>
        <v>0</v>
      </c>
      <c r="DV16" s="4"/>
      <c r="DW16" s="4">
        <f t="shared" ca="1" si="138"/>
        <v>65085.369804365917</v>
      </c>
      <c r="DX16" s="4">
        <f t="shared" ca="1" si="54"/>
        <v>6132.4339639974496</v>
      </c>
      <c r="DY16" s="4">
        <f t="shared" ca="1" si="139"/>
        <v>3254.2684902182959</v>
      </c>
      <c r="DZ16" s="4">
        <f t="shared" ca="1" si="55"/>
        <v>0</v>
      </c>
      <c r="EA16" s="4">
        <f t="shared" ca="1" si="56"/>
        <v>0</v>
      </c>
      <c r="EB16" s="4">
        <f t="shared" ca="1" si="57"/>
        <v>68339.63829458422</v>
      </c>
      <c r="EC16" s="4">
        <f t="shared" si="58"/>
        <v>1</v>
      </c>
      <c r="ED16" s="4"/>
      <c r="EE16" s="4">
        <f t="shared" ca="1" si="140"/>
        <v>0</v>
      </c>
      <c r="EF16" s="4">
        <f t="shared" ca="1" si="59"/>
        <v>0</v>
      </c>
      <c r="EG16" s="4">
        <f t="shared" ca="1" si="141"/>
        <v>0</v>
      </c>
      <c r="EH16" s="4">
        <f t="shared" ca="1" si="60"/>
        <v>0</v>
      </c>
      <c r="EI16" s="4">
        <f t="shared" ca="1" si="61"/>
        <v>0</v>
      </c>
      <c r="EJ16" s="4">
        <f t="shared" ca="1" si="62"/>
        <v>0</v>
      </c>
      <c r="EK16" s="4">
        <f t="shared" si="63"/>
        <v>1</v>
      </c>
      <c r="EL16" s="4">
        <f t="shared" si="64"/>
        <v>0</v>
      </c>
      <c r="EM16" s="4"/>
      <c r="EN16" s="4">
        <f t="shared" ca="1" si="142"/>
        <v>46072.352817988489</v>
      </c>
      <c r="EO16" s="4">
        <f t="shared" ca="1" si="65"/>
        <v>8779.9420152963721</v>
      </c>
      <c r="EP16" s="4">
        <f t="shared" ca="1" si="143"/>
        <v>2303.6176408994247</v>
      </c>
      <c r="EQ16" s="4">
        <f t="shared" ca="1" si="66"/>
        <v>0</v>
      </c>
      <c r="ER16" s="4">
        <v>0</v>
      </c>
      <c r="ES16" s="4">
        <f t="shared" ca="1" si="144"/>
        <v>48375.97045888791</v>
      </c>
      <c r="ET16" s="4"/>
      <c r="EU16" s="4">
        <f t="shared" ca="1" si="145"/>
        <v>0</v>
      </c>
      <c r="EV16" s="4">
        <f t="shared" ca="1" si="67"/>
        <v>0</v>
      </c>
      <c r="EW16" s="4">
        <f t="shared" ca="1" si="146"/>
        <v>0</v>
      </c>
      <c r="EX16" s="4">
        <f t="shared" ca="1" si="68"/>
        <v>0</v>
      </c>
      <c r="EY16" s="4">
        <v>0</v>
      </c>
      <c r="EZ16" s="4">
        <f t="shared" ca="1" si="147"/>
        <v>0</v>
      </c>
      <c r="FA16" s="4">
        <f t="shared" ca="1" si="148"/>
        <v>0</v>
      </c>
      <c r="FB16" s="1">
        <f t="shared" ca="1" si="69"/>
        <v>0</v>
      </c>
      <c r="FC16" s="4">
        <f t="shared" ca="1" si="149"/>
        <v>0</v>
      </c>
      <c r="FD16" s="4">
        <f t="shared" ca="1" si="150"/>
        <v>0</v>
      </c>
      <c r="FE16" s="4">
        <f t="shared" ca="1" si="70"/>
        <v>0</v>
      </c>
      <c r="FF16" s="4">
        <f t="shared" ca="1" si="71"/>
        <v>0</v>
      </c>
      <c r="FG16" s="4">
        <f t="shared" ca="1" si="72"/>
        <v>0</v>
      </c>
      <c r="FH16" s="17">
        <f t="shared" ca="1" si="73"/>
        <v>0</v>
      </c>
      <c r="FI16" s="4">
        <f t="shared" ca="1" si="74"/>
        <v>0</v>
      </c>
      <c r="FJ16" s="4"/>
      <c r="FK16" s="4">
        <f t="shared" ca="1" si="75"/>
        <v>116715.60875347213</v>
      </c>
      <c r="FL16" s="4"/>
      <c r="FM16" s="4">
        <v>0</v>
      </c>
      <c r="FN16" s="4">
        <f t="shared" si="76"/>
        <v>0</v>
      </c>
      <c r="FO16" s="4">
        <f t="shared" si="77"/>
        <v>0</v>
      </c>
      <c r="FP16" s="4">
        <f t="shared" si="78"/>
        <v>0</v>
      </c>
      <c r="FQ16" s="4">
        <f t="shared" si="79"/>
        <v>0</v>
      </c>
      <c r="FR16" s="4">
        <f t="shared" si="80"/>
        <v>0</v>
      </c>
      <c r="FS16" s="4">
        <f t="shared" si="81"/>
        <v>0</v>
      </c>
      <c r="FT16" s="4">
        <f t="shared" ca="1" si="82"/>
        <v>6132.4339639974496</v>
      </c>
      <c r="FU16" s="4"/>
      <c r="FV16" s="3">
        <f t="shared" si="83"/>
        <v>0.83675526587265825</v>
      </c>
      <c r="FW16" s="3">
        <f t="shared" si="84"/>
        <v>0.83675526587265825</v>
      </c>
      <c r="FX16" s="4">
        <f t="shared" si="151"/>
        <v>2026</v>
      </c>
      <c r="FY16" s="18">
        <f t="shared" si="85"/>
        <v>87.342066587084332</v>
      </c>
      <c r="FZ16" s="18">
        <f t="shared" si="86"/>
        <v>0</v>
      </c>
      <c r="GA16" s="18">
        <f t="shared" si="87"/>
        <v>0</v>
      </c>
      <c r="GB16" s="18">
        <f t="shared" si="88"/>
        <v>0</v>
      </c>
      <c r="GC16" s="18">
        <f t="shared" ca="1" si="89"/>
        <v>0</v>
      </c>
      <c r="GD16" s="18">
        <f t="shared" ca="1" si="90"/>
        <v>0</v>
      </c>
      <c r="GE16" s="18">
        <f t="shared" ca="1" si="91"/>
        <v>0</v>
      </c>
      <c r="GF16" s="18">
        <f t="shared" ca="1" si="92"/>
        <v>0</v>
      </c>
      <c r="GG16" s="18" t="e">
        <f t="shared" ca="1" si="93"/>
        <v>#NAME?</v>
      </c>
      <c r="GH16" s="18" t="e">
        <f t="shared" ca="1" si="94"/>
        <v>#NAME?</v>
      </c>
      <c r="GI16" s="4"/>
      <c r="GJ16" s="4">
        <f t="shared" si="95"/>
        <v>2026</v>
      </c>
      <c r="GK16" s="4">
        <f t="shared" ca="1" si="96"/>
        <v>54.460525915072488</v>
      </c>
      <c r="GL16" s="4">
        <f t="shared" ca="1" si="97"/>
        <v>0</v>
      </c>
      <c r="GM16" s="4">
        <f t="shared" ca="1" si="98"/>
        <v>38.551283831594873</v>
      </c>
      <c r="GN16" s="4">
        <f t="shared" ca="1" si="99"/>
        <v>0</v>
      </c>
      <c r="GO16" s="4"/>
      <c r="GP16" s="3">
        <f t="shared" ca="1" si="152"/>
        <v>0.58552269935833423</v>
      </c>
      <c r="GQ16" s="3">
        <f t="shared" ca="1" si="100"/>
        <v>0</v>
      </c>
      <c r="GR16" s="3">
        <f t="shared" ca="1" si="101"/>
        <v>0</v>
      </c>
      <c r="GS16" s="3">
        <f t="shared" ca="1" si="102"/>
        <v>0.41447730064166582</v>
      </c>
      <c r="GT16" s="3">
        <f t="array" aca="1" ref="GT16" ca="1">SUM(GP16:GS16*$GU$6:$GX$6)</f>
        <v>1</v>
      </c>
      <c r="GU16" s="3">
        <f t="shared" ca="1" si="155"/>
        <v>0.58552269935833423</v>
      </c>
      <c r="GV16" s="3">
        <f t="shared" ca="1" si="156"/>
        <v>0</v>
      </c>
      <c r="GW16" s="3">
        <f t="shared" ca="1" si="157"/>
        <v>0</v>
      </c>
      <c r="GX16" s="3">
        <f t="shared" ca="1" si="158"/>
        <v>0.41447730064166582</v>
      </c>
      <c r="GY16" s="11"/>
      <c r="GZ16" s="27">
        <v>58</v>
      </c>
      <c r="HA16" s="29">
        <v>3.1300000000000001E-2</v>
      </c>
      <c r="HB16" s="29">
        <f t="shared" ca="1" si="153"/>
        <v>6.7699999999999996E-2</v>
      </c>
      <c r="HC16" s="29">
        <v>6.7699999999999996E-2</v>
      </c>
      <c r="HD16" s="29">
        <v>6.7000000000000004E-2</v>
      </c>
      <c r="HE16" s="29">
        <v>4.82E-2</v>
      </c>
      <c r="HG16" s="27">
        <v>56</v>
      </c>
      <c r="HH16" s="30">
        <v>2.9399999999999999E-2</v>
      </c>
      <c r="HJ16">
        <f t="shared" si="159"/>
        <v>2019</v>
      </c>
      <c r="HK16" s="94">
        <f>ROUND(HK$15*(1+$B$15)^(HJ16-HJ$15)/10,0)*10</f>
        <v>23690</v>
      </c>
      <c r="HL16" s="27">
        <f t="shared" si="162"/>
        <v>6000</v>
      </c>
      <c r="HM16" s="28">
        <f t="shared" si="163"/>
        <v>5836.6440000000002</v>
      </c>
      <c r="HR16" s="2" t="s">
        <v>0</v>
      </c>
      <c r="IB16" t="s">
        <v>392</v>
      </c>
      <c r="ID16" s="4" t="e">
        <f ca="1">ID10+ID14</f>
        <v>#NAME?</v>
      </c>
      <c r="IE16" s="90" t="e">
        <f ca="1">IE10+IE14</f>
        <v>#NAME?</v>
      </c>
    </row>
    <row r="17" spans="1:242" x14ac:dyDescent="0.25">
      <c r="A17" t="s">
        <v>57</v>
      </c>
      <c r="B17" s="63">
        <f>Inputs_Summary!AJ14</f>
        <v>0.05</v>
      </c>
      <c r="D17">
        <f t="shared" si="107"/>
        <v>2027</v>
      </c>
      <c r="E17">
        <f t="shared" si="108"/>
        <v>32</v>
      </c>
      <c r="F17" s="9"/>
      <c r="G17" s="9"/>
      <c r="H17" s="9"/>
      <c r="I17" s="9"/>
      <c r="J17" s="92"/>
      <c r="K17" s="91"/>
      <c r="L17" s="91"/>
      <c r="N17" s="93">
        <f t="shared" si="109"/>
        <v>0.05</v>
      </c>
      <c r="O17" s="23">
        <f t="shared" si="110"/>
        <v>0.4</v>
      </c>
      <c r="P17" s="23">
        <f t="shared" si="111"/>
        <v>0.1</v>
      </c>
      <c r="Q17" s="4">
        <f t="shared" si="0"/>
        <v>0</v>
      </c>
      <c r="R17" s="4">
        <f t="shared" si="112"/>
        <v>0</v>
      </c>
      <c r="S17" s="4">
        <f t="shared" si="113"/>
        <v>0</v>
      </c>
      <c r="T17" s="4">
        <f t="shared" ca="1" si="114"/>
        <v>0</v>
      </c>
      <c r="V17" s="18" t="e">
        <f t="shared" ca="1" si="1"/>
        <v>#NAME?</v>
      </c>
      <c r="W17" s="18" t="e">
        <f t="shared" ca="1" si="2"/>
        <v>#NAME?</v>
      </c>
      <c r="X17" s="18">
        <f t="shared" si="3"/>
        <v>0</v>
      </c>
      <c r="Y17" s="18">
        <f t="shared" ca="1" si="4"/>
        <v>10.363307459511649</v>
      </c>
      <c r="Z17" s="18">
        <f t="shared" ca="1" si="5"/>
        <v>0</v>
      </c>
      <c r="AA17" s="18">
        <f t="shared" ca="1" si="6"/>
        <v>7.8718604091338458</v>
      </c>
      <c r="AB17" s="18">
        <f t="shared" ca="1" si="7"/>
        <v>0</v>
      </c>
      <c r="AC17" s="18">
        <f t="shared" ca="1" si="8"/>
        <v>61.093037865507178</v>
      </c>
      <c r="AD17" s="18">
        <f t="shared" ca="1" si="9"/>
        <v>0</v>
      </c>
      <c r="AE17" s="18">
        <f t="shared" ca="1" si="10"/>
        <v>46.887755626010247</v>
      </c>
      <c r="AF17" s="18">
        <f t="shared" ca="1" si="11"/>
        <v>0</v>
      </c>
      <c r="AG17" s="18">
        <f t="shared" ca="1" si="12"/>
        <v>107.98079349151742</v>
      </c>
      <c r="AI17">
        <f>Person2!E17</f>
        <v>32</v>
      </c>
      <c r="AJ17">
        <f>Person2!AZ17</f>
        <v>1</v>
      </c>
      <c r="AK17">
        <f>IF($AZ17&lt;&gt;3,Person2!FM17,0)</f>
        <v>0</v>
      </c>
      <c r="AL17" s="4">
        <f ca="1">IF($AZ17&lt;&gt;3,Person2!FN17+Person2!FT17,0)</f>
        <v>0</v>
      </c>
      <c r="AM17">
        <f>IF($AZ17&lt;&gt;3,Person2!FO17,0)</f>
        <v>0</v>
      </c>
      <c r="AN17">
        <f>IF($AZ17&lt;&gt;3,Person2!FP17,0)</f>
        <v>0</v>
      </c>
      <c r="AO17">
        <f>IF($AZ17&lt;&gt;3,Person2!FQ17,0)</f>
        <v>0</v>
      </c>
      <c r="AP17">
        <f>IF($AZ17&lt;&gt;3,Person2!FR17,0)</f>
        <v>0</v>
      </c>
      <c r="AQ17">
        <v>0</v>
      </c>
      <c r="AR17" s="4">
        <f>Person2!FS17</f>
        <v>0</v>
      </c>
      <c r="AS17" s="4">
        <v>0</v>
      </c>
      <c r="AT17" s="4">
        <v>0</v>
      </c>
      <c r="AV17">
        <f t="shared" si="161"/>
        <v>2027</v>
      </c>
      <c r="AW17">
        <f t="shared" si="116"/>
        <v>32</v>
      </c>
      <c r="AX17">
        <f t="shared" si="117"/>
        <v>1.2189944199947573</v>
      </c>
      <c r="AY17">
        <f t="shared" si="118"/>
        <v>0.82034829987515512</v>
      </c>
      <c r="AZ17">
        <f t="shared" si="119"/>
        <v>1</v>
      </c>
      <c r="BB17" s="4">
        <f t="shared" si="13"/>
        <v>107513.31034752974</v>
      </c>
      <c r="BC17">
        <f t="shared" si="14"/>
        <v>0</v>
      </c>
      <c r="BD17" s="4">
        <f t="shared" si="15"/>
        <v>0</v>
      </c>
      <c r="BE17" s="4">
        <f t="shared" si="120"/>
        <v>0</v>
      </c>
      <c r="BF17" s="4">
        <f t="shared" si="121"/>
        <v>0</v>
      </c>
      <c r="BG17" s="4">
        <f t="shared" si="122"/>
        <v>0</v>
      </c>
      <c r="BH17" s="4">
        <f t="shared" si="16"/>
        <v>0</v>
      </c>
      <c r="BI17" s="4">
        <f t="shared" si="123"/>
        <v>107513.31034752974</v>
      </c>
      <c r="BJ17" s="4"/>
      <c r="BK17" s="4">
        <f t="shared" si="17"/>
        <v>60949.720999737867</v>
      </c>
      <c r="BL17" s="4">
        <f t="shared" si="124"/>
        <v>0</v>
      </c>
      <c r="BM17" s="4">
        <f t="shared" si="125"/>
        <v>60949.720999737867</v>
      </c>
      <c r="BN17" s="4">
        <v>24335.02146824533</v>
      </c>
      <c r="BO17" s="4">
        <f t="shared" si="126"/>
        <v>85284.742467983189</v>
      </c>
      <c r="BP17" s="4">
        <f t="shared" si="127"/>
        <v>22228.56787954655</v>
      </c>
      <c r="BQ17" s="4"/>
      <c r="BR17" s="4">
        <v>0</v>
      </c>
      <c r="BS17" s="4">
        <f t="shared" ca="1" si="18"/>
        <v>12632.813965834745</v>
      </c>
      <c r="BT17" s="4">
        <f t="shared" ca="1" si="19"/>
        <v>18586.284902376552</v>
      </c>
      <c r="BU17" s="4">
        <f t="shared" si="20"/>
        <v>0</v>
      </c>
      <c r="BV17" s="4">
        <f t="shared" si="21"/>
        <v>1</v>
      </c>
      <c r="BW17" s="4">
        <f t="shared" ca="1" si="22"/>
        <v>0</v>
      </c>
      <c r="BX17" s="4">
        <f t="shared" ca="1" si="23"/>
        <v>0</v>
      </c>
      <c r="BY17" s="4">
        <f t="shared" ca="1" si="24"/>
        <v>0</v>
      </c>
      <c r="BZ17" s="4">
        <f t="shared" ca="1" si="25"/>
        <v>0</v>
      </c>
      <c r="CA17" s="4">
        <f t="shared" ca="1" si="26"/>
        <v>0</v>
      </c>
      <c r="CB17" s="4">
        <f t="shared" ca="1" si="160"/>
        <v>0</v>
      </c>
      <c r="CC17" s="4"/>
      <c r="CD17" s="4">
        <f t="shared" ca="1" si="27"/>
        <v>107513.31034752974</v>
      </c>
      <c r="CE17" s="4">
        <f t="shared" ca="1" si="128"/>
        <v>90735.683744773021</v>
      </c>
      <c r="CF17" s="16">
        <f t="shared" si="28"/>
        <v>0</v>
      </c>
      <c r="CG17" s="4">
        <f t="shared" si="129"/>
        <v>4144.8126369219735</v>
      </c>
      <c r="CH17" s="4" t="e">
        <f t="shared" ca="1" si="29"/>
        <v>#NAME?</v>
      </c>
      <c r="CI17" s="4" t="e">
        <f t="shared" ca="1" si="30"/>
        <v>#NAME?</v>
      </c>
      <c r="CJ17" s="4" t="e">
        <f t="shared" ca="1" si="130"/>
        <v>#NAME?</v>
      </c>
      <c r="CK17" s="4" t="e">
        <f t="shared" ca="1" si="31"/>
        <v>#NAME?</v>
      </c>
      <c r="CL17" s="4" t="e">
        <f t="shared" ca="1" si="32"/>
        <v>#NAME?</v>
      </c>
      <c r="CM17" s="16"/>
      <c r="CN17" s="4">
        <f t="shared" si="33"/>
        <v>0</v>
      </c>
      <c r="CO17" s="4">
        <f t="shared" si="131"/>
        <v>0</v>
      </c>
      <c r="CP17" s="4">
        <f t="shared" ca="1" si="34"/>
        <v>131627.98473276594</v>
      </c>
      <c r="CQ17" s="4"/>
      <c r="CR17" s="4">
        <f t="shared" ca="1" si="35"/>
        <v>22228.56787954655</v>
      </c>
      <c r="CS17" s="4">
        <f t="shared" ca="1" si="36"/>
        <v>27760</v>
      </c>
      <c r="CT17" s="4">
        <f t="shared" ca="1" si="37"/>
        <v>19352.395862555353</v>
      </c>
      <c r="CU17" s="4"/>
      <c r="CV17" s="4">
        <f t="shared" ca="1" si="132"/>
        <v>22228.56787954655</v>
      </c>
      <c r="CW17" s="4">
        <f t="shared" ca="1" si="38"/>
        <v>0</v>
      </c>
      <c r="CX17" s="4">
        <f t="shared" ca="1" si="39"/>
        <v>0</v>
      </c>
      <c r="CY17" s="4">
        <f t="shared" ca="1" si="133"/>
        <v>22228.56787954655</v>
      </c>
      <c r="CZ17" s="4"/>
      <c r="DA17" s="4">
        <f t="shared" ca="1" si="40"/>
        <v>22228.56787954655</v>
      </c>
      <c r="DB17" s="4">
        <f t="shared" si="41"/>
        <v>6719.5818967206087</v>
      </c>
      <c r="DC17" s="4">
        <f t="shared" ca="1" si="134"/>
        <v>0</v>
      </c>
      <c r="DD17" s="4">
        <f t="shared" ca="1" si="42"/>
        <v>12632.813965834745</v>
      </c>
      <c r="DE17" s="4">
        <f t="shared" ca="1" si="43"/>
        <v>12632.813965834745</v>
      </c>
      <c r="DF17" s="4">
        <f t="shared" ca="1" si="135"/>
        <v>0</v>
      </c>
      <c r="DG17" s="4">
        <f t="shared" ca="1" si="136"/>
        <v>6316.4069829173723</v>
      </c>
      <c r="DH17" s="4">
        <f t="shared" ca="1" si="44"/>
        <v>6316.4069829173723</v>
      </c>
      <c r="DI17" s="4"/>
      <c r="DJ17" s="4">
        <f t="shared" ca="1" si="45"/>
        <v>9595.7539137118056</v>
      </c>
      <c r="DK17" s="4">
        <f t="shared" ca="1" si="46"/>
        <v>7000</v>
      </c>
      <c r="DL17" s="4">
        <f t="shared" ca="1" si="47"/>
        <v>7000</v>
      </c>
      <c r="DM17" s="4">
        <f t="shared" ca="1" si="48"/>
        <v>18586.284902376552</v>
      </c>
      <c r="DN17" s="4">
        <f t="shared" ca="1" si="49"/>
        <v>9595.7539137118056</v>
      </c>
      <c r="DO17" s="4">
        <f t="shared" ca="1" si="50"/>
        <v>8990.5309886647465</v>
      </c>
      <c r="DP17" s="4"/>
      <c r="DQ17" s="4">
        <f t="shared" ca="1" si="51"/>
        <v>0</v>
      </c>
      <c r="DR17" s="4"/>
      <c r="DS17" s="4">
        <f t="shared" si="137"/>
        <v>0</v>
      </c>
      <c r="DT17" s="4">
        <f t="shared" si="52"/>
        <v>0</v>
      </c>
      <c r="DU17" s="4">
        <f t="shared" si="53"/>
        <v>0</v>
      </c>
      <c r="DV17" s="4"/>
      <c r="DW17" s="4">
        <f t="shared" ca="1" si="138"/>
        <v>74472.072258581669</v>
      </c>
      <c r="DX17" s="4">
        <f t="shared" ca="1" si="54"/>
        <v>6316.4069829173723</v>
      </c>
      <c r="DY17" s="4">
        <f t="shared" ca="1" si="139"/>
        <v>3723.6036129290837</v>
      </c>
      <c r="DZ17" s="4">
        <f t="shared" ca="1" si="55"/>
        <v>0</v>
      </c>
      <c r="EA17" s="4">
        <f t="shared" ca="1" si="56"/>
        <v>0</v>
      </c>
      <c r="EB17" s="4">
        <f t="shared" ca="1" si="57"/>
        <v>78195.675871510757</v>
      </c>
      <c r="EC17" s="4">
        <f t="shared" si="58"/>
        <v>1</v>
      </c>
      <c r="ED17" s="4"/>
      <c r="EE17" s="4">
        <f t="shared" ca="1" si="140"/>
        <v>0</v>
      </c>
      <c r="EF17" s="4">
        <f t="shared" ca="1" si="59"/>
        <v>0</v>
      </c>
      <c r="EG17" s="4">
        <f t="shared" ca="1" si="141"/>
        <v>0</v>
      </c>
      <c r="EH17" s="4">
        <f t="shared" ca="1" si="60"/>
        <v>0</v>
      </c>
      <c r="EI17" s="4">
        <f t="shared" ca="1" si="61"/>
        <v>0</v>
      </c>
      <c r="EJ17" s="4">
        <f t="shared" ca="1" si="62"/>
        <v>0</v>
      </c>
      <c r="EK17" s="4">
        <f t="shared" si="63"/>
        <v>1</v>
      </c>
      <c r="EL17" s="4">
        <f t="shared" si="64"/>
        <v>0</v>
      </c>
      <c r="EM17" s="4"/>
      <c r="EN17" s="4">
        <f t="shared" ca="1" si="142"/>
        <v>57155.912474184282</v>
      </c>
      <c r="EO17" s="4">
        <f t="shared" ca="1" si="65"/>
        <v>9595.7539137118056</v>
      </c>
      <c r="EP17" s="4">
        <f t="shared" ca="1" si="143"/>
        <v>2857.7956237092144</v>
      </c>
      <c r="EQ17" s="4">
        <f t="shared" ca="1" si="66"/>
        <v>0</v>
      </c>
      <c r="ER17" s="4">
        <v>0</v>
      </c>
      <c r="ES17" s="4">
        <f t="shared" ca="1" si="144"/>
        <v>60013.708097893497</v>
      </c>
      <c r="ET17" s="4"/>
      <c r="EU17" s="4">
        <f t="shared" ca="1" si="145"/>
        <v>0</v>
      </c>
      <c r="EV17" s="4">
        <f t="shared" ca="1" si="67"/>
        <v>0</v>
      </c>
      <c r="EW17" s="4">
        <f t="shared" ca="1" si="146"/>
        <v>0</v>
      </c>
      <c r="EX17" s="4">
        <f t="shared" ca="1" si="68"/>
        <v>0</v>
      </c>
      <c r="EY17" s="4">
        <v>0</v>
      </c>
      <c r="EZ17" s="4">
        <f t="shared" ca="1" si="147"/>
        <v>0</v>
      </c>
      <c r="FA17" s="4">
        <f t="shared" ca="1" si="148"/>
        <v>0</v>
      </c>
      <c r="FB17" s="1">
        <f t="shared" ca="1" si="69"/>
        <v>0</v>
      </c>
      <c r="FC17" s="4">
        <f t="shared" ca="1" si="149"/>
        <v>0</v>
      </c>
      <c r="FD17" s="4">
        <f t="shared" ca="1" si="150"/>
        <v>0</v>
      </c>
      <c r="FE17" s="4">
        <f t="shared" ca="1" si="70"/>
        <v>0</v>
      </c>
      <c r="FF17" s="4">
        <f t="shared" ca="1" si="71"/>
        <v>0</v>
      </c>
      <c r="FG17" s="4">
        <f t="shared" ca="1" si="72"/>
        <v>0</v>
      </c>
      <c r="FH17" s="17">
        <f t="shared" ca="1" si="73"/>
        <v>0</v>
      </c>
      <c r="FI17" s="4">
        <f t="shared" ca="1" si="74"/>
        <v>0</v>
      </c>
      <c r="FJ17" s="4"/>
      <c r="FK17" s="4">
        <f t="shared" ca="1" si="75"/>
        <v>138209.38396940427</v>
      </c>
      <c r="FL17" s="4"/>
      <c r="FM17" s="4">
        <v>0</v>
      </c>
      <c r="FN17" s="4">
        <f t="shared" si="76"/>
        <v>0</v>
      </c>
      <c r="FO17" s="4">
        <f t="shared" si="77"/>
        <v>0</v>
      </c>
      <c r="FP17" s="4">
        <f t="shared" si="78"/>
        <v>0</v>
      </c>
      <c r="FQ17" s="4">
        <f t="shared" si="79"/>
        <v>0</v>
      </c>
      <c r="FR17" s="4">
        <f t="shared" si="80"/>
        <v>0</v>
      </c>
      <c r="FS17" s="4">
        <f t="shared" si="81"/>
        <v>0</v>
      </c>
      <c r="FT17" s="4">
        <f t="shared" ca="1" si="82"/>
        <v>6316.4069829173723</v>
      </c>
      <c r="FU17" s="4"/>
      <c r="FV17" s="3">
        <f t="shared" si="83"/>
        <v>0.82034829987515512</v>
      </c>
      <c r="FW17" s="3">
        <f t="shared" si="84"/>
        <v>0.82034829987515512</v>
      </c>
      <c r="FX17" s="4">
        <f t="shared" si="151"/>
        <v>2027</v>
      </c>
      <c r="FY17" s="18">
        <f t="shared" si="85"/>
        <v>88.198361357545949</v>
      </c>
      <c r="FZ17" s="18">
        <f t="shared" si="86"/>
        <v>0</v>
      </c>
      <c r="GA17" s="18">
        <f t="shared" si="87"/>
        <v>0</v>
      </c>
      <c r="GB17" s="18">
        <f t="shared" si="88"/>
        <v>0</v>
      </c>
      <c r="GC17" s="18">
        <f t="shared" ca="1" si="89"/>
        <v>0</v>
      </c>
      <c r="GD17" s="18">
        <f t="shared" ca="1" si="90"/>
        <v>0</v>
      </c>
      <c r="GE17" s="18">
        <f t="shared" ca="1" si="91"/>
        <v>0</v>
      </c>
      <c r="GF17" s="18">
        <f t="shared" ca="1" si="92"/>
        <v>0</v>
      </c>
      <c r="GG17" s="18" t="e">
        <f t="shared" ca="1" si="93"/>
        <v>#NAME?</v>
      </c>
      <c r="GH17" s="18" t="e">
        <f t="shared" ca="1" si="94"/>
        <v>#NAME?</v>
      </c>
      <c r="GI17" s="4"/>
      <c r="GJ17" s="4">
        <f t="shared" si="95"/>
        <v>2027</v>
      </c>
      <c r="GK17" s="4">
        <f t="shared" ca="1" si="96"/>
        <v>61.093037865507178</v>
      </c>
      <c r="GL17" s="4">
        <f t="shared" ca="1" si="97"/>
        <v>0</v>
      </c>
      <c r="GM17" s="4">
        <f t="shared" ca="1" si="98"/>
        <v>46.887755626010247</v>
      </c>
      <c r="GN17" s="4">
        <f t="shared" ca="1" si="99"/>
        <v>0</v>
      </c>
      <c r="GO17" s="4"/>
      <c r="GP17" s="3">
        <f t="shared" ca="1" si="152"/>
        <v>0.56577689318708713</v>
      </c>
      <c r="GQ17" s="3">
        <f t="shared" ca="1" si="100"/>
        <v>0</v>
      </c>
      <c r="GR17" s="3">
        <f t="shared" ca="1" si="101"/>
        <v>0</v>
      </c>
      <c r="GS17" s="3">
        <f t="shared" ca="1" si="102"/>
        <v>0.43422310681291271</v>
      </c>
      <c r="GT17" s="3">
        <f t="array" aca="1" ref="GT17" ca="1">SUM(GP17:GS17*$GU$6:$GX$6)</f>
        <v>0.99999999999999978</v>
      </c>
      <c r="GU17" s="3">
        <f t="shared" ca="1" si="155"/>
        <v>0.56577689318708724</v>
      </c>
      <c r="GV17" s="3">
        <f t="shared" ca="1" si="156"/>
        <v>0</v>
      </c>
      <c r="GW17" s="3">
        <f t="shared" ca="1" si="157"/>
        <v>0</v>
      </c>
      <c r="GX17" s="3">
        <f t="shared" ca="1" si="158"/>
        <v>0.43422310681291282</v>
      </c>
      <c r="GY17" s="11"/>
      <c r="GZ17" s="27">
        <v>59</v>
      </c>
      <c r="HA17" s="29">
        <v>3.2300000000000002E-2</v>
      </c>
      <c r="HB17" s="29">
        <f t="shared" ca="1" si="153"/>
        <v>6.8500000000000005E-2</v>
      </c>
      <c r="HC17" s="29">
        <v>6.8500000000000005E-2</v>
      </c>
      <c r="HD17" s="29">
        <v>6.7000000000000004E-2</v>
      </c>
      <c r="HE17" s="29">
        <v>4.9000000000000002E-2</v>
      </c>
      <c r="HG17" s="27">
        <v>57</v>
      </c>
      <c r="HH17" s="30">
        <v>3.0299999999999997E-2</v>
      </c>
      <c r="HJ17">
        <f t="shared" si="159"/>
        <v>2020</v>
      </c>
      <c r="HK17" s="28">
        <f t="shared" ref="HK17:HK80" si="164">ROUND(HK$15*(1+$B$15)^(HJ17-HJ$15)/10,0)*10</f>
        <v>24170</v>
      </c>
      <c r="HL17" s="27">
        <f t="shared" si="162"/>
        <v>6000</v>
      </c>
      <c r="HM17" s="28">
        <f t="shared" si="163"/>
        <v>5953.3768800000007</v>
      </c>
      <c r="IB17" t="s">
        <v>438</v>
      </c>
      <c r="ID17" s="84" t="e">
        <f ca="1">ID16/ID7</f>
        <v>#NAME?</v>
      </c>
    </row>
    <row r="18" spans="1:242" x14ac:dyDescent="0.25">
      <c r="A18" t="s">
        <v>58</v>
      </c>
      <c r="B18" s="64">
        <f>Inputs_Summary!AJ15</f>
        <v>0.4</v>
      </c>
      <c r="D18">
        <f t="shared" si="107"/>
        <v>2028</v>
      </c>
      <c r="E18">
        <f t="shared" si="108"/>
        <v>33</v>
      </c>
      <c r="F18" s="9"/>
      <c r="G18" s="9"/>
      <c r="H18" s="9"/>
      <c r="I18" s="9"/>
      <c r="J18" s="92"/>
      <c r="K18" s="91"/>
      <c r="L18" s="91"/>
      <c r="N18" s="93">
        <f t="shared" si="109"/>
        <v>0.05</v>
      </c>
      <c r="O18" s="23">
        <f t="shared" si="110"/>
        <v>0.4</v>
      </c>
      <c r="P18" s="23">
        <f t="shared" si="111"/>
        <v>0.1</v>
      </c>
      <c r="Q18" s="4">
        <f t="shared" si="0"/>
        <v>0</v>
      </c>
      <c r="R18" s="4">
        <f t="shared" si="112"/>
        <v>0</v>
      </c>
      <c r="S18" s="4">
        <f t="shared" si="113"/>
        <v>0</v>
      </c>
      <c r="T18" s="4">
        <f t="shared" ca="1" si="114"/>
        <v>0</v>
      </c>
      <c r="V18" s="18" t="e">
        <f t="shared" ca="1" si="1"/>
        <v>#NAME?</v>
      </c>
      <c r="W18" s="18" t="e">
        <f t="shared" ca="1" si="2"/>
        <v>#NAME?</v>
      </c>
      <c r="X18" s="18">
        <f t="shared" si="3"/>
        <v>0</v>
      </c>
      <c r="Y18" s="18">
        <f t="shared" ca="1" si="4"/>
        <v>10.464908513036272</v>
      </c>
      <c r="Z18" s="18">
        <f t="shared" ca="1" si="5"/>
        <v>0</v>
      </c>
      <c r="AA18" s="18">
        <f t="shared" ca="1" si="6"/>
        <v>8.4022070999096581</v>
      </c>
      <c r="AB18" s="18">
        <f t="shared" ca="1" si="7"/>
        <v>0</v>
      </c>
      <c r="AC18" s="18">
        <f t="shared" ca="1" si="8"/>
        <v>67.96994459660624</v>
      </c>
      <c r="AD18" s="18">
        <f t="shared" ca="1" si="9"/>
        <v>0</v>
      </c>
      <c r="AE18" s="18">
        <f t="shared" ca="1" si="10"/>
        <v>55.984317467102549</v>
      </c>
      <c r="AF18" s="18">
        <f t="shared" ca="1" si="11"/>
        <v>0</v>
      </c>
      <c r="AG18" s="18">
        <f t="shared" ca="1" si="12"/>
        <v>123.95426206370878</v>
      </c>
      <c r="AI18">
        <f>Person2!E18</f>
        <v>33</v>
      </c>
      <c r="AJ18">
        <f>Person2!AZ18</f>
        <v>1</v>
      </c>
      <c r="AK18">
        <f>IF($AZ18&lt;&gt;3,Person2!FM18,0)</f>
        <v>0</v>
      </c>
      <c r="AL18" s="4">
        <f ca="1">IF($AZ18&lt;&gt;3,Person2!FN18+Person2!FT18,0)</f>
        <v>0</v>
      </c>
      <c r="AM18">
        <f>IF($AZ18&lt;&gt;3,Person2!FO18,0)</f>
        <v>0</v>
      </c>
      <c r="AN18">
        <f>IF($AZ18&lt;&gt;3,Person2!FP18,0)</f>
        <v>0</v>
      </c>
      <c r="AO18">
        <f>IF($AZ18&lt;&gt;3,Person2!FQ18,0)</f>
        <v>0</v>
      </c>
      <c r="AP18">
        <f>IF($AZ18&lt;&gt;3,Person2!FR18,0)</f>
        <v>0</v>
      </c>
      <c r="AQ18">
        <v>0</v>
      </c>
      <c r="AR18" s="4">
        <f>Person2!FS18</f>
        <v>0</v>
      </c>
      <c r="AS18" s="4">
        <v>0</v>
      </c>
      <c r="AT18" s="4">
        <v>0</v>
      </c>
      <c r="AV18">
        <f t="shared" si="161"/>
        <v>2028</v>
      </c>
      <c r="AW18">
        <f t="shared" si="116"/>
        <v>33</v>
      </c>
      <c r="AX18">
        <f t="shared" si="117"/>
        <v>1.2433743083946525</v>
      </c>
      <c r="AY18">
        <f t="shared" si="118"/>
        <v>0.80426303909328933</v>
      </c>
      <c r="AZ18">
        <f t="shared" si="119"/>
        <v>1</v>
      </c>
      <c r="BB18" s="4">
        <f t="shared" si="13"/>
        <v>110738.70965795564</v>
      </c>
      <c r="BC18">
        <f t="shared" si="14"/>
        <v>0</v>
      </c>
      <c r="BD18" s="4">
        <f t="shared" si="15"/>
        <v>0</v>
      </c>
      <c r="BE18" s="4">
        <f t="shared" si="120"/>
        <v>0</v>
      </c>
      <c r="BF18" s="4">
        <f t="shared" si="121"/>
        <v>0</v>
      </c>
      <c r="BG18" s="4">
        <f t="shared" si="122"/>
        <v>0</v>
      </c>
      <c r="BH18" s="4">
        <f t="shared" si="16"/>
        <v>0</v>
      </c>
      <c r="BI18" s="4">
        <f t="shared" si="123"/>
        <v>110738.70965795564</v>
      </c>
      <c r="BJ18" s="4"/>
      <c r="BK18" s="4">
        <f t="shared" si="17"/>
        <v>62168.715419732624</v>
      </c>
      <c r="BL18" s="4">
        <f t="shared" si="124"/>
        <v>0</v>
      </c>
      <c r="BM18" s="4">
        <f t="shared" si="125"/>
        <v>62168.715419732624</v>
      </c>
      <c r="BN18" s="4">
        <v>25111.107411574412</v>
      </c>
      <c r="BO18" s="4">
        <f t="shared" si="126"/>
        <v>87279.822831307043</v>
      </c>
      <c r="BP18" s="4">
        <f t="shared" si="127"/>
        <v>23458.886826648595</v>
      </c>
      <c r="BQ18" s="4"/>
      <c r="BR18" s="4">
        <v>0</v>
      </c>
      <c r="BS18" s="4">
        <f t="shared" ca="1" si="18"/>
        <v>13011.798384809787</v>
      </c>
      <c r="BT18" s="4">
        <f t="shared" ca="1" si="19"/>
        <v>15990.530988664746</v>
      </c>
      <c r="BU18" s="4">
        <f t="shared" si="20"/>
        <v>0</v>
      </c>
      <c r="BV18" s="4">
        <f t="shared" si="21"/>
        <v>1</v>
      </c>
      <c r="BW18" s="4">
        <f t="shared" ca="1" si="22"/>
        <v>0</v>
      </c>
      <c r="BX18" s="4">
        <f t="shared" ca="1" si="23"/>
        <v>0</v>
      </c>
      <c r="BY18" s="4">
        <f t="shared" ca="1" si="24"/>
        <v>0</v>
      </c>
      <c r="BZ18" s="4">
        <f t="shared" ca="1" si="25"/>
        <v>0</v>
      </c>
      <c r="CA18" s="4">
        <f t="shared" ca="1" si="26"/>
        <v>0</v>
      </c>
      <c r="CB18" s="4">
        <f t="shared" ca="1" si="160"/>
        <v>0</v>
      </c>
      <c r="CC18" s="4"/>
      <c r="CD18" s="4">
        <f t="shared" ca="1" si="27"/>
        <v>110738.70965795564</v>
      </c>
      <c r="CE18" s="4">
        <f t="shared" ca="1" si="128"/>
        <v>93499.202383485434</v>
      </c>
      <c r="CF18" s="16">
        <f t="shared" si="28"/>
        <v>0</v>
      </c>
      <c r="CG18" s="4">
        <f t="shared" si="129"/>
        <v>4227.7088896604137</v>
      </c>
      <c r="CH18" s="4" t="e">
        <f t="shared" ca="1" si="29"/>
        <v>#NAME?</v>
      </c>
      <c r="CI18" s="4" t="e">
        <f t="shared" ca="1" si="30"/>
        <v>#NAME?</v>
      </c>
      <c r="CJ18" s="4" t="e">
        <f t="shared" ca="1" si="130"/>
        <v>#NAME?</v>
      </c>
      <c r="CK18" s="4" t="e">
        <f t="shared" ca="1" si="31"/>
        <v>#NAME?</v>
      </c>
      <c r="CL18" s="4" t="e">
        <f t="shared" ca="1" si="32"/>
        <v>#NAME?</v>
      </c>
      <c r="CM18" s="16"/>
      <c r="CN18" s="4">
        <f t="shared" si="33"/>
        <v>0</v>
      </c>
      <c r="CO18" s="4">
        <f t="shared" si="131"/>
        <v>0</v>
      </c>
      <c r="CP18" s="4">
        <f t="shared" ca="1" si="34"/>
        <v>154121.54486603342</v>
      </c>
      <c r="CQ18" s="4"/>
      <c r="CR18" s="4">
        <f t="shared" ca="1" si="35"/>
        <v>23458.886826648595</v>
      </c>
      <c r="CS18" s="4">
        <f t="shared" ca="1" si="36"/>
        <v>28320</v>
      </c>
      <c r="CT18" s="4">
        <f t="shared" ca="1" si="37"/>
        <v>19932.967738432013</v>
      </c>
      <c r="CU18" s="4"/>
      <c r="CV18" s="4">
        <f t="shared" ca="1" si="132"/>
        <v>23458.886826648595</v>
      </c>
      <c r="CW18" s="4">
        <f t="shared" ca="1" si="38"/>
        <v>0</v>
      </c>
      <c r="CX18" s="4">
        <f t="shared" ca="1" si="39"/>
        <v>0</v>
      </c>
      <c r="CY18" s="4">
        <f t="shared" ca="1" si="133"/>
        <v>23458.886826648595</v>
      </c>
      <c r="CZ18" s="4"/>
      <c r="DA18" s="4">
        <f t="shared" ca="1" si="40"/>
        <v>23458.886826648595</v>
      </c>
      <c r="DB18" s="4">
        <f t="shared" si="41"/>
        <v>6921.1693536222274</v>
      </c>
      <c r="DC18" s="4">
        <f t="shared" ca="1" si="134"/>
        <v>0</v>
      </c>
      <c r="DD18" s="4">
        <f t="shared" ca="1" si="42"/>
        <v>13011.798384809787</v>
      </c>
      <c r="DE18" s="4">
        <f t="shared" ca="1" si="43"/>
        <v>13011.798384809787</v>
      </c>
      <c r="DF18" s="4">
        <f t="shared" ca="1" si="135"/>
        <v>0</v>
      </c>
      <c r="DG18" s="4">
        <f t="shared" ca="1" si="136"/>
        <v>6505.8991924048933</v>
      </c>
      <c r="DH18" s="4">
        <f t="shared" ca="1" si="44"/>
        <v>6505.8991924048933</v>
      </c>
      <c r="DI18" s="4"/>
      <c r="DJ18" s="4">
        <f t="shared" ca="1" si="45"/>
        <v>10447.088441838809</v>
      </c>
      <c r="DK18" s="4">
        <f t="shared" ca="1" si="46"/>
        <v>7000</v>
      </c>
      <c r="DL18" s="4">
        <f t="shared" ca="1" si="47"/>
        <v>7000</v>
      </c>
      <c r="DM18" s="4">
        <f t="shared" ca="1" si="48"/>
        <v>15990.530988664746</v>
      </c>
      <c r="DN18" s="4">
        <f t="shared" ca="1" si="49"/>
        <v>10447.088441838809</v>
      </c>
      <c r="DO18" s="4">
        <f t="shared" ca="1" si="50"/>
        <v>5543.4425468259378</v>
      </c>
      <c r="DP18" s="4"/>
      <c r="DQ18" s="4">
        <f t="shared" ca="1" si="51"/>
        <v>0</v>
      </c>
      <c r="DR18" s="4"/>
      <c r="DS18" s="4">
        <f t="shared" si="137"/>
        <v>0</v>
      </c>
      <c r="DT18" s="4">
        <f t="shared" si="52"/>
        <v>0</v>
      </c>
      <c r="DU18" s="4">
        <f t="shared" si="53"/>
        <v>0</v>
      </c>
      <c r="DV18" s="4"/>
      <c r="DW18" s="4">
        <f t="shared" ca="1" si="138"/>
        <v>84512.082854428125</v>
      </c>
      <c r="DX18" s="4">
        <f t="shared" ca="1" si="54"/>
        <v>6505.8991924048933</v>
      </c>
      <c r="DY18" s="4">
        <f t="shared" ca="1" si="139"/>
        <v>4225.6041427214068</v>
      </c>
      <c r="DZ18" s="4">
        <f t="shared" ca="1" si="55"/>
        <v>0</v>
      </c>
      <c r="EA18" s="4">
        <f t="shared" ca="1" si="56"/>
        <v>0</v>
      </c>
      <c r="EB18" s="4">
        <f t="shared" ca="1" si="57"/>
        <v>88737.686997149533</v>
      </c>
      <c r="EC18" s="4">
        <f t="shared" si="58"/>
        <v>1</v>
      </c>
      <c r="ED18" s="4"/>
      <c r="EE18" s="4">
        <f t="shared" ca="1" si="140"/>
        <v>0</v>
      </c>
      <c r="EF18" s="4">
        <f t="shared" ca="1" si="59"/>
        <v>0</v>
      </c>
      <c r="EG18" s="4">
        <f t="shared" ca="1" si="141"/>
        <v>0</v>
      </c>
      <c r="EH18" s="4">
        <f t="shared" ca="1" si="60"/>
        <v>0</v>
      </c>
      <c r="EI18" s="4">
        <f t="shared" ca="1" si="61"/>
        <v>0</v>
      </c>
      <c r="EJ18" s="4">
        <f t="shared" ca="1" si="62"/>
        <v>0</v>
      </c>
      <c r="EK18" s="4">
        <f t="shared" si="63"/>
        <v>1</v>
      </c>
      <c r="EL18" s="4">
        <f t="shared" si="64"/>
        <v>0</v>
      </c>
      <c r="EM18" s="4"/>
      <c r="EN18" s="4">
        <f t="shared" ca="1" si="142"/>
        <v>69609.462011605297</v>
      </c>
      <c r="EO18" s="4">
        <f t="shared" ca="1" si="65"/>
        <v>10447.088441838809</v>
      </c>
      <c r="EP18" s="4">
        <f t="shared" ca="1" si="143"/>
        <v>3480.4731005802651</v>
      </c>
      <c r="EQ18" s="4">
        <f t="shared" ca="1" si="66"/>
        <v>0</v>
      </c>
      <c r="ER18" s="4">
        <v>0</v>
      </c>
      <c r="ES18" s="4">
        <f t="shared" ca="1" si="144"/>
        <v>73089.935112185558</v>
      </c>
      <c r="ET18" s="4"/>
      <c r="EU18" s="4">
        <f t="shared" ca="1" si="145"/>
        <v>0</v>
      </c>
      <c r="EV18" s="4">
        <f t="shared" ca="1" si="67"/>
        <v>0</v>
      </c>
      <c r="EW18" s="4">
        <f t="shared" ca="1" si="146"/>
        <v>0</v>
      </c>
      <c r="EX18" s="4">
        <f t="shared" ca="1" si="68"/>
        <v>0</v>
      </c>
      <c r="EY18" s="4">
        <v>0</v>
      </c>
      <c r="EZ18" s="4">
        <f t="shared" ca="1" si="147"/>
        <v>0</v>
      </c>
      <c r="FA18" s="4">
        <f t="shared" ca="1" si="148"/>
        <v>0</v>
      </c>
      <c r="FB18" s="1">
        <f t="shared" ca="1" si="69"/>
        <v>0</v>
      </c>
      <c r="FC18" s="4">
        <f t="shared" ca="1" si="149"/>
        <v>0</v>
      </c>
      <c r="FD18" s="4">
        <f t="shared" ca="1" si="150"/>
        <v>0</v>
      </c>
      <c r="FE18" s="4">
        <f t="shared" ca="1" si="70"/>
        <v>0</v>
      </c>
      <c r="FF18" s="4">
        <f t="shared" ca="1" si="71"/>
        <v>0</v>
      </c>
      <c r="FG18" s="4">
        <f t="shared" ca="1" si="72"/>
        <v>0</v>
      </c>
      <c r="FH18" s="17">
        <f t="shared" ca="1" si="73"/>
        <v>0</v>
      </c>
      <c r="FI18" s="4">
        <f t="shared" ca="1" si="74"/>
        <v>0</v>
      </c>
      <c r="FJ18" s="4"/>
      <c r="FK18" s="4">
        <f t="shared" ca="1" si="75"/>
        <v>161827.62210933509</v>
      </c>
      <c r="FL18" s="4"/>
      <c r="FM18" s="4">
        <v>0</v>
      </c>
      <c r="FN18" s="4">
        <f t="shared" si="76"/>
        <v>0</v>
      </c>
      <c r="FO18" s="4">
        <f t="shared" si="77"/>
        <v>0</v>
      </c>
      <c r="FP18" s="4">
        <f t="shared" si="78"/>
        <v>0</v>
      </c>
      <c r="FQ18" s="4">
        <f t="shared" si="79"/>
        <v>0</v>
      </c>
      <c r="FR18" s="4">
        <f t="shared" si="80"/>
        <v>0</v>
      </c>
      <c r="FS18" s="4">
        <f t="shared" si="81"/>
        <v>0</v>
      </c>
      <c r="FT18" s="4">
        <f t="shared" ca="1" si="82"/>
        <v>6505.8991924048933</v>
      </c>
      <c r="FU18" s="4"/>
      <c r="FV18" s="3">
        <f t="shared" si="83"/>
        <v>0.80426303909328933</v>
      </c>
      <c r="FW18" s="3">
        <f t="shared" si="84"/>
        <v>0.80426303909328933</v>
      </c>
      <c r="FX18" s="4">
        <f t="shared" si="151"/>
        <v>2028</v>
      </c>
      <c r="FY18" s="18">
        <f t="shared" si="85"/>
        <v>89.063051174776788</v>
      </c>
      <c r="FZ18" s="18">
        <f t="shared" si="86"/>
        <v>0</v>
      </c>
      <c r="GA18" s="18">
        <f t="shared" si="87"/>
        <v>0</v>
      </c>
      <c r="GB18" s="18">
        <f t="shared" si="88"/>
        <v>0</v>
      </c>
      <c r="GC18" s="18">
        <f t="shared" ca="1" si="89"/>
        <v>0</v>
      </c>
      <c r="GD18" s="18">
        <f t="shared" ca="1" si="90"/>
        <v>0</v>
      </c>
      <c r="GE18" s="18">
        <f t="shared" ca="1" si="91"/>
        <v>0</v>
      </c>
      <c r="GF18" s="18">
        <f t="shared" ca="1" si="92"/>
        <v>0</v>
      </c>
      <c r="GG18" s="18" t="e">
        <f t="shared" ca="1" si="93"/>
        <v>#NAME?</v>
      </c>
      <c r="GH18" s="18" t="e">
        <f t="shared" ca="1" si="94"/>
        <v>#NAME?</v>
      </c>
      <c r="GI18" s="4"/>
      <c r="GJ18" s="4">
        <f t="shared" si="95"/>
        <v>2028</v>
      </c>
      <c r="GK18" s="4">
        <f t="shared" ca="1" si="96"/>
        <v>67.96994459660624</v>
      </c>
      <c r="GL18" s="4">
        <f t="shared" ca="1" si="97"/>
        <v>0</v>
      </c>
      <c r="GM18" s="4">
        <f t="shared" ca="1" si="98"/>
        <v>55.984317467102549</v>
      </c>
      <c r="GN18" s="4">
        <f t="shared" ca="1" si="99"/>
        <v>0</v>
      </c>
      <c r="GO18" s="4"/>
      <c r="GP18" s="3">
        <f t="shared" ca="1" si="152"/>
        <v>0.54834697464191851</v>
      </c>
      <c r="GQ18" s="3">
        <f t="shared" ca="1" si="100"/>
        <v>0</v>
      </c>
      <c r="GR18" s="3">
        <f t="shared" ca="1" si="101"/>
        <v>0</v>
      </c>
      <c r="GS18" s="3">
        <f t="shared" ca="1" si="102"/>
        <v>0.45165302535808155</v>
      </c>
      <c r="GT18" s="3">
        <f t="array" aca="1" ref="GT18" ca="1">SUM(GP18:GS18*$GU$6:$GX$6)</f>
        <v>1</v>
      </c>
      <c r="GU18" s="3">
        <f t="shared" ca="1" si="155"/>
        <v>0.54834697464191851</v>
      </c>
      <c r="GV18" s="3">
        <f t="shared" ca="1" si="156"/>
        <v>0</v>
      </c>
      <c r="GW18" s="3">
        <f t="shared" ca="1" si="157"/>
        <v>0</v>
      </c>
      <c r="GX18" s="3">
        <f t="shared" ca="1" si="158"/>
        <v>0.45165302535808155</v>
      </c>
      <c r="GY18" s="11"/>
      <c r="GZ18" s="27">
        <v>60</v>
      </c>
      <c r="HA18" s="29">
        <v>3.3300000000000003E-2</v>
      </c>
      <c r="HB18" s="29">
        <f t="shared" ca="1" si="153"/>
        <v>6.9400000000000003E-2</v>
      </c>
      <c r="HC18" s="29">
        <v>6.9400000000000003E-2</v>
      </c>
      <c r="HD18" s="29">
        <v>6.8000000000000005E-2</v>
      </c>
      <c r="HE18" s="29">
        <v>4.9700000000000001E-2</v>
      </c>
      <c r="HG18" s="27">
        <v>58</v>
      </c>
      <c r="HH18" s="30">
        <v>3.1300000000000001E-2</v>
      </c>
      <c r="HJ18">
        <f t="shared" si="159"/>
        <v>2021</v>
      </c>
      <c r="HK18" s="28">
        <f t="shared" si="164"/>
        <v>24650</v>
      </c>
      <c r="HL18" s="27">
        <f t="shared" si="162"/>
        <v>6000</v>
      </c>
      <c r="HM18" s="28">
        <f t="shared" si="163"/>
        <v>6072.4444176000006</v>
      </c>
      <c r="HO18">
        <f t="shared" ref="HO18:HO24" ca="1" si="165">OFFSET(HR29,0,$HP$15-1)</f>
        <v>0</v>
      </c>
      <c r="HP18" s="4">
        <f t="shared" ref="HP18:HP24" ca="1" si="166">HO18*(1+$B$15)^($B$7-$HP$26)</f>
        <v>0</v>
      </c>
      <c r="HQ18">
        <f t="shared" ref="HQ18:HQ24" ca="1" si="167">OFFSET(HR37,0,$HP$15-1)</f>
        <v>0</v>
      </c>
      <c r="HR18" s="4">
        <f ca="1">HP18*0.1</f>
        <v>0</v>
      </c>
      <c r="HT18" t="s">
        <v>178</v>
      </c>
      <c r="HV18">
        <f ca="1">OFFSET(HR45,0,$HP$15-1)</f>
        <v>0.1</v>
      </c>
      <c r="IB18" t="s">
        <v>437</v>
      </c>
      <c r="ID18" s="84" t="e">
        <f ca="1">(IE16-ID16)/(IE7-ID7)</f>
        <v>#NAME?</v>
      </c>
    </row>
    <row r="19" spans="1:242" x14ac:dyDescent="0.25">
      <c r="A19" t="s">
        <v>227</v>
      </c>
      <c r="B19" s="64">
        <f>Inputs_Summary!AJ16</f>
        <v>0.1</v>
      </c>
      <c r="D19">
        <f t="shared" si="107"/>
        <v>2029</v>
      </c>
      <c r="E19">
        <f t="shared" si="108"/>
        <v>34</v>
      </c>
      <c r="F19" s="9"/>
      <c r="G19" s="9"/>
      <c r="H19" s="9"/>
      <c r="I19" s="9"/>
      <c r="J19" s="92"/>
      <c r="K19" s="91"/>
      <c r="L19" s="91"/>
      <c r="N19" s="93">
        <f t="shared" si="109"/>
        <v>0.05</v>
      </c>
      <c r="O19" s="23">
        <f t="shared" si="110"/>
        <v>0.4</v>
      </c>
      <c r="P19" s="23">
        <f t="shared" si="111"/>
        <v>0.1</v>
      </c>
      <c r="Q19" s="4">
        <f t="shared" si="0"/>
        <v>0</v>
      </c>
      <c r="R19" s="4">
        <f t="shared" si="112"/>
        <v>0</v>
      </c>
      <c r="S19" s="4">
        <f t="shared" si="113"/>
        <v>0</v>
      </c>
      <c r="T19" s="4">
        <f t="shared" ca="1" si="114"/>
        <v>0</v>
      </c>
      <c r="V19" s="18" t="e">
        <f t="shared" ca="1" si="1"/>
        <v>#NAME?</v>
      </c>
      <c r="W19" s="18" t="e">
        <f t="shared" ca="1" si="2"/>
        <v>#NAME?</v>
      </c>
      <c r="X19" s="18">
        <f t="shared" si="3"/>
        <v>0</v>
      </c>
      <c r="Y19" s="18">
        <f t="shared" ca="1" si="4"/>
        <v>10.567505655320941</v>
      </c>
      <c r="Z19" s="18">
        <f t="shared" ca="1" si="5"/>
        <v>0</v>
      </c>
      <c r="AA19" s="18">
        <f t="shared" ca="1" si="6"/>
        <v>8.9377532680460128</v>
      </c>
      <c r="AB19" s="18">
        <f t="shared" ca="1" si="7"/>
        <v>0</v>
      </c>
      <c r="AC19" s="18">
        <f t="shared" ca="1" si="8"/>
        <v>75.098917728386937</v>
      </c>
      <c r="AD19" s="18">
        <f t="shared" ca="1" si="9"/>
        <v>0</v>
      </c>
      <c r="AE19" s="18">
        <f t="shared" ca="1" si="10"/>
        <v>65.868372980752284</v>
      </c>
      <c r="AF19" s="18">
        <f t="shared" ca="1" si="11"/>
        <v>0</v>
      </c>
      <c r="AG19" s="18">
        <f t="shared" ca="1" si="12"/>
        <v>140.96729070913923</v>
      </c>
      <c r="AI19">
        <f>Person2!E19</f>
        <v>34</v>
      </c>
      <c r="AJ19">
        <f>Person2!AZ19</f>
        <v>1</v>
      </c>
      <c r="AK19">
        <f>IF($AZ19&lt;&gt;3,Person2!FM19,0)</f>
        <v>0</v>
      </c>
      <c r="AL19" s="4">
        <f ca="1">IF($AZ19&lt;&gt;3,Person2!FN19+Person2!FT19,0)</f>
        <v>0</v>
      </c>
      <c r="AM19">
        <f>IF($AZ19&lt;&gt;3,Person2!FO19,0)</f>
        <v>0</v>
      </c>
      <c r="AN19">
        <f>IF($AZ19&lt;&gt;3,Person2!FP19,0)</f>
        <v>0</v>
      </c>
      <c r="AO19">
        <f>IF($AZ19&lt;&gt;3,Person2!FQ19,0)</f>
        <v>0</v>
      </c>
      <c r="AP19">
        <f>IF($AZ19&lt;&gt;3,Person2!FR19,0)</f>
        <v>0</v>
      </c>
      <c r="AQ19">
        <v>0</v>
      </c>
      <c r="AR19" s="4">
        <f>Person2!FS19</f>
        <v>0</v>
      </c>
      <c r="AS19" s="4">
        <v>0</v>
      </c>
      <c r="AT19" s="4">
        <v>0</v>
      </c>
      <c r="AV19">
        <f t="shared" si="161"/>
        <v>2029</v>
      </c>
      <c r="AW19">
        <f t="shared" si="116"/>
        <v>34</v>
      </c>
      <c r="AX19">
        <f t="shared" si="117"/>
        <v>1.2682417945625455</v>
      </c>
      <c r="AY19">
        <f t="shared" si="118"/>
        <v>0.78849317558165621</v>
      </c>
      <c r="AZ19">
        <f t="shared" si="119"/>
        <v>1</v>
      </c>
      <c r="BB19" s="4">
        <f t="shared" si="13"/>
        <v>114060.87094769429</v>
      </c>
      <c r="BC19">
        <f t="shared" si="14"/>
        <v>0</v>
      </c>
      <c r="BD19" s="4">
        <f t="shared" si="15"/>
        <v>0</v>
      </c>
      <c r="BE19" s="4">
        <f t="shared" si="120"/>
        <v>0</v>
      </c>
      <c r="BF19" s="4">
        <f t="shared" si="121"/>
        <v>0</v>
      </c>
      <c r="BG19" s="4">
        <f t="shared" si="122"/>
        <v>0</v>
      </c>
      <c r="BH19" s="4">
        <f t="shared" si="16"/>
        <v>0</v>
      </c>
      <c r="BI19" s="4">
        <f t="shared" si="123"/>
        <v>114060.87094769429</v>
      </c>
      <c r="BJ19" s="4"/>
      <c r="BK19" s="4">
        <f t="shared" si="17"/>
        <v>63412.089728127277</v>
      </c>
      <c r="BL19" s="4">
        <f t="shared" si="124"/>
        <v>0</v>
      </c>
      <c r="BM19" s="4">
        <f t="shared" si="125"/>
        <v>63412.089728127277</v>
      </c>
      <c r="BN19" s="4">
        <v>25911.396639188992</v>
      </c>
      <c r="BO19" s="4">
        <f t="shared" si="126"/>
        <v>89323.486367316276</v>
      </c>
      <c r="BP19" s="4">
        <f t="shared" si="127"/>
        <v>24737.384580378013</v>
      </c>
      <c r="BQ19" s="4"/>
      <c r="BR19" s="4">
        <v>0</v>
      </c>
      <c r="BS19" s="4">
        <f t="shared" ca="1" si="18"/>
        <v>13402.15233635408</v>
      </c>
      <c r="BT19" s="4">
        <f t="shared" ca="1" si="19"/>
        <v>12543.442546825938</v>
      </c>
      <c r="BU19" s="4">
        <f t="shared" si="20"/>
        <v>0</v>
      </c>
      <c r="BV19" s="4">
        <f t="shared" si="21"/>
        <v>1</v>
      </c>
      <c r="BW19" s="4">
        <f t="shared" ca="1" si="22"/>
        <v>0</v>
      </c>
      <c r="BX19" s="4">
        <f t="shared" ca="1" si="23"/>
        <v>0</v>
      </c>
      <c r="BY19" s="4">
        <f t="shared" ca="1" si="24"/>
        <v>0</v>
      </c>
      <c r="BZ19" s="4">
        <f t="shared" ca="1" si="25"/>
        <v>0</v>
      </c>
      <c r="CA19" s="4">
        <f t="shared" ca="1" si="26"/>
        <v>0</v>
      </c>
      <c r="CB19" s="4">
        <f t="shared" ca="1" si="160"/>
        <v>0</v>
      </c>
      <c r="CC19" s="4"/>
      <c r="CD19" s="4">
        <f t="shared" ca="1" si="27"/>
        <v>114060.87094769429</v>
      </c>
      <c r="CE19" s="4">
        <f t="shared" ca="1" si="128"/>
        <v>96346.455543886594</v>
      </c>
      <c r="CF19" s="16">
        <f t="shared" si="28"/>
        <v>0</v>
      </c>
      <c r="CG19" s="4">
        <f t="shared" si="129"/>
        <v>4312.2630674536213</v>
      </c>
      <c r="CH19" s="4" t="e">
        <f t="shared" ca="1" si="29"/>
        <v>#NAME?</v>
      </c>
      <c r="CI19" s="4" t="e">
        <f t="shared" ca="1" si="30"/>
        <v>#NAME?</v>
      </c>
      <c r="CJ19" s="4" t="e">
        <f t="shared" ca="1" si="130"/>
        <v>#NAME?</v>
      </c>
      <c r="CK19" s="4" t="e">
        <f t="shared" ca="1" si="31"/>
        <v>#NAME?</v>
      </c>
      <c r="CL19" s="4" t="e">
        <f t="shared" ca="1" si="32"/>
        <v>#NAME?</v>
      </c>
      <c r="CM19" s="16"/>
      <c r="CN19" s="4">
        <f t="shared" si="33"/>
        <v>0</v>
      </c>
      <c r="CO19" s="4">
        <f t="shared" si="131"/>
        <v>0</v>
      </c>
      <c r="CP19" s="4">
        <f t="shared" ca="1" si="34"/>
        <v>178780.6097435788</v>
      </c>
      <c r="CQ19" s="4"/>
      <c r="CR19" s="4">
        <f t="shared" ca="1" si="35"/>
        <v>24737.384580378013</v>
      </c>
      <c r="CS19" s="4">
        <f t="shared" ca="1" si="36"/>
        <v>28880</v>
      </c>
      <c r="CT19" s="4">
        <f t="shared" ca="1" si="37"/>
        <v>20530.956770584973</v>
      </c>
      <c r="CU19" s="4"/>
      <c r="CV19" s="4">
        <f t="shared" ca="1" si="132"/>
        <v>24737.384580378013</v>
      </c>
      <c r="CW19" s="4">
        <f t="shared" ca="1" si="38"/>
        <v>0</v>
      </c>
      <c r="CX19" s="4">
        <f t="shared" ca="1" si="39"/>
        <v>0</v>
      </c>
      <c r="CY19" s="4">
        <f t="shared" ca="1" si="133"/>
        <v>24737.384580378013</v>
      </c>
      <c r="CZ19" s="4"/>
      <c r="DA19" s="4">
        <f t="shared" ca="1" si="40"/>
        <v>24737.384580378013</v>
      </c>
      <c r="DB19" s="4">
        <f t="shared" si="41"/>
        <v>7128.8044342308931</v>
      </c>
      <c r="DC19" s="4">
        <f t="shared" ca="1" si="134"/>
        <v>0</v>
      </c>
      <c r="DD19" s="4">
        <f t="shared" ca="1" si="42"/>
        <v>13402.15233635408</v>
      </c>
      <c r="DE19" s="4">
        <f t="shared" ca="1" si="43"/>
        <v>13402.15233635408</v>
      </c>
      <c r="DF19" s="4">
        <f t="shared" ca="1" si="135"/>
        <v>0</v>
      </c>
      <c r="DG19" s="4">
        <f t="shared" ca="1" si="136"/>
        <v>6701.07616817704</v>
      </c>
      <c r="DH19" s="4">
        <f t="shared" ca="1" si="44"/>
        <v>6701.07616817704</v>
      </c>
      <c r="DI19" s="4"/>
      <c r="DJ19" s="4">
        <f t="shared" ca="1" si="45"/>
        <v>11335.232244023933</v>
      </c>
      <c r="DK19" s="4">
        <f t="shared" ca="1" si="46"/>
        <v>7000</v>
      </c>
      <c r="DL19" s="4">
        <f t="shared" ca="1" si="47"/>
        <v>7000</v>
      </c>
      <c r="DM19" s="4">
        <f t="shared" ca="1" si="48"/>
        <v>12543.442546825938</v>
      </c>
      <c r="DN19" s="4">
        <f t="shared" ca="1" si="49"/>
        <v>11335.232244023933</v>
      </c>
      <c r="DO19" s="4">
        <f t="shared" ca="1" si="50"/>
        <v>1208.2103028020047</v>
      </c>
      <c r="DP19" s="4"/>
      <c r="DQ19" s="4">
        <f t="shared" ca="1" si="51"/>
        <v>0</v>
      </c>
      <c r="DR19" s="4"/>
      <c r="DS19" s="4">
        <f t="shared" si="137"/>
        <v>0</v>
      </c>
      <c r="DT19" s="4">
        <f t="shared" si="52"/>
        <v>0</v>
      </c>
      <c r="DU19" s="4">
        <f t="shared" si="53"/>
        <v>0</v>
      </c>
      <c r="DV19" s="4"/>
      <c r="DW19" s="4">
        <f t="shared" ca="1" si="138"/>
        <v>95243.586189554422</v>
      </c>
      <c r="DX19" s="4">
        <f t="shared" ca="1" si="54"/>
        <v>6701.07616817704</v>
      </c>
      <c r="DY19" s="4">
        <f t="shared" ca="1" si="139"/>
        <v>4762.1793094777213</v>
      </c>
      <c r="DZ19" s="4">
        <f t="shared" ca="1" si="55"/>
        <v>0</v>
      </c>
      <c r="EA19" s="4">
        <f t="shared" ca="1" si="56"/>
        <v>0</v>
      </c>
      <c r="EB19" s="4">
        <f t="shared" ca="1" si="57"/>
        <v>100005.76549903215</v>
      </c>
      <c r="EC19" s="4">
        <f t="shared" si="58"/>
        <v>1</v>
      </c>
      <c r="ED19" s="4"/>
      <c r="EE19" s="4">
        <f t="shared" ca="1" si="140"/>
        <v>0</v>
      </c>
      <c r="EF19" s="4">
        <f t="shared" ca="1" si="59"/>
        <v>0</v>
      </c>
      <c r="EG19" s="4">
        <f t="shared" ca="1" si="141"/>
        <v>0</v>
      </c>
      <c r="EH19" s="4">
        <f t="shared" ca="1" si="60"/>
        <v>0</v>
      </c>
      <c r="EI19" s="4">
        <f t="shared" ca="1" si="61"/>
        <v>0</v>
      </c>
      <c r="EJ19" s="4">
        <f t="shared" ca="1" si="62"/>
        <v>0</v>
      </c>
      <c r="EK19" s="4">
        <f t="shared" si="63"/>
        <v>1</v>
      </c>
      <c r="EL19" s="4">
        <f t="shared" si="64"/>
        <v>0</v>
      </c>
      <c r="EM19" s="4"/>
      <c r="EN19" s="4">
        <f t="shared" ca="1" si="142"/>
        <v>83537.023554024374</v>
      </c>
      <c r="EO19" s="4">
        <f t="shared" ca="1" si="65"/>
        <v>11335.232244023933</v>
      </c>
      <c r="EP19" s="4">
        <f t="shared" ca="1" si="143"/>
        <v>4176.8511777012191</v>
      </c>
      <c r="EQ19" s="4">
        <f t="shared" ca="1" si="66"/>
        <v>0</v>
      </c>
      <c r="ER19" s="4">
        <v>0</v>
      </c>
      <c r="ES19" s="4">
        <f t="shared" ca="1" si="144"/>
        <v>87713.874731725591</v>
      </c>
      <c r="ET19" s="4"/>
      <c r="EU19" s="4">
        <f t="shared" ca="1" si="145"/>
        <v>0</v>
      </c>
      <c r="EV19" s="4">
        <f t="shared" ca="1" si="67"/>
        <v>0</v>
      </c>
      <c r="EW19" s="4">
        <f t="shared" ca="1" si="146"/>
        <v>0</v>
      </c>
      <c r="EX19" s="4">
        <f t="shared" ca="1" si="68"/>
        <v>0</v>
      </c>
      <c r="EY19" s="4">
        <v>0</v>
      </c>
      <c r="EZ19" s="4">
        <f t="shared" ca="1" si="147"/>
        <v>0</v>
      </c>
      <c r="FA19" s="4">
        <f t="shared" ca="1" si="148"/>
        <v>0</v>
      </c>
      <c r="FB19" s="1">
        <f t="shared" ca="1" si="69"/>
        <v>0</v>
      </c>
      <c r="FC19" s="4">
        <f t="shared" ca="1" si="149"/>
        <v>0</v>
      </c>
      <c r="FD19" s="4">
        <f t="shared" ca="1" si="150"/>
        <v>0</v>
      </c>
      <c r="FE19" s="4">
        <f t="shared" ca="1" si="70"/>
        <v>0</v>
      </c>
      <c r="FF19" s="4">
        <f t="shared" ca="1" si="71"/>
        <v>0</v>
      </c>
      <c r="FG19" s="4">
        <f t="shared" ca="1" si="72"/>
        <v>0</v>
      </c>
      <c r="FH19" s="17">
        <f t="shared" ca="1" si="73"/>
        <v>0</v>
      </c>
      <c r="FI19" s="4">
        <f t="shared" ca="1" si="74"/>
        <v>0</v>
      </c>
      <c r="FJ19" s="4"/>
      <c r="FK19" s="4">
        <f t="shared" ca="1" si="75"/>
        <v>187719.64023075774</v>
      </c>
      <c r="FL19" s="4"/>
      <c r="FM19" s="4">
        <v>0</v>
      </c>
      <c r="FN19" s="4">
        <f t="shared" si="76"/>
        <v>0</v>
      </c>
      <c r="FO19" s="4">
        <f t="shared" si="77"/>
        <v>0</v>
      </c>
      <c r="FP19" s="4">
        <f t="shared" si="78"/>
        <v>0</v>
      </c>
      <c r="FQ19" s="4">
        <f t="shared" si="79"/>
        <v>0</v>
      </c>
      <c r="FR19" s="4">
        <f t="shared" si="80"/>
        <v>0</v>
      </c>
      <c r="FS19" s="4">
        <f t="shared" si="81"/>
        <v>0</v>
      </c>
      <c r="FT19" s="4">
        <f t="shared" ca="1" si="82"/>
        <v>6701.07616817704</v>
      </c>
      <c r="FU19" s="4"/>
      <c r="FV19" s="3">
        <f t="shared" si="83"/>
        <v>0.78849317558165621</v>
      </c>
      <c r="FW19" s="3">
        <f t="shared" si="84"/>
        <v>0.78849317558165621</v>
      </c>
      <c r="FX19" s="4">
        <f t="shared" si="151"/>
        <v>2029</v>
      </c>
      <c r="FY19" s="18">
        <f t="shared" si="85"/>
        <v>89.936218343156938</v>
      </c>
      <c r="FZ19" s="18">
        <f t="shared" si="86"/>
        <v>0</v>
      </c>
      <c r="GA19" s="18">
        <f t="shared" si="87"/>
        <v>0</v>
      </c>
      <c r="GB19" s="18">
        <f t="shared" si="88"/>
        <v>0</v>
      </c>
      <c r="GC19" s="18">
        <f t="shared" ca="1" si="89"/>
        <v>0</v>
      </c>
      <c r="GD19" s="18">
        <f t="shared" ca="1" si="90"/>
        <v>0</v>
      </c>
      <c r="GE19" s="18">
        <f t="shared" ca="1" si="91"/>
        <v>0</v>
      </c>
      <c r="GF19" s="18">
        <f t="shared" ca="1" si="92"/>
        <v>0</v>
      </c>
      <c r="GG19" s="18" t="e">
        <f t="shared" ca="1" si="93"/>
        <v>#NAME?</v>
      </c>
      <c r="GH19" s="18" t="e">
        <f t="shared" ca="1" si="94"/>
        <v>#NAME?</v>
      </c>
      <c r="GI19" s="4"/>
      <c r="GJ19" s="4">
        <f t="shared" si="95"/>
        <v>2029</v>
      </c>
      <c r="GK19" s="4">
        <f t="shared" ca="1" si="96"/>
        <v>75.098917728386937</v>
      </c>
      <c r="GL19" s="4">
        <f t="shared" ca="1" si="97"/>
        <v>0</v>
      </c>
      <c r="GM19" s="4">
        <f t="shared" ca="1" si="98"/>
        <v>65.868372980752284</v>
      </c>
      <c r="GN19" s="4">
        <f t="shared" ca="1" si="99"/>
        <v>0</v>
      </c>
      <c r="GO19" s="4"/>
      <c r="GP19" s="3">
        <f t="shared" ca="1" si="152"/>
        <v>0.53274002323943448</v>
      </c>
      <c r="GQ19" s="3">
        <f t="shared" ca="1" si="100"/>
        <v>0</v>
      </c>
      <c r="GR19" s="3">
        <f t="shared" ca="1" si="101"/>
        <v>0</v>
      </c>
      <c r="GS19" s="3">
        <f t="shared" ca="1" si="102"/>
        <v>0.46725997676056558</v>
      </c>
      <c r="GT19" s="3">
        <f t="array" aca="1" ref="GT19" ca="1">SUM(GP19:GS19*$GU$6:$GX$6)</f>
        <v>1</v>
      </c>
      <c r="GU19" s="3">
        <f t="shared" ca="1" si="155"/>
        <v>0.53274002323943448</v>
      </c>
      <c r="GV19" s="3">
        <f t="shared" ca="1" si="156"/>
        <v>0</v>
      </c>
      <c r="GW19" s="3">
        <f t="shared" ca="1" si="157"/>
        <v>0</v>
      </c>
      <c r="GX19" s="3">
        <f t="shared" ca="1" si="158"/>
        <v>0.46725997676056558</v>
      </c>
      <c r="GY19" s="11"/>
      <c r="GZ19" s="27">
        <v>61</v>
      </c>
      <c r="HA19" s="29">
        <v>3.4500000000000003E-2</v>
      </c>
      <c r="HB19" s="29">
        <f t="shared" ca="1" si="153"/>
        <v>7.0400000000000004E-2</v>
      </c>
      <c r="HC19" s="29">
        <v>7.0400000000000004E-2</v>
      </c>
      <c r="HD19" s="29">
        <v>6.9000000000000006E-2</v>
      </c>
      <c r="HE19" s="29">
        <v>5.0599999999999999E-2</v>
      </c>
      <c r="HG19" s="27">
        <v>59</v>
      </c>
      <c r="HH19" s="30">
        <v>3.2300000000000002E-2</v>
      </c>
      <c r="HJ19">
        <f t="shared" si="159"/>
        <v>2022</v>
      </c>
      <c r="HK19" s="28">
        <f t="shared" si="164"/>
        <v>25140</v>
      </c>
      <c r="HL19" s="27">
        <f t="shared" si="162"/>
        <v>6000</v>
      </c>
      <c r="HM19" s="28">
        <f t="shared" si="163"/>
        <v>6193.8933059520004</v>
      </c>
      <c r="HO19">
        <f t="shared" ca="1" si="165"/>
        <v>126625</v>
      </c>
      <c r="HP19" s="4">
        <f t="shared" ca="1" si="166"/>
        <v>126625</v>
      </c>
      <c r="HQ19">
        <f t="shared" ca="1" si="167"/>
        <v>0.1</v>
      </c>
      <c r="HR19" s="4">
        <f t="shared" ref="HR19:HR24" ca="1" si="168">HQ19*(HP19-HP18)+HR18</f>
        <v>12662.5</v>
      </c>
      <c r="HT19" t="s">
        <v>171</v>
      </c>
      <c r="HV19">
        <f ca="1">OFFSET(HR47,0,$HP$15-1)</f>
        <v>18690</v>
      </c>
      <c r="HW19" s="4">
        <f ca="1">HV19*(1+$B$15)^($B$7-$HP$26)</f>
        <v>18690</v>
      </c>
      <c r="IH19" s="4"/>
    </row>
    <row r="20" spans="1:242" x14ac:dyDescent="0.25">
      <c r="A20" s="15" t="s">
        <v>79</v>
      </c>
      <c r="D20">
        <f t="shared" si="107"/>
        <v>2030</v>
      </c>
      <c r="E20">
        <f t="shared" si="108"/>
        <v>35</v>
      </c>
      <c r="F20" s="8"/>
      <c r="G20" s="8"/>
      <c r="H20" s="9"/>
      <c r="I20" s="9"/>
      <c r="J20" s="92"/>
      <c r="K20" s="91"/>
      <c r="L20" s="91"/>
      <c r="N20" s="93">
        <f t="shared" si="109"/>
        <v>0.05</v>
      </c>
      <c r="O20" s="23">
        <f t="shared" si="110"/>
        <v>0.4</v>
      </c>
      <c r="P20" s="23">
        <f t="shared" si="111"/>
        <v>0.1</v>
      </c>
      <c r="Q20" s="4">
        <f t="shared" si="0"/>
        <v>0</v>
      </c>
      <c r="R20" s="4">
        <f t="shared" si="112"/>
        <v>0</v>
      </c>
      <c r="S20" s="4">
        <f t="shared" si="113"/>
        <v>0</v>
      </c>
      <c r="T20" s="4">
        <f t="shared" ca="1" si="114"/>
        <v>0</v>
      </c>
      <c r="V20" s="18" t="e">
        <f t="shared" ca="1" si="1"/>
        <v>#NAME?</v>
      </c>
      <c r="W20" s="18" t="e">
        <f t="shared" ca="1" si="2"/>
        <v>#NAME?</v>
      </c>
      <c r="X20" s="18">
        <f t="shared" si="3"/>
        <v>0</v>
      </c>
      <c r="Y20" s="18">
        <f t="shared" ca="1" si="4"/>
        <v>10.671108651941735</v>
      </c>
      <c r="Z20" s="18">
        <f t="shared" ca="1" si="5"/>
        <v>0</v>
      </c>
      <c r="AA20" s="18">
        <f t="shared" ca="1" si="6"/>
        <v>6.731729799303185</v>
      </c>
      <c r="AB20" s="18">
        <f t="shared" ca="1" si="7"/>
        <v>2.7468200895079975</v>
      </c>
      <c r="AC20" s="18">
        <f t="shared" ca="1" si="8"/>
        <v>82.487859257320366</v>
      </c>
      <c r="AD20" s="18">
        <f t="shared" ca="1" si="9"/>
        <v>0</v>
      </c>
      <c r="AE20" s="18">
        <f t="shared" ca="1" si="10"/>
        <v>76.568181272388159</v>
      </c>
      <c r="AF20" s="18">
        <f t="shared" ca="1" si="11"/>
        <v>0</v>
      </c>
      <c r="AG20" s="18">
        <f t="shared" ca="1" si="12"/>
        <v>159.05604052970853</v>
      </c>
      <c r="AI20">
        <f>Person2!E20</f>
        <v>35</v>
      </c>
      <c r="AJ20">
        <f>Person2!AZ20</f>
        <v>1</v>
      </c>
      <c r="AK20">
        <f>IF($AZ20&lt;&gt;3,Person2!FM20,0)</f>
        <v>0</v>
      </c>
      <c r="AL20" s="4">
        <f ca="1">IF($AZ20&lt;&gt;3,Person2!FN20+Person2!FT20,0)</f>
        <v>0</v>
      </c>
      <c r="AM20">
        <f>IF($AZ20&lt;&gt;3,Person2!FO20,0)</f>
        <v>0</v>
      </c>
      <c r="AN20">
        <f>IF($AZ20&lt;&gt;3,Person2!FP20,0)</f>
        <v>0</v>
      </c>
      <c r="AO20">
        <f>IF($AZ20&lt;&gt;3,Person2!FQ20,0)</f>
        <v>0</v>
      </c>
      <c r="AP20">
        <f>IF($AZ20&lt;&gt;3,Person2!FR20,0)</f>
        <v>0</v>
      </c>
      <c r="AQ20">
        <v>0</v>
      </c>
      <c r="AR20" s="4">
        <f>Person2!FS20</f>
        <v>0</v>
      </c>
      <c r="AS20" s="4">
        <v>0</v>
      </c>
      <c r="AT20" s="4">
        <v>0</v>
      </c>
      <c r="AV20">
        <f t="shared" si="161"/>
        <v>2030</v>
      </c>
      <c r="AW20">
        <f t="shared" si="116"/>
        <v>35</v>
      </c>
      <c r="AX20">
        <f t="shared" si="117"/>
        <v>1.2936066304537963</v>
      </c>
      <c r="AY20">
        <f t="shared" si="118"/>
        <v>0.77303252508005516</v>
      </c>
      <c r="AZ20">
        <f t="shared" si="119"/>
        <v>1</v>
      </c>
      <c r="BB20" s="4">
        <f t="shared" si="13"/>
        <v>117482.69707612511</v>
      </c>
      <c r="BC20">
        <f t="shared" si="14"/>
        <v>0</v>
      </c>
      <c r="BD20" s="4">
        <f t="shared" si="15"/>
        <v>0</v>
      </c>
      <c r="BE20" s="4">
        <f t="shared" si="120"/>
        <v>0</v>
      </c>
      <c r="BF20" s="4">
        <f t="shared" si="121"/>
        <v>0</v>
      </c>
      <c r="BG20" s="4">
        <f t="shared" si="122"/>
        <v>0</v>
      </c>
      <c r="BH20" s="4">
        <f t="shared" si="16"/>
        <v>0</v>
      </c>
      <c r="BI20" s="4">
        <f t="shared" si="123"/>
        <v>117482.69707612511</v>
      </c>
      <c r="BJ20" s="4"/>
      <c r="BK20" s="4">
        <f t="shared" si="17"/>
        <v>64680.331522689812</v>
      </c>
      <c r="BL20" s="4">
        <f t="shared" si="124"/>
        <v>0</v>
      </c>
      <c r="BM20" s="4">
        <f t="shared" si="125"/>
        <v>64680.331522689812</v>
      </c>
      <c r="BN20" s="4">
        <v>26736.633663737353</v>
      </c>
      <c r="BO20" s="4">
        <f t="shared" si="126"/>
        <v>91416.965186427173</v>
      </c>
      <c r="BP20" s="4">
        <f t="shared" si="127"/>
        <v>26065.731889697941</v>
      </c>
      <c r="BQ20" s="4"/>
      <c r="BR20" s="4">
        <v>0</v>
      </c>
      <c r="BS20" s="4">
        <f t="shared" ca="1" si="18"/>
        <v>13804.216906444701</v>
      </c>
      <c r="BT20" s="4">
        <f t="shared" ca="1" si="19"/>
        <v>8708.2103028020047</v>
      </c>
      <c r="BU20" s="4">
        <f t="shared" si="20"/>
        <v>0</v>
      </c>
      <c r="BV20" s="4">
        <f t="shared" si="21"/>
        <v>1</v>
      </c>
      <c r="BW20" s="4">
        <f t="shared" ca="1" si="22"/>
        <v>0</v>
      </c>
      <c r="BX20" s="4">
        <f t="shared" ca="1" si="23"/>
        <v>0</v>
      </c>
      <c r="BY20" s="4">
        <f t="shared" ca="1" si="24"/>
        <v>0</v>
      </c>
      <c r="BZ20" s="4">
        <f t="shared" ca="1" si="25"/>
        <v>0</v>
      </c>
      <c r="CA20" s="4">
        <f t="shared" ca="1" si="26"/>
        <v>0</v>
      </c>
      <c r="CB20" s="4">
        <f t="shared" ca="1" si="160"/>
        <v>0</v>
      </c>
      <c r="CC20" s="4"/>
      <c r="CD20" s="4">
        <f t="shared" ca="1" si="27"/>
        <v>117482.69707612511</v>
      </c>
      <c r="CE20" s="4">
        <f t="shared" ca="1" si="128"/>
        <v>99279.971840877712</v>
      </c>
      <c r="CF20" s="16">
        <f t="shared" si="28"/>
        <v>0</v>
      </c>
      <c r="CG20" s="4">
        <f t="shared" si="129"/>
        <v>4398.5083288026945</v>
      </c>
      <c r="CH20" s="4" t="e">
        <f t="shared" ca="1" si="29"/>
        <v>#NAME?</v>
      </c>
      <c r="CI20" s="4" t="e">
        <f t="shared" ca="1" si="30"/>
        <v>#NAME?</v>
      </c>
      <c r="CJ20" s="4" t="e">
        <f t="shared" ca="1" si="130"/>
        <v>#NAME?</v>
      </c>
      <c r="CK20" s="4" t="e">
        <f t="shared" ca="1" si="31"/>
        <v>#NAME?</v>
      </c>
      <c r="CL20" s="4" t="e">
        <f t="shared" ca="1" si="32"/>
        <v>#NAME?</v>
      </c>
      <c r="CM20" s="16"/>
      <c r="CN20" s="4">
        <f t="shared" si="33"/>
        <v>0</v>
      </c>
      <c r="CO20" s="4">
        <f t="shared" si="131"/>
        <v>0</v>
      </c>
      <c r="CP20" s="4">
        <f t="shared" ca="1" si="34"/>
        <v>205755.94864295871</v>
      </c>
      <c r="CQ20" s="4"/>
      <c r="CR20" s="4">
        <f t="shared" ca="1" si="35"/>
        <v>26065.731889697941</v>
      </c>
      <c r="CS20" s="4">
        <f t="shared" ca="1" si="36"/>
        <v>29460</v>
      </c>
      <c r="CT20" s="4">
        <f t="shared" ca="1" si="37"/>
        <v>21146.885473702521</v>
      </c>
      <c r="CU20" s="4"/>
      <c r="CV20" s="4">
        <f t="shared" ca="1" si="132"/>
        <v>26065.731889697941</v>
      </c>
      <c r="CW20" s="4">
        <f t="shared" ca="1" si="38"/>
        <v>0</v>
      </c>
      <c r="CX20" s="4">
        <f t="shared" ca="1" si="39"/>
        <v>0</v>
      </c>
      <c r="CY20" s="4">
        <f t="shared" ca="1" si="133"/>
        <v>26065.731889697941</v>
      </c>
      <c r="CZ20" s="4"/>
      <c r="DA20" s="4">
        <f t="shared" ca="1" si="40"/>
        <v>26065.731889697941</v>
      </c>
      <c r="DB20" s="4">
        <f t="shared" si="41"/>
        <v>7342.6685672578196</v>
      </c>
      <c r="DC20" s="4">
        <f t="shared" ca="1" si="134"/>
        <v>0</v>
      </c>
      <c r="DD20" s="4">
        <f t="shared" ca="1" si="42"/>
        <v>13804.216906444701</v>
      </c>
      <c r="DE20" s="4">
        <f t="shared" ca="1" si="43"/>
        <v>13804.216906444701</v>
      </c>
      <c r="DF20" s="4">
        <f t="shared" ca="1" si="135"/>
        <v>0</v>
      </c>
      <c r="DG20" s="4">
        <f t="shared" ca="1" si="136"/>
        <v>6902.1084532223504</v>
      </c>
      <c r="DH20" s="4">
        <f t="shared" ca="1" si="44"/>
        <v>6902.1084532223504</v>
      </c>
      <c r="DI20" s="4"/>
      <c r="DJ20" s="4">
        <f t="shared" ca="1" si="45"/>
        <v>12261.514983253241</v>
      </c>
      <c r="DK20" s="4">
        <f t="shared" ca="1" si="46"/>
        <v>7500</v>
      </c>
      <c r="DL20" s="4">
        <f t="shared" ca="1" si="47"/>
        <v>7500</v>
      </c>
      <c r="DM20" s="4">
        <f t="shared" ca="1" si="48"/>
        <v>8708.2103028020047</v>
      </c>
      <c r="DN20" s="4">
        <f t="shared" ca="1" si="49"/>
        <v>8708.2103028020047</v>
      </c>
      <c r="DO20" s="4">
        <f t="shared" ca="1" si="50"/>
        <v>0</v>
      </c>
      <c r="DP20" s="4"/>
      <c r="DQ20" s="4">
        <f t="shared" ca="1" si="51"/>
        <v>3553.304680451236</v>
      </c>
      <c r="DR20" s="4"/>
      <c r="DS20" s="4">
        <f t="shared" si="137"/>
        <v>0</v>
      </c>
      <c r="DT20" s="4">
        <f t="shared" si="52"/>
        <v>0</v>
      </c>
      <c r="DU20" s="4">
        <f t="shared" si="53"/>
        <v>0</v>
      </c>
      <c r="DV20" s="4"/>
      <c r="DW20" s="4">
        <f t="shared" ca="1" si="138"/>
        <v>106706.84166720918</v>
      </c>
      <c r="DX20" s="4">
        <f t="shared" ca="1" si="54"/>
        <v>6902.1084532223504</v>
      </c>
      <c r="DY20" s="4">
        <f t="shared" ca="1" si="139"/>
        <v>5335.3420833604596</v>
      </c>
      <c r="DZ20" s="4">
        <f t="shared" ca="1" si="55"/>
        <v>0</v>
      </c>
      <c r="EA20" s="4">
        <f t="shared" ca="1" si="56"/>
        <v>0</v>
      </c>
      <c r="EB20" s="4">
        <f t="shared" ca="1" si="57"/>
        <v>112042.18375056965</v>
      </c>
      <c r="EC20" s="4">
        <f t="shared" si="58"/>
        <v>1</v>
      </c>
      <c r="ED20" s="4"/>
      <c r="EE20" s="4">
        <f t="shared" ca="1" si="140"/>
        <v>0</v>
      </c>
      <c r="EF20" s="4">
        <f t="shared" ca="1" si="59"/>
        <v>0</v>
      </c>
      <c r="EG20" s="4">
        <f t="shared" ca="1" si="141"/>
        <v>0</v>
      </c>
      <c r="EH20" s="4">
        <f t="shared" ca="1" si="60"/>
        <v>0</v>
      </c>
      <c r="EI20" s="4">
        <f t="shared" ca="1" si="61"/>
        <v>0</v>
      </c>
      <c r="EJ20" s="4">
        <f t="shared" ca="1" si="62"/>
        <v>0</v>
      </c>
      <c r="EK20" s="4">
        <f t="shared" si="63"/>
        <v>1</v>
      </c>
      <c r="EL20" s="4">
        <f t="shared" si="64"/>
        <v>0</v>
      </c>
      <c r="EM20" s="4"/>
      <c r="EN20" s="4">
        <f t="shared" ca="1" si="142"/>
        <v>99049.106975749528</v>
      </c>
      <c r="EO20" s="4">
        <f t="shared" ca="1" si="65"/>
        <v>8708.2103028020047</v>
      </c>
      <c r="EP20" s="4">
        <f t="shared" ca="1" si="143"/>
        <v>4952.4553487874764</v>
      </c>
      <c r="EQ20" s="4">
        <f t="shared" ca="1" si="66"/>
        <v>0</v>
      </c>
      <c r="ER20" s="4">
        <v>0</v>
      </c>
      <c r="ES20" s="4">
        <f t="shared" ca="1" si="144"/>
        <v>104001.56232453701</v>
      </c>
      <c r="ET20" s="4"/>
      <c r="EU20" s="4">
        <f t="shared" ca="1" si="145"/>
        <v>0</v>
      </c>
      <c r="EV20" s="4">
        <f t="shared" ca="1" si="67"/>
        <v>3553.304680451236</v>
      </c>
      <c r="EW20" s="4">
        <f t="shared" ca="1" si="146"/>
        <v>0</v>
      </c>
      <c r="EX20" s="4">
        <f t="shared" ca="1" si="68"/>
        <v>0</v>
      </c>
      <c r="EY20" s="4">
        <v>0</v>
      </c>
      <c r="EZ20" s="4">
        <f t="shared" ca="1" si="147"/>
        <v>0</v>
      </c>
      <c r="FA20" s="4">
        <f t="shared" ca="1" si="148"/>
        <v>0</v>
      </c>
      <c r="FB20" s="1">
        <f t="shared" ca="1" si="69"/>
        <v>0</v>
      </c>
      <c r="FC20" s="4">
        <f t="shared" ca="1" si="149"/>
        <v>0</v>
      </c>
      <c r="FD20" s="4">
        <f t="shared" ca="1" si="150"/>
        <v>0</v>
      </c>
      <c r="FE20" s="4">
        <f t="shared" ca="1" si="70"/>
        <v>0</v>
      </c>
      <c r="FF20" s="4">
        <f t="shared" ca="1" si="71"/>
        <v>0</v>
      </c>
      <c r="FG20" s="4">
        <f t="shared" ca="1" si="72"/>
        <v>0</v>
      </c>
      <c r="FH20" s="17">
        <f t="shared" ca="1" si="73"/>
        <v>0</v>
      </c>
      <c r="FI20" s="4">
        <f t="shared" ca="1" si="74"/>
        <v>0</v>
      </c>
      <c r="FJ20" s="4"/>
      <c r="FK20" s="4">
        <f t="shared" ca="1" si="75"/>
        <v>216043.74607510667</v>
      </c>
      <c r="FL20" s="4"/>
      <c r="FM20" s="4">
        <v>0</v>
      </c>
      <c r="FN20" s="4">
        <f t="shared" si="76"/>
        <v>0</v>
      </c>
      <c r="FO20" s="4">
        <f t="shared" si="77"/>
        <v>0</v>
      </c>
      <c r="FP20" s="4">
        <f t="shared" si="78"/>
        <v>0</v>
      </c>
      <c r="FQ20" s="4">
        <f t="shared" si="79"/>
        <v>0</v>
      </c>
      <c r="FR20" s="4">
        <f t="shared" si="80"/>
        <v>0</v>
      </c>
      <c r="FS20" s="4">
        <f t="shared" si="81"/>
        <v>0</v>
      </c>
      <c r="FT20" s="4">
        <f t="shared" ca="1" si="82"/>
        <v>6902.1084532223504</v>
      </c>
      <c r="FU20" s="4"/>
      <c r="FV20" s="3">
        <f t="shared" si="83"/>
        <v>0.77303252508005516</v>
      </c>
      <c r="FW20" s="3">
        <f t="shared" si="84"/>
        <v>0.77303252508005516</v>
      </c>
      <c r="FX20" s="4">
        <f t="shared" si="151"/>
        <v>2030</v>
      </c>
      <c r="FY20" s="18">
        <f t="shared" si="85"/>
        <v>90.817945973972215</v>
      </c>
      <c r="FZ20" s="18">
        <f t="shared" si="86"/>
        <v>0</v>
      </c>
      <c r="GA20" s="18">
        <f t="shared" si="87"/>
        <v>0</v>
      </c>
      <c r="GB20" s="18">
        <f t="shared" si="88"/>
        <v>0</v>
      </c>
      <c r="GC20" s="18">
        <f t="shared" ca="1" si="89"/>
        <v>0</v>
      </c>
      <c r="GD20" s="18">
        <f t="shared" ca="1" si="90"/>
        <v>0</v>
      </c>
      <c r="GE20" s="18">
        <f t="shared" ca="1" si="91"/>
        <v>0</v>
      </c>
      <c r="GF20" s="18">
        <f t="shared" ca="1" si="92"/>
        <v>0</v>
      </c>
      <c r="GG20" s="18" t="e">
        <f t="shared" ca="1" si="93"/>
        <v>#NAME?</v>
      </c>
      <c r="GH20" s="18" t="e">
        <f t="shared" ca="1" si="94"/>
        <v>#NAME?</v>
      </c>
      <c r="GI20" s="4"/>
      <c r="GJ20" s="4">
        <f t="shared" si="95"/>
        <v>2030</v>
      </c>
      <c r="GK20" s="4">
        <f t="shared" ca="1" si="96"/>
        <v>82.487859257320366</v>
      </c>
      <c r="GL20" s="4">
        <f t="shared" ca="1" si="97"/>
        <v>0</v>
      </c>
      <c r="GM20" s="4">
        <f t="shared" ca="1" si="98"/>
        <v>76.568181272388159</v>
      </c>
      <c r="GN20" s="4">
        <f t="shared" ca="1" si="99"/>
        <v>0</v>
      </c>
      <c r="GO20" s="4"/>
      <c r="GP20" s="3">
        <f t="shared" ca="1" si="152"/>
        <v>0.51860878079580541</v>
      </c>
      <c r="GQ20" s="3">
        <f t="shared" ca="1" si="100"/>
        <v>0</v>
      </c>
      <c r="GR20" s="3">
        <f t="shared" ca="1" si="101"/>
        <v>0</v>
      </c>
      <c r="GS20" s="3">
        <f t="shared" ca="1" si="102"/>
        <v>0.48139121920419448</v>
      </c>
      <c r="GT20" s="3">
        <f t="array" aca="1" ref="GT20" ca="1">SUM(GP20:GS20*$GU$6:$GX$6)</f>
        <v>0.99999999999999989</v>
      </c>
      <c r="GU20" s="3">
        <f t="shared" ca="1" si="155"/>
        <v>0.51860878079580552</v>
      </c>
      <c r="GV20" s="3">
        <f t="shared" ca="1" si="156"/>
        <v>0</v>
      </c>
      <c r="GW20" s="3">
        <f t="shared" ca="1" si="157"/>
        <v>0</v>
      </c>
      <c r="GX20" s="3">
        <f t="shared" ca="1" si="158"/>
        <v>0.48139121920419453</v>
      </c>
      <c r="GY20" s="11"/>
      <c r="GZ20" s="27">
        <v>62</v>
      </c>
      <c r="HA20" s="29">
        <v>3.5700000000000003E-2</v>
      </c>
      <c r="HB20" s="29">
        <f t="shared" ca="1" si="153"/>
        <v>7.1400000000000005E-2</v>
      </c>
      <c r="HC20" s="29">
        <v>7.1400000000000005E-2</v>
      </c>
      <c r="HD20" s="29">
        <v>7.0000000000000007E-2</v>
      </c>
      <c r="HE20" s="29">
        <v>5.1499999999999997E-2</v>
      </c>
      <c r="HG20" s="27">
        <v>60</v>
      </c>
      <c r="HH20" s="30">
        <v>3.3300000000000003E-2</v>
      </c>
      <c r="HJ20">
        <f t="shared" si="159"/>
        <v>2023</v>
      </c>
      <c r="HK20" s="28">
        <f t="shared" si="164"/>
        <v>25650</v>
      </c>
      <c r="HL20" s="27">
        <f t="shared" si="162"/>
        <v>6500</v>
      </c>
      <c r="HM20" s="28">
        <f t="shared" si="163"/>
        <v>6317.7711720710404</v>
      </c>
      <c r="HO20">
        <f t="shared" ca="1" si="165"/>
        <v>151950</v>
      </c>
      <c r="HP20" s="4">
        <f t="shared" ca="1" si="166"/>
        <v>151950</v>
      </c>
      <c r="HQ20">
        <f t="shared" ca="1" si="167"/>
        <v>0.12</v>
      </c>
      <c r="HR20" s="4">
        <f t="shared" ca="1" si="168"/>
        <v>15701.5</v>
      </c>
      <c r="HT20" t="s">
        <v>172</v>
      </c>
      <c r="HV20">
        <f ca="1">OFFSET(HR48,0,$HP$15-1)</f>
        <v>5208</v>
      </c>
      <c r="HW20" s="4">
        <f ca="1">HV20*(1+$B$15)^($B$7-$HP$26)</f>
        <v>5208</v>
      </c>
      <c r="IH20" s="4"/>
    </row>
    <row r="21" spans="1:242" x14ac:dyDescent="0.25">
      <c r="A21" t="s">
        <v>59</v>
      </c>
      <c r="B21" s="62">
        <f>Inputs_Summary!AJ18</f>
        <v>80000</v>
      </c>
      <c r="D21">
        <f t="shared" si="107"/>
        <v>2031</v>
      </c>
      <c r="E21">
        <f t="shared" si="108"/>
        <v>36</v>
      </c>
      <c r="F21" s="8"/>
      <c r="G21" s="8"/>
      <c r="H21" s="9"/>
      <c r="I21" s="9"/>
      <c r="J21" s="92"/>
      <c r="K21" s="91"/>
      <c r="L21" s="91"/>
      <c r="N21" s="93">
        <f t="shared" si="109"/>
        <v>0.05</v>
      </c>
      <c r="O21" s="23">
        <f t="shared" si="110"/>
        <v>0.4</v>
      </c>
      <c r="P21" s="23">
        <f t="shared" si="111"/>
        <v>0.1</v>
      </c>
      <c r="Q21" s="4">
        <f t="shared" si="0"/>
        <v>0</v>
      </c>
      <c r="R21" s="4">
        <f t="shared" si="112"/>
        <v>0</v>
      </c>
      <c r="S21" s="4">
        <f t="shared" si="113"/>
        <v>0</v>
      </c>
      <c r="T21" s="4">
        <f t="shared" ca="1" si="114"/>
        <v>0</v>
      </c>
      <c r="V21" s="18" t="e">
        <f t="shared" ca="1" si="1"/>
        <v>#NAME?</v>
      </c>
      <c r="W21" s="18" t="e">
        <f t="shared" ca="1" si="2"/>
        <v>#NAME?</v>
      </c>
      <c r="X21" s="18">
        <f t="shared" si="3"/>
        <v>0</v>
      </c>
      <c r="Y21" s="18">
        <f t="shared" ca="1" si="4"/>
        <v>10.775727364215673</v>
      </c>
      <c r="Z21" s="18">
        <f t="shared" ca="1" si="5"/>
        <v>0</v>
      </c>
      <c r="AA21" s="18">
        <f t="shared" ca="1" si="6"/>
        <v>5.6840626844121704</v>
      </c>
      <c r="AB21" s="18">
        <f t="shared" ca="1" si="7"/>
        <v>4.3190336638042703</v>
      </c>
      <c r="AC21" s="18">
        <f t="shared" ca="1" si="8"/>
        <v>90.144908378585527</v>
      </c>
      <c r="AD21" s="18">
        <f t="shared" ca="1" si="9"/>
        <v>0</v>
      </c>
      <c r="AE21" s="18">
        <f t="shared" ca="1" si="10"/>
        <v>85.419921701285062</v>
      </c>
      <c r="AF21" s="18">
        <f t="shared" ca="1" si="11"/>
        <v>2.6929608720666645</v>
      </c>
      <c r="AG21" s="18">
        <f t="shared" ca="1" si="12"/>
        <v>178.25779095193727</v>
      </c>
      <c r="AI21">
        <f>Person2!E21</f>
        <v>36</v>
      </c>
      <c r="AJ21">
        <f>Person2!AZ21</f>
        <v>1</v>
      </c>
      <c r="AK21">
        <f>IF($AZ21&lt;&gt;3,Person2!FM21,0)</f>
        <v>0</v>
      </c>
      <c r="AL21" s="4">
        <f ca="1">IF($AZ21&lt;&gt;3,Person2!FN21+Person2!FT21,0)</f>
        <v>0</v>
      </c>
      <c r="AM21">
        <f>IF($AZ21&lt;&gt;3,Person2!FO21,0)</f>
        <v>0</v>
      </c>
      <c r="AN21">
        <f>IF($AZ21&lt;&gt;3,Person2!FP21,0)</f>
        <v>0</v>
      </c>
      <c r="AO21">
        <f>IF($AZ21&lt;&gt;3,Person2!FQ21,0)</f>
        <v>0</v>
      </c>
      <c r="AP21">
        <f>IF($AZ21&lt;&gt;3,Person2!FR21,0)</f>
        <v>0</v>
      </c>
      <c r="AQ21">
        <v>0</v>
      </c>
      <c r="AR21" s="4">
        <f>Person2!FS21</f>
        <v>0</v>
      </c>
      <c r="AS21" s="4">
        <v>0</v>
      </c>
      <c r="AT21" s="4">
        <v>0</v>
      </c>
      <c r="AV21">
        <f t="shared" si="161"/>
        <v>2031</v>
      </c>
      <c r="AW21">
        <f t="shared" si="116"/>
        <v>36</v>
      </c>
      <c r="AX21">
        <f t="shared" si="117"/>
        <v>1.3194787630628724</v>
      </c>
      <c r="AY21">
        <f t="shared" si="118"/>
        <v>0.75787502458828937</v>
      </c>
      <c r="AZ21">
        <f t="shared" si="119"/>
        <v>1</v>
      </c>
      <c r="BB21" s="4">
        <f t="shared" si="13"/>
        <v>121007.17798840888</v>
      </c>
      <c r="BC21">
        <f t="shared" si="14"/>
        <v>0</v>
      </c>
      <c r="BD21" s="4">
        <f t="shared" si="15"/>
        <v>0</v>
      </c>
      <c r="BE21" s="4">
        <f t="shared" si="120"/>
        <v>0</v>
      </c>
      <c r="BF21" s="4">
        <f t="shared" si="121"/>
        <v>0</v>
      </c>
      <c r="BG21" s="4">
        <f t="shared" si="122"/>
        <v>0</v>
      </c>
      <c r="BH21" s="4">
        <f t="shared" si="16"/>
        <v>0</v>
      </c>
      <c r="BI21" s="4">
        <f t="shared" si="123"/>
        <v>121007.17798840888</v>
      </c>
      <c r="BJ21" s="4"/>
      <c r="BK21" s="4">
        <f t="shared" si="17"/>
        <v>65973.938153143623</v>
      </c>
      <c r="BL21" s="4">
        <f t="shared" si="124"/>
        <v>0</v>
      </c>
      <c r="BM21" s="4">
        <f t="shared" si="125"/>
        <v>65973.938153143623</v>
      </c>
      <c r="BN21" s="4">
        <v>27616.023225283847</v>
      </c>
      <c r="BO21" s="4">
        <f t="shared" si="126"/>
        <v>93589.96137842747</v>
      </c>
      <c r="BP21" s="4">
        <f t="shared" si="127"/>
        <v>27417.216609981406</v>
      </c>
      <c r="BQ21" s="4"/>
      <c r="BR21" s="4">
        <v>0</v>
      </c>
      <c r="BS21" s="4">
        <f t="shared" ca="1" si="18"/>
        <v>14218.343413638042</v>
      </c>
      <c r="BT21" s="4">
        <f t="shared" ca="1" si="19"/>
        <v>7500</v>
      </c>
      <c r="BU21" s="4">
        <f t="shared" si="20"/>
        <v>0</v>
      </c>
      <c r="BV21" s="4">
        <f t="shared" si="21"/>
        <v>1</v>
      </c>
      <c r="BW21" s="4">
        <f t="shared" ca="1" si="22"/>
        <v>0</v>
      </c>
      <c r="BX21" s="4">
        <f t="shared" ca="1" si="23"/>
        <v>0</v>
      </c>
      <c r="BY21" s="4">
        <f t="shared" ca="1" si="24"/>
        <v>0</v>
      </c>
      <c r="BZ21" s="4">
        <f t="shared" ca="1" si="25"/>
        <v>0</v>
      </c>
      <c r="CA21" s="4">
        <f t="shared" ca="1" si="26"/>
        <v>0</v>
      </c>
      <c r="CB21" s="4">
        <f t="shared" ca="1" si="160"/>
        <v>0</v>
      </c>
      <c r="CC21" s="4"/>
      <c r="CD21" s="4">
        <f t="shared" ca="1" si="27"/>
        <v>121007.17798840888</v>
      </c>
      <c r="CE21" s="4">
        <f t="shared" ca="1" si="128"/>
        <v>102415.70649869849</v>
      </c>
      <c r="CF21" s="16">
        <f t="shared" si="28"/>
        <v>0</v>
      </c>
      <c r="CG21" s="4">
        <f t="shared" si="129"/>
        <v>4486.4784953787484</v>
      </c>
      <c r="CH21" s="4" t="e">
        <f t="shared" ca="1" si="29"/>
        <v>#NAME?</v>
      </c>
      <c r="CI21" s="4" t="e">
        <f t="shared" ca="1" si="30"/>
        <v>#NAME?</v>
      </c>
      <c r="CJ21" s="4" t="e">
        <f t="shared" ca="1" si="130"/>
        <v>#NAME?</v>
      </c>
      <c r="CK21" s="4" t="e">
        <f t="shared" ca="1" si="31"/>
        <v>#NAME?</v>
      </c>
      <c r="CL21" s="4" t="e">
        <f t="shared" ca="1" si="32"/>
        <v>#NAME?</v>
      </c>
      <c r="CM21" s="16"/>
      <c r="CN21" s="4">
        <f t="shared" si="33"/>
        <v>0</v>
      </c>
      <c r="CO21" s="4">
        <f t="shared" si="131"/>
        <v>0</v>
      </c>
      <c r="CP21" s="4">
        <f t="shared" ca="1" si="34"/>
        <v>235207.36951158225</v>
      </c>
      <c r="CQ21" s="4"/>
      <c r="CR21" s="4">
        <f t="shared" ca="1" si="35"/>
        <v>27417.216609981406</v>
      </c>
      <c r="CS21" s="4">
        <f t="shared" ca="1" si="36"/>
        <v>30050</v>
      </c>
      <c r="CT21" s="4">
        <f t="shared" ca="1" si="37"/>
        <v>21781.292037913598</v>
      </c>
      <c r="CU21" s="4"/>
      <c r="CV21" s="4">
        <f t="shared" ca="1" si="132"/>
        <v>27417.216609981406</v>
      </c>
      <c r="CW21" s="4">
        <f t="shared" ca="1" si="38"/>
        <v>0</v>
      </c>
      <c r="CX21" s="4">
        <f t="shared" ca="1" si="39"/>
        <v>0</v>
      </c>
      <c r="CY21" s="4">
        <f t="shared" ca="1" si="133"/>
        <v>27417.216609981406</v>
      </c>
      <c r="CZ21" s="4"/>
      <c r="DA21" s="4">
        <f t="shared" ca="1" si="40"/>
        <v>27417.216609981406</v>
      </c>
      <c r="DB21" s="4">
        <f t="shared" si="41"/>
        <v>7562.9486242755547</v>
      </c>
      <c r="DC21" s="4">
        <f t="shared" ca="1" si="134"/>
        <v>0</v>
      </c>
      <c r="DD21" s="4">
        <f t="shared" ca="1" si="42"/>
        <v>14218.343413638042</v>
      </c>
      <c r="DE21" s="4">
        <f t="shared" ca="1" si="43"/>
        <v>14218.343413638042</v>
      </c>
      <c r="DF21" s="4">
        <f t="shared" ca="1" si="135"/>
        <v>0</v>
      </c>
      <c r="DG21" s="4">
        <f t="shared" ca="1" si="136"/>
        <v>7109.171706819021</v>
      </c>
      <c r="DH21" s="4">
        <f t="shared" ca="1" si="44"/>
        <v>7109.171706819021</v>
      </c>
      <c r="DI21" s="4"/>
      <c r="DJ21" s="4">
        <f t="shared" ca="1" si="45"/>
        <v>13198.873196343364</v>
      </c>
      <c r="DK21" s="4">
        <f t="shared" ca="1" si="46"/>
        <v>7500</v>
      </c>
      <c r="DL21" s="4">
        <f t="shared" ca="1" si="47"/>
        <v>7500</v>
      </c>
      <c r="DM21" s="4">
        <f t="shared" ca="1" si="48"/>
        <v>7500</v>
      </c>
      <c r="DN21" s="4">
        <f t="shared" ca="1" si="49"/>
        <v>7500</v>
      </c>
      <c r="DO21" s="4">
        <f t="shared" ca="1" si="50"/>
        <v>0</v>
      </c>
      <c r="DP21" s="4"/>
      <c r="DQ21" s="4">
        <f t="shared" ca="1" si="51"/>
        <v>5698.8731963433638</v>
      </c>
      <c r="DR21" s="4"/>
      <c r="DS21" s="4">
        <f t="shared" si="137"/>
        <v>0</v>
      </c>
      <c r="DT21" s="4">
        <f t="shared" si="52"/>
        <v>0</v>
      </c>
      <c r="DU21" s="4">
        <f t="shared" si="53"/>
        <v>0</v>
      </c>
      <c r="DV21" s="4"/>
      <c r="DW21" s="4">
        <f t="shared" ca="1" si="138"/>
        <v>118944.29220379199</v>
      </c>
      <c r="DX21" s="4">
        <f t="shared" ca="1" si="54"/>
        <v>7109.171706819021</v>
      </c>
      <c r="DY21" s="4">
        <f t="shared" ca="1" si="139"/>
        <v>5947.2146101895996</v>
      </c>
      <c r="DZ21" s="4">
        <f t="shared" ca="1" si="55"/>
        <v>0</v>
      </c>
      <c r="EA21" s="4">
        <f t="shared" ca="1" si="56"/>
        <v>0</v>
      </c>
      <c r="EB21" s="4">
        <f t="shared" ca="1" si="57"/>
        <v>124891.5068139816</v>
      </c>
      <c r="EC21" s="4">
        <f t="shared" si="58"/>
        <v>1</v>
      </c>
      <c r="ED21" s="4"/>
      <c r="EE21" s="4">
        <f t="shared" ca="1" si="140"/>
        <v>0</v>
      </c>
      <c r="EF21" s="4">
        <f t="shared" ca="1" si="59"/>
        <v>0</v>
      </c>
      <c r="EG21" s="4">
        <f t="shared" ca="1" si="141"/>
        <v>0</v>
      </c>
      <c r="EH21" s="4">
        <f t="shared" ca="1" si="60"/>
        <v>0</v>
      </c>
      <c r="EI21" s="4">
        <f t="shared" ca="1" si="61"/>
        <v>0</v>
      </c>
      <c r="EJ21" s="4">
        <f t="shared" ca="1" si="62"/>
        <v>0</v>
      </c>
      <c r="EK21" s="4">
        <f t="shared" si="63"/>
        <v>1</v>
      </c>
      <c r="EL21" s="4">
        <f t="shared" si="64"/>
        <v>0</v>
      </c>
      <c r="EM21" s="4"/>
      <c r="EN21" s="4">
        <f t="shared" ca="1" si="142"/>
        <v>112709.77262733901</v>
      </c>
      <c r="EO21" s="4">
        <f t="shared" ca="1" si="65"/>
        <v>7500</v>
      </c>
      <c r="EP21" s="4">
        <f t="shared" ca="1" si="143"/>
        <v>5635.4886313669513</v>
      </c>
      <c r="EQ21" s="4">
        <f t="shared" ca="1" si="66"/>
        <v>0</v>
      </c>
      <c r="ER21" s="4">
        <v>0</v>
      </c>
      <c r="ES21" s="4">
        <f t="shared" ca="1" si="144"/>
        <v>118345.26125870597</v>
      </c>
      <c r="ET21" s="4"/>
      <c r="EU21" s="4">
        <f t="shared" ca="1" si="145"/>
        <v>3553.304680451236</v>
      </c>
      <c r="EV21" s="4">
        <f t="shared" ca="1" si="67"/>
        <v>5698.8731963433638</v>
      </c>
      <c r="EW21" s="4">
        <f t="shared" ca="1" si="146"/>
        <v>177.6652340225618</v>
      </c>
      <c r="EX21" s="4">
        <f t="shared" ca="1" si="68"/>
        <v>0</v>
      </c>
      <c r="EY21" s="4">
        <v>0</v>
      </c>
      <c r="EZ21" s="4">
        <f t="shared" ca="1" si="147"/>
        <v>3730.9699144737979</v>
      </c>
      <c r="FA21" s="4">
        <f t="shared" ca="1" si="148"/>
        <v>0</v>
      </c>
      <c r="FB21" s="1">
        <f t="shared" ca="1" si="69"/>
        <v>0</v>
      </c>
      <c r="FC21" s="4">
        <f t="shared" ca="1" si="149"/>
        <v>71.066093609024719</v>
      </c>
      <c r="FD21" s="4">
        <f t="shared" ca="1" si="150"/>
        <v>88.832617011280902</v>
      </c>
      <c r="FE21" s="4">
        <f t="shared" ca="1" si="70"/>
        <v>24.517802295113526</v>
      </c>
      <c r="FF21" s="4">
        <f t="shared" ca="1" si="71"/>
        <v>3.6825739047260515</v>
      </c>
      <c r="FG21" s="4">
        <f t="shared" ca="1" si="72"/>
        <v>2.4517802295113529</v>
      </c>
      <c r="FH21" s="17">
        <f t="shared" ca="1" si="73"/>
        <v>0</v>
      </c>
      <c r="FI21" s="4">
        <f t="shared" ca="1" si="74"/>
        <v>0</v>
      </c>
      <c r="FJ21" s="4"/>
      <c r="FK21" s="4">
        <f t="shared" ca="1" si="75"/>
        <v>246967.73798716135</v>
      </c>
      <c r="FL21" s="4"/>
      <c r="FM21" s="4">
        <v>0</v>
      </c>
      <c r="FN21" s="4">
        <f t="shared" si="76"/>
        <v>0</v>
      </c>
      <c r="FO21" s="4">
        <f t="shared" si="77"/>
        <v>0</v>
      </c>
      <c r="FP21" s="4">
        <f t="shared" si="78"/>
        <v>0</v>
      </c>
      <c r="FQ21" s="4">
        <f t="shared" si="79"/>
        <v>0</v>
      </c>
      <c r="FR21" s="4">
        <f t="shared" si="80"/>
        <v>0</v>
      </c>
      <c r="FS21" s="4">
        <f t="shared" si="81"/>
        <v>0</v>
      </c>
      <c r="FT21" s="4">
        <f t="shared" ca="1" si="82"/>
        <v>7109.171706819021</v>
      </c>
      <c r="FU21" s="4"/>
      <c r="FV21" s="3">
        <f t="shared" si="83"/>
        <v>0.75787502458828937</v>
      </c>
      <c r="FW21" s="3">
        <f t="shared" si="84"/>
        <v>0.75787502458828937</v>
      </c>
      <c r="FX21" s="4">
        <f t="shared" si="151"/>
        <v>2031</v>
      </c>
      <c r="FY21" s="18">
        <f t="shared" si="85"/>
        <v>91.708317993324897</v>
      </c>
      <c r="FZ21" s="18">
        <f t="shared" si="86"/>
        <v>0</v>
      </c>
      <c r="GA21" s="18">
        <f t="shared" si="87"/>
        <v>0</v>
      </c>
      <c r="GB21" s="18">
        <f t="shared" si="88"/>
        <v>0</v>
      </c>
      <c r="GC21" s="18">
        <f t="shared" ca="1" si="89"/>
        <v>0</v>
      </c>
      <c r="GD21" s="18">
        <f t="shared" ca="1" si="90"/>
        <v>0</v>
      </c>
      <c r="GE21" s="18">
        <f t="shared" ca="1" si="91"/>
        <v>0</v>
      </c>
      <c r="GF21" s="18">
        <f t="shared" ca="1" si="92"/>
        <v>0</v>
      </c>
      <c r="GG21" s="18" t="e">
        <f t="shared" ca="1" si="93"/>
        <v>#NAME?</v>
      </c>
      <c r="GH21" s="18" t="e">
        <f t="shared" ca="1" si="94"/>
        <v>#NAME?</v>
      </c>
      <c r="GI21" s="4"/>
      <c r="GJ21" s="4">
        <f t="shared" si="95"/>
        <v>2031</v>
      </c>
      <c r="GK21" s="4">
        <f t="shared" ca="1" si="96"/>
        <v>90.144908378585527</v>
      </c>
      <c r="GL21" s="4">
        <f t="shared" ca="1" si="97"/>
        <v>0</v>
      </c>
      <c r="GM21" s="4">
        <f t="shared" ca="1" si="98"/>
        <v>85.419921701285062</v>
      </c>
      <c r="GN21" s="4">
        <f t="shared" ca="1" si="99"/>
        <v>2.6929608720666645</v>
      </c>
      <c r="GO21" s="4"/>
      <c r="GP21" s="3">
        <f t="shared" ca="1" si="152"/>
        <v>0.50569968301071822</v>
      </c>
      <c r="GQ21" s="3">
        <f t="shared" ca="1" si="100"/>
        <v>0</v>
      </c>
      <c r="GR21" s="3">
        <f t="shared" ca="1" si="101"/>
        <v>1.5107114576511012E-2</v>
      </c>
      <c r="GS21" s="3">
        <f t="shared" ca="1" si="102"/>
        <v>0.47919320241277086</v>
      </c>
      <c r="GT21" s="3">
        <f t="array" aca="1" ref="GT21" ca="1">SUM(GP21:GS21*$GU$6:$GX$6)</f>
        <v>1</v>
      </c>
      <c r="GU21" s="3">
        <f t="shared" ca="1" si="155"/>
        <v>0.50569968301071822</v>
      </c>
      <c r="GV21" s="3">
        <f t="shared" ca="1" si="156"/>
        <v>0</v>
      </c>
      <c r="GW21" s="3">
        <f t="shared" ca="1" si="157"/>
        <v>1.5107114576511012E-2</v>
      </c>
      <c r="GX21" s="3">
        <f t="shared" ca="1" si="158"/>
        <v>0.47919320241277086</v>
      </c>
      <c r="GY21" s="11"/>
      <c r="GZ21" s="27">
        <v>63</v>
      </c>
      <c r="HA21" s="29">
        <v>3.6999999999999998E-2</v>
      </c>
      <c r="HB21" s="29">
        <f t="shared" ca="1" si="153"/>
        <v>7.2599999999999998E-2</v>
      </c>
      <c r="HC21" s="29">
        <v>7.2599999999999998E-2</v>
      </c>
      <c r="HD21" s="29">
        <v>7.0999999999999994E-2</v>
      </c>
      <c r="HE21" s="29">
        <v>5.2600000000000001E-2</v>
      </c>
      <c r="HG21" s="27">
        <v>61</v>
      </c>
      <c r="HH21" s="30">
        <v>3.4500000000000003E-2</v>
      </c>
      <c r="HJ21">
        <f t="shared" si="159"/>
        <v>2024</v>
      </c>
      <c r="HK21" s="28">
        <f t="shared" si="164"/>
        <v>26160</v>
      </c>
      <c r="HL21" s="27">
        <f t="shared" si="162"/>
        <v>6500</v>
      </c>
      <c r="HM21" s="28">
        <f t="shared" si="163"/>
        <v>6444.1265955124609</v>
      </c>
      <c r="HO21">
        <f t="shared" ca="1" si="165"/>
        <v>202600</v>
      </c>
      <c r="HP21" s="4">
        <f t="shared" ca="1" si="166"/>
        <v>202600</v>
      </c>
      <c r="HQ21">
        <f t="shared" ca="1" si="167"/>
        <v>0.13</v>
      </c>
      <c r="HR21" s="4">
        <f t="shared" ca="1" si="168"/>
        <v>22286</v>
      </c>
      <c r="HT21" t="s">
        <v>610</v>
      </c>
      <c r="HV21">
        <f ca="1">OFFSET(HR53,0,$HP$15-1)</f>
        <v>1</v>
      </c>
      <c r="IH21" s="4"/>
    </row>
    <row r="22" spans="1:242" x14ac:dyDescent="0.25">
      <c r="A22" t="s">
        <v>180</v>
      </c>
      <c r="B22" s="64">
        <f>Inputs_Summary!AJ19</f>
        <v>0</v>
      </c>
      <c r="D22">
        <f t="shared" si="107"/>
        <v>2032</v>
      </c>
      <c r="E22">
        <f t="shared" si="108"/>
        <v>37</v>
      </c>
      <c r="F22" s="8"/>
      <c r="G22" s="8"/>
      <c r="H22" s="9"/>
      <c r="I22" s="9"/>
      <c r="J22" s="92"/>
      <c r="K22" s="91"/>
      <c r="L22" s="91"/>
      <c r="N22" s="93">
        <f t="shared" si="109"/>
        <v>0.05</v>
      </c>
      <c r="O22" s="23">
        <f t="shared" si="110"/>
        <v>0.4</v>
      </c>
      <c r="P22" s="23">
        <f t="shared" si="111"/>
        <v>0.1</v>
      </c>
      <c r="Q22" s="4">
        <f t="shared" si="0"/>
        <v>0</v>
      </c>
      <c r="R22" s="4">
        <f t="shared" si="112"/>
        <v>0</v>
      </c>
      <c r="S22" s="4">
        <f t="shared" si="113"/>
        <v>0</v>
      </c>
      <c r="T22" s="4">
        <f t="shared" ca="1" si="114"/>
        <v>0</v>
      </c>
      <c r="V22" s="18" t="e">
        <f t="shared" ca="1" si="1"/>
        <v>#NAME?</v>
      </c>
      <c r="W22" s="18" t="e">
        <f t="shared" ca="1" si="2"/>
        <v>#NAME?</v>
      </c>
      <c r="X22" s="18">
        <f t="shared" si="3"/>
        <v>0</v>
      </c>
      <c r="Y22" s="18">
        <f t="shared" ca="1" si="4"/>
        <v>10.881371750139355</v>
      </c>
      <c r="Z22" s="18">
        <f t="shared" ca="1" si="5"/>
        <v>0</v>
      </c>
      <c r="AA22" s="18">
        <f t="shared" ca="1" si="6"/>
        <v>5.5726104749138923</v>
      </c>
      <c r="AB22" s="18">
        <f t="shared" ca="1" si="7"/>
        <v>4.9474164590931506</v>
      </c>
      <c r="AC22" s="18">
        <f t="shared" ca="1" si="8"/>
        <v>98.078448509433983</v>
      </c>
      <c r="AD22" s="18">
        <f t="shared" ca="1" si="9"/>
        <v>0</v>
      </c>
      <c r="AE22" s="18">
        <f t="shared" ca="1" si="10"/>
        <v>93.504882814472026</v>
      </c>
      <c r="AF22" s="18">
        <f t="shared" ca="1" si="11"/>
        <v>7.0065123328179082</v>
      </c>
      <c r="AG22" s="18">
        <f t="shared" ca="1" si="12"/>
        <v>198.58984365672387</v>
      </c>
      <c r="AI22">
        <f>Person2!E22</f>
        <v>37</v>
      </c>
      <c r="AJ22">
        <f>Person2!AZ22</f>
        <v>1</v>
      </c>
      <c r="AK22">
        <f>IF($AZ22&lt;&gt;3,Person2!FM22,0)</f>
        <v>0</v>
      </c>
      <c r="AL22" s="4">
        <f ca="1">IF($AZ22&lt;&gt;3,Person2!FN22+Person2!FT22,0)</f>
        <v>0</v>
      </c>
      <c r="AM22">
        <f>IF($AZ22&lt;&gt;3,Person2!FO22,0)</f>
        <v>0</v>
      </c>
      <c r="AN22">
        <f>IF($AZ22&lt;&gt;3,Person2!FP22,0)</f>
        <v>0</v>
      </c>
      <c r="AO22">
        <f>IF($AZ22&lt;&gt;3,Person2!FQ22,0)</f>
        <v>0</v>
      </c>
      <c r="AP22">
        <f>IF($AZ22&lt;&gt;3,Person2!FR22,0)</f>
        <v>0</v>
      </c>
      <c r="AQ22">
        <v>0</v>
      </c>
      <c r="AR22" s="4">
        <f>Person2!FS22</f>
        <v>0</v>
      </c>
      <c r="AS22" s="4">
        <v>0</v>
      </c>
      <c r="AT22" s="4">
        <v>0</v>
      </c>
      <c r="AV22">
        <f t="shared" si="161"/>
        <v>2032</v>
      </c>
      <c r="AW22">
        <f t="shared" si="116"/>
        <v>37</v>
      </c>
      <c r="AX22">
        <f t="shared" si="117"/>
        <v>1.3458683383241299</v>
      </c>
      <c r="AY22">
        <f t="shared" si="118"/>
        <v>0.74301472998851892</v>
      </c>
      <c r="AZ22">
        <f t="shared" si="119"/>
        <v>1</v>
      </c>
      <c r="BB22" s="4">
        <f t="shared" si="13"/>
        <v>124637.39332806115</v>
      </c>
      <c r="BC22">
        <f t="shared" si="14"/>
        <v>0</v>
      </c>
      <c r="BD22" s="4">
        <f t="shared" si="15"/>
        <v>0</v>
      </c>
      <c r="BE22" s="4">
        <f t="shared" si="120"/>
        <v>0</v>
      </c>
      <c r="BF22" s="4">
        <f t="shared" si="121"/>
        <v>0</v>
      </c>
      <c r="BG22" s="4">
        <f t="shared" si="122"/>
        <v>0</v>
      </c>
      <c r="BH22" s="4">
        <f t="shared" si="16"/>
        <v>0</v>
      </c>
      <c r="BI22" s="4">
        <f t="shared" si="123"/>
        <v>124637.39332806115</v>
      </c>
      <c r="BJ22" s="4"/>
      <c r="BK22" s="4">
        <f t="shared" si="17"/>
        <v>67293.416916206494</v>
      </c>
      <c r="BL22" s="4">
        <f t="shared" si="124"/>
        <v>0</v>
      </c>
      <c r="BM22" s="4">
        <f t="shared" si="125"/>
        <v>67293.416916206494</v>
      </c>
      <c r="BN22" s="4">
        <v>28540.511527010323</v>
      </c>
      <c r="BO22" s="4">
        <f t="shared" si="126"/>
        <v>95833.928443216821</v>
      </c>
      <c r="BP22" s="4">
        <f t="shared" si="127"/>
        <v>28803.464884844332</v>
      </c>
      <c r="BQ22" s="4"/>
      <c r="BR22" s="4">
        <v>0</v>
      </c>
      <c r="BS22" s="4">
        <f t="shared" ca="1" si="18"/>
        <v>14644.893716047183</v>
      </c>
      <c r="BT22" s="4">
        <f t="shared" ca="1" si="19"/>
        <v>7500</v>
      </c>
      <c r="BU22" s="4">
        <f t="shared" si="20"/>
        <v>0</v>
      </c>
      <c r="BV22" s="4">
        <f t="shared" si="21"/>
        <v>1</v>
      </c>
      <c r="BW22" s="4">
        <f t="shared" ca="1" si="22"/>
        <v>0</v>
      </c>
      <c r="BX22" s="4">
        <f t="shared" ca="1" si="23"/>
        <v>0</v>
      </c>
      <c r="BY22" s="4">
        <f t="shared" ca="1" si="24"/>
        <v>0</v>
      </c>
      <c r="BZ22" s="4">
        <f t="shared" ca="1" si="25"/>
        <v>0</v>
      </c>
      <c r="CA22" s="4">
        <f t="shared" ca="1" si="26"/>
        <v>0</v>
      </c>
      <c r="CB22" s="4">
        <f t="shared" ca="1" si="160"/>
        <v>0</v>
      </c>
      <c r="CC22" s="4"/>
      <c r="CD22" s="4">
        <f t="shared" ca="1" si="27"/>
        <v>124637.39332806115</v>
      </c>
      <c r="CE22" s="4">
        <f t="shared" ca="1" si="128"/>
        <v>105717.10354196272</v>
      </c>
      <c r="CF22" s="16">
        <f t="shared" si="28"/>
        <v>0</v>
      </c>
      <c r="CG22" s="4">
        <f t="shared" si="129"/>
        <v>4576.2080652863233</v>
      </c>
      <c r="CH22" s="4" t="e">
        <f t="shared" ca="1" si="29"/>
        <v>#NAME?</v>
      </c>
      <c r="CI22" s="4" t="e">
        <f t="shared" ca="1" si="30"/>
        <v>#NAME?</v>
      </c>
      <c r="CJ22" s="4" t="e">
        <f t="shared" ca="1" si="130"/>
        <v>#NAME?</v>
      </c>
      <c r="CK22" s="4" t="e">
        <f t="shared" ca="1" si="31"/>
        <v>#NAME?</v>
      </c>
      <c r="CL22" s="4" t="e">
        <f t="shared" ca="1" si="32"/>
        <v>#NAME?</v>
      </c>
      <c r="CM22" s="16"/>
      <c r="CN22" s="4">
        <f t="shared" si="33"/>
        <v>0</v>
      </c>
      <c r="CO22" s="4">
        <f t="shared" si="131"/>
        <v>0</v>
      </c>
      <c r="CP22" s="4">
        <f t="shared" ca="1" si="34"/>
        <v>267275.78289032372</v>
      </c>
      <c r="CQ22" s="4"/>
      <c r="CR22" s="4">
        <f t="shared" ca="1" si="35"/>
        <v>28803.464884844332</v>
      </c>
      <c r="CS22" s="4">
        <f t="shared" ca="1" si="36"/>
        <v>30650</v>
      </c>
      <c r="CT22" s="4">
        <f t="shared" ca="1" si="37"/>
        <v>22434.730799051005</v>
      </c>
      <c r="CU22" s="4"/>
      <c r="CV22" s="4">
        <f t="shared" ca="1" si="132"/>
        <v>28803.464884844332</v>
      </c>
      <c r="CW22" s="4">
        <f t="shared" ca="1" si="38"/>
        <v>0</v>
      </c>
      <c r="CX22" s="4">
        <f t="shared" ca="1" si="39"/>
        <v>0</v>
      </c>
      <c r="CY22" s="4">
        <f t="shared" ca="1" si="133"/>
        <v>28803.464884844332</v>
      </c>
      <c r="CZ22" s="4"/>
      <c r="DA22" s="4">
        <f t="shared" ca="1" si="40"/>
        <v>28803.464884844332</v>
      </c>
      <c r="DB22" s="4">
        <f t="shared" si="41"/>
        <v>7789.837083003822</v>
      </c>
      <c r="DC22" s="4">
        <f t="shared" ca="1" si="134"/>
        <v>0</v>
      </c>
      <c r="DD22" s="4">
        <f t="shared" ca="1" si="42"/>
        <v>14644.893716047183</v>
      </c>
      <c r="DE22" s="4">
        <f t="shared" ca="1" si="43"/>
        <v>14644.893716047183</v>
      </c>
      <c r="DF22" s="4">
        <f t="shared" ca="1" si="135"/>
        <v>0</v>
      </c>
      <c r="DG22" s="4">
        <f t="shared" ca="1" si="136"/>
        <v>7322.4468580235916</v>
      </c>
      <c r="DH22" s="4">
        <f t="shared" ca="1" si="44"/>
        <v>7322.4468580235916</v>
      </c>
      <c r="DI22" s="4"/>
      <c r="DJ22" s="4">
        <f t="shared" ca="1" si="45"/>
        <v>14158.571168797149</v>
      </c>
      <c r="DK22" s="4">
        <f t="shared" ca="1" si="46"/>
        <v>7500</v>
      </c>
      <c r="DL22" s="4">
        <f t="shared" ca="1" si="47"/>
        <v>7500</v>
      </c>
      <c r="DM22" s="4">
        <f t="shared" ca="1" si="48"/>
        <v>7500</v>
      </c>
      <c r="DN22" s="4">
        <f t="shared" ca="1" si="49"/>
        <v>7500</v>
      </c>
      <c r="DO22" s="4">
        <f t="shared" ca="1" si="50"/>
        <v>0</v>
      </c>
      <c r="DP22" s="4"/>
      <c r="DQ22" s="4">
        <f t="shared" ca="1" si="51"/>
        <v>6658.5711687971489</v>
      </c>
      <c r="DR22" s="4"/>
      <c r="DS22" s="4">
        <f t="shared" si="137"/>
        <v>0</v>
      </c>
      <c r="DT22" s="4">
        <f t="shared" si="52"/>
        <v>0</v>
      </c>
      <c r="DU22" s="4">
        <f t="shared" si="53"/>
        <v>0</v>
      </c>
      <c r="DV22" s="4"/>
      <c r="DW22" s="4">
        <f t="shared" ca="1" si="138"/>
        <v>132000.67852080063</v>
      </c>
      <c r="DX22" s="4">
        <f t="shared" ca="1" si="54"/>
        <v>7322.4468580235916</v>
      </c>
      <c r="DY22" s="4">
        <f t="shared" ca="1" si="139"/>
        <v>6600.0339260400324</v>
      </c>
      <c r="DZ22" s="4">
        <f t="shared" ca="1" si="55"/>
        <v>0</v>
      </c>
      <c r="EA22" s="4">
        <f t="shared" ca="1" si="56"/>
        <v>0</v>
      </c>
      <c r="EB22" s="4">
        <f t="shared" ca="1" si="57"/>
        <v>138600.71244684065</v>
      </c>
      <c r="EC22" s="4">
        <f t="shared" si="58"/>
        <v>1</v>
      </c>
      <c r="ED22" s="4"/>
      <c r="EE22" s="4">
        <f t="shared" ca="1" si="140"/>
        <v>0</v>
      </c>
      <c r="EF22" s="4">
        <f t="shared" ca="1" si="59"/>
        <v>0</v>
      </c>
      <c r="EG22" s="4">
        <f t="shared" ca="1" si="141"/>
        <v>0</v>
      </c>
      <c r="EH22" s="4">
        <f t="shared" ca="1" si="60"/>
        <v>0</v>
      </c>
      <c r="EI22" s="4">
        <f t="shared" ca="1" si="61"/>
        <v>0</v>
      </c>
      <c r="EJ22" s="4">
        <f t="shared" ca="1" si="62"/>
        <v>0</v>
      </c>
      <c r="EK22" s="4">
        <f t="shared" si="63"/>
        <v>1</v>
      </c>
      <c r="EL22" s="4">
        <f t="shared" si="64"/>
        <v>0</v>
      </c>
      <c r="EM22" s="4"/>
      <c r="EN22" s="4">
        <f t="shared" ca="1" si="142"/>
        <v>125845.26125870597</v>
      </c>
      <c r="EO22" s="4">
        <f t="shared" ca="1" si="65"/>
        <v>7500</v>
      </c>
      <c r="EP22" s="4">
        <f t="shared" ca="1" si="143"/>
        <v>6292.2630629352989</v>
      </c>
      <c r="EQ22" s="4">
        <f t="shared" ca="1" si="66"/>
        <v>0</v>
      </c>
      <c r="ER22" s="4">
        <v>0</v>
      </c>
      <c r="ES22" s="4">
        <f t="shared" ca="1" si="144"/>
        <v>132137.52432164128</v>
      </c>
      <c r="ET22" s="4"/>
      <c r="EU22" s="4">
        <f t="shared" ca="1" si="145"/>
        <v>9429.8431108171608</v>
      </c>
      <c r="EV22" s="4">
        <f t="shared" ca="1" si="67"/>
        <v>6658.5711687971489</v>
      </c>
      <c r="EW22" s="4">
        <f t="shared" ca="1" si="146"/>
        <v>471.49215554085805</v>
      </c>
      <c r="EX22" s="4">
        <f t="shared" ca="1" si="68"/>
        <v>0</v>
      </c>
      <c r="EY22" s="4">
        <v>0</v>
      </c>
      <c r="EZ22" s="4">
        <f t="shared" ca="1" si="147"/>
        <v>9901.335266358019</v>
      </c>
      <c r="FA22" s="4">
        <f t="shared" ca="1" si="148"/>
        <v>71.066093609024719</v>
      </c>
      <c r="FB22" s="1">
        <f t="shared" ca="1" si="69"/>
        <v>7.536296497605924E-3</v>
      </c>
      <c r="FC22" s="4">
        <f t="shared" ca="1" si="149"/>
        <v>188.59686221634323</v>
      </c>
      <c r="FD22" s="4">
        <f t="shared" ca="1" si="150"/>
        <v>235.74607777042903</v>
      </c>
      <c r="FE22" s="4">
        <f t="shared" ca="1" si="70"/>
        <v>65.065917464638403</v>
      </c>
      <c r="FF22" s="4">
        <f t="shared" ca="1" si="71"/>
        <v>9.7729008031886888</v>
      </c>
      <c r="FG22" s="4">
        <f t="shared" ca="1" si="72"/>
        <v>6.5065917464638403</v>
      </c>
      <c r="FH22" s="17">
        <f t="shared" ca="1" si="73"/>
        <v>0</v>
      </c>
      <c r="FI22" s="4">
        <f t="shared" ca="1" si="74"/>
        <v>0</v>
      </c>
      <c r="FJ22" s="4"/>
      <c r="FK22" s="4">
        <f t="shared" ca="1" si="75"/>
        <v>280639.57203483995</v>
      </c>
      <c r="FL22" s="4"/>
      <c r="FM22" s="4">
        <v>0</v>
      </c>
      <c r="FN22" s="4">
        <f t="shared" si="76"/>
        <v>0</v>
      </c>
      <c r="FO22" s="4">
        <f t="shared" si="77"/>
        <v>0</v>
      </c>
      <c r="FP22" s="4">
        <f t="shared" si="78"/>
        <v>0</v>
      </c>
      <c r="FQ22" s="4">
        <f t="shared" si="79"/>
        <v>0</v>
      </c>
      <c r="FR22" s="4">
        <f t="shared" si="80"/>
        <v>0</v>
      </c>
      <c r="FS22" s="4">
        <f t="shared" si="81"/>
        <v>0</v>
      </c>
      <c r="FT22" s="4">
        <f t="shared" ca="1" si="82"/>
        <v>7322.4468580235916</v>
      </c>
      <c r="FU22" s="4"/>
      <c r="FV22" s="3">
        <f t="shared" si="83"/>
        <v>0.74301472998851892</v>
      </c>
      <c r="FW22" s="3">
        <f t="shared" si="84"/>
        <v>0.74301472998851892</v>
      </c>
      <c r="FX22" s="4">
        <f t="shared" si="151"/>
        <v>2032</v>
      </c>
      <c r="FY22" s="18">
        <f t="shared" si="85"/>
        <v>92.607419150122197</v>
      </c>
      <c r="FZ22" s="18">
        <f t="shared" si="86"/>
        <v>0</v>
      </c>
      <c r="GA22" s="18">
        <f t="shared" si="87"/>
        <v>0</v>
      </c>
      <c r="GB22" s="18">
        <f t="shared" si="88"/>
        <v>0</v>
      </c>
      <c r="GC22" s="18">
        <f t="shared" ca="1" si="89"/>
        <v>0</v>
      </c>
      <c r="GD22" s="18">
        <f t="shared" ca="1" si="90"/>
        <v>0</v>
      </c>
      <c r="GE22" s="18">
        <f t="shared" ca="1" si="91"/>
        <v>0</v>
      </c>
      <c r="GF22" s="18">
        <f t="shared" ca="1" si="92"/>
        <v>0</v>
      </c>
      <c r="GG22" s="18" t="e">
        <f t="shared" ca="1" si="93"/>
        <v>#NAME?</v>
      </c>
      <c r="GH22" s="18" t="e">
        <f t="shared" ca="1" si="94"/>
        <v>#NAME?</v>
      </c>
      <c r="GI22" s="4"/>
      <c r="GJ22" s="4">
        <f t="shared" si="95"/>
        <v>2032</v>
      </c>
      <c r="GK22" s="4">
        <f t="shared" ca="1" si="96"/>
        <v>98.078448509433983</v>
      </c>
      <c r="GL22" s="4">
        <f t="shared" ca="1" si="97"/>
        <v>0</v>
      </c>
      <c r="GM22" s="4">
        <f t="shared" ca="1" si="98"/>
        <v>93.504882814472026</v>
      </c>
      <c r="GN22" s="4">
        <f t="shared" ca="1" si="99"/>
        <v>7.0065123328179082</v>
      </c>
      <c r="GO22" s="4"/>
      <c r="GP22" s="3">
        <f t="shared" ca="1" si="152"/>
        <v>0.49387444344318659</v>
      </c>
      <c r="GQ22" s="3">
        <f t="shared" ca="1" si="100"/>
        <v>0</v>
      </c>
      <c r="GR22" s="3">
        <f t="shared" ca="1" si="101"/>
        <v>3.5281322568183004E-2</v>
      </c>
      <c r="GS22" s="3">
        <f t="shared" ca="1" si="102"/>
        <v>0.4708442339886304</v>
      </c>
      <c r="GT22" s="3">
        <f t="array" aca="1" ref="GT22" ca="1">SUM(GP22:GS22*$GU$6:$GX$6)</f>
        <v>1</v>
      </c>
      <c r="GU22" s="3">
        <f t="shared" ca="1" si="155"/>
        <v>0.49387444344318659</v>
      </c>
      <c r="GV22" s="3">
        <f t="shared" ca="1" si="156"/>
        <v>0</v>
      </c>
      <c r="GW22" s="3">
        <f t="shared" ca="1" si="157"/>
        <v>3.5281322568183004E-2</v>
      </c>
      <c r="GX22" s="3">
        <f t="shared" ca="1" si="158"/>
        <v>0.4708442339886304</v>
      </c>
      <c r="GY22" s="11"/>
      <c r="GZ22" s="27">
        <v>64</v>
      </c>
      <c r="HA22" s="29">
        <v>3.85E-2</v>
      </c>
      <c r="HB22" s="29">
        <f t="shared" ca="1" si="153"/>
        <v>7.3800000000000004E-2</v>
      </c>
      <c r="HC22" s="29">
        <v>7.3800000000000004E-2</v>
      </c>
      <c r="HD22" s="29">
        <v>7.1999999999999995E-2</v>
      </c>
      <c r="HE22" s="29">
        <v>5.3699999999999998E-2</v>
      </c>
      <c r="HG22" s="27">
        <v>62</v>
      </c>
      <c r="HH22" s="30">
        <v>3.5700000000000003E-2</v>
      </c>
      <c r="HJ22">
        <f t="shared" si="159"/>
        <v>2025</v>
      </c>
      <c r="HK22" s="28">
        <f t="shared" si="164"/>
        <v>26680</v>
      </c>
      <c r="HL22" s="27">
        <f t="shared" si="162"/>
        <v>6500</v>
      </c>
      <c r="HM22" s="28">
        <f t="shared" si="163"/>
        <v>6573.0091274227107</v>
      </c>
      <c r="HO22">
        <f t="shared" ca="1" si="165"/>
        <v>303900</v>
      </c>
      <c r="HP22" s="4">
        <f t="shared" ca="1" si="166"/>
        <v>303900</v>
      </c>
      <c r="HQ22">
        <f t="shared" ca="1" si="167"/>
        <v>0.14000000000000001</v>
      </c>
      <c r="HR22" s="4">
        <f t="shared" ca="1" si="168"/>
        <v>36468</v>
      </c>
      <c r="HT22" t="s">
        <v>659</v>
      </c>
      <c r="HV22">
        <f ca="1">OFFSET(HR54,0,$HP$15-1)</f>
        <v>1</v>
      </c>
    </row>
    <row r="23" spans="1:242" x14ac:dyDescent="0.25">
      <c r="A23" t="s">
        <v>53</v>
      </c>
      <c r="B23" s="62">
        <f>Inputs_Summary!AJ20</f>
        <v>5000</v>
      </c>
      <c r="D23">
        <f t="shared" si="107"/>
        <v>2033</v>
      </c>
      <c r="E23">
        <f t="shared" si="108"/>
        <v>38</v>
      </c>
      <c r="F23" s="8"/>
      <c r="G23" s="8"/>
      <c r="H23" s="9"/>
      <c r="I23" s="9"/>
      <c r="J23" s="92"/>
      <c r="K23" s="91"/>
      <c r="L23" s="91"/>
      <c r="N23" s="93">
        <f t="shared" si="109"/>
        <v>0.05</v>
      </c>
      <c r="O23" s="23">
        <f t="shared" si="110"/>
        <v>0.4</v>
      </c>
      <c r="P23" s="23">
        <f t="shared" si="111"/>
        <v>0.1</v>
      </c>
      <c r="Q23" s="4">
        <f t="shared" si="0"/>
        <v>0</v>
      </c>
      <c r="R23" s="4">
        <f t="shared" si="112"/>
        <v>0</v>
      </c>
      <c r="S23" s="4">
        <f t="shared" si="113"/>
        <v>0</v>
      </c>
      <c r="T23" s="4">
        <f t="shared" ca="1" si="114"/>
        <v>0</v>
      </c>
      <c r="V23" s="18" t="e">
        <f t="shared" ca="1" si="1"/>
        <v>#NAME?</v>
      </c>
      <c r="W23" s="18" t="e">
        <f t="shared" ca="1" si="2"/>
        <v>#NAME?</v>
      </c>
      <c r="X23" s="18">
        <f t="shared" si="3"/>
        <v>0</v>
      </c>
      <c r="Y23" s="18">
        <f t="shared" ca="1" si="4"/>
        <v>10.988051865336798</v>
      </c>
      <c r="Z23" s="18">
        <f t="shared" ca="1" si="5"/>
        <v>0</v>
      </c>
      <c r="AA23" s="18">
        <f t="shared" ca="1" si="6"/>
        <v>5.4633436028567566</v>
      </c>
      <c r="AB23" s="18">
        <f t="shared" ca="1" si="7"/>
        <v>5.5730745498251464</v>
      </c>
      <c r="AC23" s="18">
        <f t="shared" ca="1" si="8"/>
        <v>106.29711451958366</v>
      </c>
      <c r="AD23" s="18">
        <f t="shared" ca="1" si="9"/>
        <v>0</v>
      </c>
      <c r="AE23" s="18">
        <f t="shared" ca="1" si="10"/>
        <v>101.71837002951915</v>
      </c>
      <c r="AF23" s="18">
        <f t="shared" ca="1" si="11"/>
        <v>12.062994518188191</v>
      </c>
      <c r="AG23" s="18">
        <f t="shared" ca="1" si="12"/>
        <v>220.07847906729106</v>
      </c>
      <c r="AI23">
        <f>Person2!E23</f>
        <v>38</v>
      </c>
      <c r="AJ23">
        <f>Person2!AZ23</f>
        <v>1</v>
      </c>
      <c r="AK23">
        <f>IF($AZ23&lt;&gt;3,Person2!FM23,0)</f>
        <v>0</v>
      </c>
      <c r="AL23" s="4">
        <f ca="1">IF($AZ23&lt;&gt;3,Person2!FN23+Person2!FT23,0)</f>
        <v>0</v>
      </c>
      <c r="AM23">
        <f>IF($AZ23&lt;&gt;3,Person2!FO23,0)</f>
        <v>0</v>
      </c>
      <c r="AN23">
        <f>IF($AZ23&lt;&gt;3,Person2!FP23,0)</f>
        <v>0</v>
      </c>
      <c r="AO23">
        <f>IF($AZ23&lt;&gt;3,Person2!FQ23,0)</f>
        <v>0</v>
      </c>
      <c r="AP23">
        <f>IF($AZ23&lt;&gt;3,Person2!FR23,0)</f>
        <v>0</v>
      </c>
      <c r="AQ23">
        <v>0</v>
      </c>
      <c r="AR23" s="4">
        <f>Person2!FS23</f>
        <v>0</v>
      </c>
      <c r="AS23" s="4">
        <v>0</v>
      </c>
      <c r="AT23" s="4">
        <v>0</v>
      </c>
      <c r="AV23">
        <f t="shared" si="161"/>
        <v>2033</v>
      </c>
      <c r="AW23">
        <f t="shared" si="116"/>
        <v>38</v>
      </c>
      <c r="AX23">
        <f t="shared" si="117"/>
        <v>1.3727857050906125</v>
      </c>
      <c r="AY23">
        <f t="shared" si="118"/>
        <v>0.72844581371423422</v>
      </c>
      <c r="AZ23">
        <f t="shared" si="119"/>
        <v>1</v>
      </c>
      <c r="BB23" s="4">
        <f t="shared" si="13"/>
        <v>128376.51512790297</v>
      </c>
      <c r="BC23">
        <f t="shared" si="14"/>
        <v>0</v>
      </c>
      <c r="BD23" s="4">
        <f t="shared" si="15"/>
        <v>0</v>
      </c>
      <c r="BE23" s="4">
        <f t="shared" si="120"/>
        <v>0</v>
      </c>
      <c r="BF23" s="4">
        <f t="shared" si="121"/>
        <v>0</v>
      </c>
      <c r="BG23" s="4">
        <f t="shared" si="122"/>
        <v>0</v>
      </c>
      <c r="BH23" s="4">
        <f t="shared" si="16"/>
        <v>0</v>
      </c>
      <c r="BI23" s="4">
        <f t="shared" si="123"/>
        <v>128376.51512790297</v>
      </c>
      <c r="BJ23" s="4"/>
      <c r="BK23" s="4">
        <f t="shared" si="17"/>
        <v>68639.285254530623</v>
      </c>
      <c r="BL23" s="4">
        <f t="shared" si="124"/>
        <v>0</v>
      </c>
      <c r="BM23" s="4">
        <f t="shared" si="125"/>
        <v>68639.285254530623</v>
      </c>
      <c r="BN23" s="4">
        <v>29502.352270439493</v>
      </c>
      <c r="BO23" s="4">
        <f t="shared" si="126"/>
        <v>98141.637524970109</v>
      </c>
      <c r="BP23" s="4">
        <f t="shared" si="127"/>
        <v>30234.877602932858</v>
      </c>
      <c r="BQ23" s="4"/>
      <c r="BR23" s="4">
        <v>0</v>
      </c>
      <c r="BS23" s="4">
        <f t="shared" ca="1" si="18"/>
        <v>15084.240527528596</v>
      </c>
      <c r="BT23" s="4">
        <f t="shared" ca="1" si="19"/>
        <v>7500</v>
      </c>
      <c r="BU23" s="4">
        <f t="shared" si="20"/>
        <v>0</v>
      </c>
      <c r="BV23" s="4">
        <f t="shared" si="21"/>
        <v>1</v>
      </c>
      <c r="BW23" s="4">
        <f t="shared" ca="1" si="22"/>
        <v>0</v>
      </c>
      <c r="BX23" s="4">
        <f t="shared" ca="1" si="23"/>
        <v>0</v>
      </c>
      <c r="BY23" s="4">
        <f t="shared" ca="1" si="24"/>
        <v>0</v>
      </c>
      <c r="BZ23" s="4">
        <f t="shared" ca="1" si="25"/>
        <v>0</v>
      </c>
      <c r="CA23" s="4">
        <f t="shared" ca="1" si="26"/>
        <v>0</v>
      </c>
      <c r="CB23" s="4">
        <f t="shared" ca="1" si="160"/>
        <v>0</v>
      </c>
      <c r="CC23" s="4"/>
      <c r="CD23" s="4">
        <f t="shared" ca="1" si="27"/>
        <v>128376.51512790297</v>
      </c>
      <c r="CE23" s="4">
        <f t="shared" ca="1" si="128"/>
        <v>109152.80338906377</v>
      </c>
      <c r="CF23" s="16">
        <f t="shared" si="28"/>
        <v>0</v>
      </c>
      <c r="CG23" s="4">
        <f t="shared" si="129"/>
        <v>4667.7322265920502</v>
      </c>
      <c r="CH23" s="4" t="e">
        <f t="shared" ca="1" si="29"/>
        <v>#NAME?</v>
      </c>
      <c r="CI23" s="4" t="e">
        <f t="shared" ca="1" si="30"/>
        <v>#NAME?</v>
      </c>
      <c r="CJ23" s="4" t="e">
        <f t="shared" ca="1" si="130"/>
        <v>#NAME?</v>
      </c>
      <c r="CK23" s="4" t="e">
        <f t="shared" ca="1" si="31"/>
        <v>#NAME?</v>
      </c>
      <c r="CL23" s="4" t="e">
        <f t="shared" ca="1" si="32"/>
        <v>#NAME?</v>
      </c>
      <c r="CM23" s="16"/>
      <c r="CN23" s="4">
        <f t="shared" si="33"/>
        <v>0</v>
      </c>
      <c r="CO23" s="4">
        <f t="shared" si="131"/>
        <v>0</v>
      </c>
      <c r="CP23" s="4">
        <f t="shared" ca="1" si="34"/>
        <v>302120.59006166074</v>
      </c>
      <c r="CQ23" s="4"/>
      <c r="CR23" s="4">
        <f t="shared" ca="1" si="35"/>
        <v>30234.877602932858</v>
      </c>
      <c r="CS23" s="4">
        <f t="shared" ca="1" si="36"/>
        <v>31260</v>
      </c>
      <c r="CT23" s="4">
        <f t="shared" ca="1" si="37"/>
        <v>23107.772723022532</v>
      </c>
      <c r="CU23" s="4"/>
      <c r="CV23" s="4">
        <f t="shared" ca="1" si="132"/>
        <v>30234.877602932858</v>
      </c>
      <c r="CW23" s="4">
        <f t="shared" ca="1" si="38"/>
        <v>0</v>
      </c>
      <c r="CX23" s="4">
        <f t="shared" ca="1" si="39"/>
        <v>0</v>
      </c>
      <c r="CY23" s="4">
        <f t="shared" ca="1" si="133"/>
        <v>30234.877602932858</v>
      </c>
      <c r="CZ23" s="4"/>
      <c r="DA23" s="4">
        <f t="shared" ca="1" si="40"/>
        <v>30234.877602932858</v>
      </c>
      <c r="DB23" s="4">
        <f t="shared" si="41"/>
        <v>8023.5321954939354</v>
      </c>
      <c r="DC23" s="4">
        <f t="shared" ca="1" si="134"/>
        <v>0</v>
      </c>
      <c r="DD23" s="4">
        <f t="shared" ca="1" si="42"/>
        <v>15084.240527528596</v>
      </c>
      <c r="DE23" s="4">
        <f t="shared" ca="1" si="43"/>
        <v>15084.240527528596</v>
      </c>
      <c r="DF23" s="4">
        <f t="shared" ca="1" si="135"/>
        <v>0</v>
      </c>
      <c r="DG23" s="4">
        <f t="shared" ca="1" si="136"/>
        <v>7542.1202637642982</v>
      </c>
      <c r="DH23" s="4">
        <f t="shared" ca="1" si="44"/>
        <v>7542.1202637642982</v>
      </c>
      <c r="DI23" s="4"/>
      <c r="DJ23" s="4">
        <f t="shared" ca="1" si="45"/>
        <v>15150.637075404262</v>
      </c>
      <c r="DK23" s="4">
        <f t="shared" ca="1" si="46"/>
        <v>7500</v>
      </c>
      <c r="DL23" s="4">
        <f t="shared" ca="1" si="47"/>
        <v>7500</v>
      </c>
      <c r="DM23" s="4">
        <f t="shared" ca="1" si="48"/>
        <v>7500</v>
      </c>
      <c r="DN23" s="4">
        <f t="shared" ca="1" si="49"/>
        <v>7500</v>
      </c>
      <c r="DO23" s="4">
        <f t="shared" ca="1" si="50"/>
        <v>0</v>
      </c>
      <c r="DP23" s="4"/>
      <c r="DQ23" s="4">
        <f t="shared" ca="1" si="51"/>
        <v>7650.6370754042619</v>
      </c>
      <c r="DR23" s="4"/>
      <c r="DS23" s="4">
        <f t="shared" si="137"/>
        <v>0</v>
      </c>
      <c r="DT23" s="4">
        <f t="shared" si="52"/>
        <v>0</v>
      </c>
      <c r="DU23" s="4">
        <f t="shared" si="53"/>
        <v>0</v>
      </c>
      <c r="DV23" s="4"/>
      <c r="DW23" s="4">
        <f t="shared" ca="1" si="138"/>
        <v>145923.15930486424</v>
      </c>
      <c r="DX23" s="4">
        <f t="shared" ca="1" si="54"/>
        <v>7542.1202637642982</v>
      </c>
      <c r="DY23" s="4">
        <f t="shared" ca="1" si="139"/>
        <v>7296.1579652432119</v>
      </c>
      <c r="DZ23" s="4">
        <f t="shared" ca="1" si="55"/>
        <v>0</v>
      </c>
      <c r="EA23" s="4">
        <f t="shared" ca="1" si="56"/>
        <v>0</v>
      </c>
      <c r="EB23" s="4">
        <f t="shared" ca="1" si="57"/>
        <v>153219.31727010745</v>
      </c>
      <c r="EC23" s="4">
        <f t="shared" si="58"/>
        <v>1</v>
      </c>
      <c r="ED23" s="4"/>
      <c r="EE23" s="4">
        <f t="shared" ca="1" si="140"/>
        <v>0</v>
      </c>
      <c r="EF23" s="4">
        <f t="shared" ca="1" si="59"/>
        <v>0</v>
      </c>
      <c r="EG23" s="4">
        <f t="shared" ca="1" si="141"/>
        <v>0</v>
      </c>
      <c r="EH23" s="4">
        <f t="shared" ca="1" si="60"/>
        <v>0</v>
      </c>
      <c r="EI23" s="4">
        <f t="shared" ca="1" si="61"/>
        <v>0</v>
      </c>
      <c r="EJ23" s="4">
        <f t="shared" ca="1" si="62"/>
        <v>0</v>
      </c>
      <c r="EK23" s="4">
        <f t="shared" si="63"/>
        <v>1</v>
      </c>
      <c r="EL23" s="4">
        <f t="shared" si="64"/>
        <v>0</v>
      </c>
      <c r="EM23" s="4"/>
      <c r="EN23" s="4">
        <f t="shared" ca="1" si="142"/>
        <v>139637.52432164128</v>
      </c>
      <c r="EO23" s="4">
        <f t="shared" ca="1" si="65"/>
        <v>7500</v>
      </c>
      <c r="EP23" s="4">
        <f t="shared" ca="1" si="143"/>
        <v>6981.8762160820643</v>
      </c>
      <c r="EQ23" s="4">
        <f t="shared" ca="1" si="66"/>
        <v>0</v>
      </c>
      <c r="ER23" s="4">
        <v>0</v>
      </c>
      <c r="ES23" s="4">
        <f t="shared" ca="1" si="144"/>
        <v>146619.40053772336</v>
      </c>
      <c r="ET23" s="4"/>
      <c r="EU23" s="4">
        <f t="shared" ca="1" si="145"/>
        <v>16559.906435155168</v>
      </c>
      <c r="EV23" s="4">
        <f t="shared" ca="1" si="67"/>
        <v>7650.6370754042619</v>
      </c>
      <c r="EW23" s="4">
        <f t="shared" ca="1" si="146"/>
        <v>827.99532175775846</v>
      </c>
      <c r="EX23" s="4">
        <f t="shared" ca="1" si="68"/>
        <v>0</v>
      </c>
      <c r="EY23" s="4">
        <v>0</v>
      </c>
      <c r="EZ23" s="4">
        <f t="shared" ca="1" si="147"/>
        <v>17387.901756912925</v>
      </c>
      <c r="FA23" s="4">
        <f t="shared" ca="1" si="148"/>
        <v>259.66295582536793</v>
      </c>
      <c r="FB23" s="1">
        <f t="shared" ca="1" si="69"/>
        <v>1.5680218776727338E-2</v>
      </c>
      <c r="FC23" s="4">
        <f t="shared" ca="1" si="149"/>
        <v>331.19812870310341</v>
      </c>
      <c r="FD23" s="4">
        <f t="shared" ca="1" si="150"/>
        <v>413.99766087887923</v>
      </c>
      <c r="FE23" s="4">
        <f t="shared" ca="1" si="70"/>
        <v>114.26335440257067</v>
      </c>
      <c r="FF23" s="4">
        <f t="shared" ca="1" si="71"/>
        <v>17.162355831266115</v>
      </c>
      <c r="FG23" s="4">
        <f t="shared" ca="1" si="72"/>
        <v>11.426335440257068</v>
      </c>
      <c r="FH23" s="17">
        <f t="shared" ca="1" si="73"/>
        <v>0</v>
      </c>
      <c r="FI23" s="4">
        <f t="shared" ca="1" si="74"/>
        <v>0</v>
      </c>
      <c r="FJ23" s="4"/>
      <c r="FK23" s="4">
        <f t="shared" ca="1" si="75"/>
        <v>317226.61956474371</v>
      </c>
      <c r="FL23" s="4"/>
      <c r="FM23" s="4">
        <v>0</v>
      </c>
      <c r="FN23" s="4">
        <f t="shared" si="76"/>
        <v>0</v>
      </c>
      <c r="FO23" s="4">
        <f t="shared" si="77"/>
        <v>0</v>
      </c>
      <c r="FP23" s="4">
        <f t="shared" si="78"/>
        <v>0</v>
      </c>
      <c r="FQ23" s="4">
        <f t="shared" si="79"/>
        <v>0</v>
      </c>
      <c r="FR23" s="4">
        <f t="shared" si="80"/>
        <v>0</v>
      </c>
      <c r="FS23" s="4">
        <f t="shared" si="81"/>
        <v>0</v>
      </c>
      <c r="FT23" s="4">
        <f t="shared" ca="1" si="82"/>
        <v>7542.1202637642982</v>
      </c>
      <c r="FU23" s="4"/>
      <c r="FV23" s="3">
        <f t="shared" si="83"/>
        <v>0.72844581371423422</v>
      </c>
      <c r="FW23" s="3">
        <f t="shared" si="84"/>
        <v>0.72844581371423422</v>
      </c>
      <c r="FX23" s="4">
        <f t="shared" si="151"/>
        <v>2033</v>
      </c>
      <c r="FY23" s="18">
        <f t="shared" si="85"/>
        <v>93.515335024142971</v>
      </c>
      <c r="FZ23" s="18">
        <f t="shared" si="86"/>
        <v>0</v>
      </c>
      <c r="GA23" s="18">
        <f t="shared" si="87"/>
        <v>0</v>
      </c>
      <c r="GB23" s="18">
        <f t="shared" si="88"/>
        <v>0</v>
      </c>
      <c r="GC23" s="18">
        <f t="shared" ca="1" si="89"/>
        <v>0</v>
      </c>
      <c r="GD23" s="18">
        <f t="shared" ca="1" si="90"/>
        <v>0</v>
      </c>
      <c r="GE23" s="18">
        <f t="shared" ca="1" si="91"/>
        <v>0</v>
      </c>
      <c r="GF23" s="18">
        <f t="shared" ca="1" si="92"/>
        <v>0</v>
      </c>
      <c r="GG23" s="18" t="e">
        <f t="shared" ca="1" si="93"/>
        <v>#NAME?</v>
      </c>
      <c r="GH23" s="18" t="e">
        <f t="shared" ca="1" si="94"/>
        <v>#NAME?</v>
      </c>
      <c r="GI23" s="4"/>
      <c r="GJ23" s="4">
        <f t="shared" si="95"/>
        <v>2033</v>
      </c>
      <c r="GK23" s="4">
        <f t="shared" ca="1" si="96"/>
        <v>106.29711451958366</v>
      </c>
      <c r="GL23" s="4">
        <f t="shared" ca="1" si="97"/>
        <v>0</v>
      </c>
      <c r="GM23" s="4">
        <f t="shared" ca="1" si="98"/>
        <v>101.71837002951915</v>
      </c>
      <c r="GN23" s="4">
        <f t="shared" ca="1" si="99"/>
        <v>12.062994518188191</v>
      </c>
      <c r="GO23" s="4"/>
      <c r="GP23" s="3">
        <f t="shared" ca="1" si="152"/>
        <v>0.4829964064186501</v>
      </c>
      <c r="GQ23" s="3">
        <f t="shared" ca="1" si="100"/>
        <v>0</v>
      </c>
      <c r="GR23" s="3">
        <f t="shared" ca="1" si="101"/>
        <v>5.4812240475815989E-2</v>
      </c>
      <c r="GS23" s="3">
        <f t="shared" ca="1" si="102"/>
        <v>0.462191353105534</v>
      </c>
      <c r="GT23" s="3">
        <f t="array" aca="1" ref="GT23" ca="1">SUM(GP23:GS23*$GU$6:$GX$6)</f>
        <v>1</v>
      </c>
      <c r="GU23" s="3">
        <f t="shared" ca="1" si="155"/>
        <v>0.4829964064186501</v>
      </c>
      <c r="GV23" s="3">
        <f t="shared" ca="1" si="156"/>
        <v>0</v>
      </c>
      <c r="GW23" s="3">
        <f t="shared" ca="1" si="157"/>
        <v>5.4812240475815989E-2</v>
      </c>
      <c r="GX23" s="3">
        <f t="shared" ca="1" si="158"/>
        <v>0.462191353105534</v>
      </c>
      <c r="GY23" s="11"/>
      <c r="GZ23" s="27">
        <v>65</v>
      </c>
      <c r="HA23" s="29">
        <v>0.04</v>
      </c>
      <c r="HB23" s="29">
        <f t="shared" ca="1" si="153"/>
        <v>7.5200000000000003E-2</v>
      </c>
      <c r="HC23" s="29">
        <v>7.5200000000000003E-2</v>
      </c>
      <c r="HD23" s="29">
        <v>7.2999999999999995E-2</v>
      </c>
      <c r="HE23" s="29">
        <v>5.5E-2</v>
      </c>
      <c r="HG23" s="27">
        <v>63</v>
      </c>
      <c r="HH23" s="30">
        <v>3.7000000000000005E-2</v>
      </c>
      <c r="HJ23">
        <f t="shared" si="159"/>
        <v>2026</v>
      </c>
      <c r="HK23" s="28">
        <f t="shared" si="164"/>
        <v>27220</v>
      </c>
      <c r="HL23" s="27">
        <f t="shared" si="162"/>
        <v>6500</v>
      </c>
      <c r="HM23" s="28">
        <f t="shared" si="163"/>
        <v>6704.4693099711649</v>
      </c>
      <c r="HO23">
        <f t="shared" ca="1" si="165"/>
        <v>500000</v>
      </c>
      <c r="HP23" s="4">
        <f t="shared" ca="1" si="166"/>
        <v>500000</v>
      </c>
      <c r="HQ23">
        <f t="shared" ca="1" si="167"/>
        <v>0.15</v>
      </c>
      <c r="HR23" s="4">
        <f t="shared" ca="1" si="168"/>
        <v>65883</v>
      </c>
      <c r="HU23" s="4"/>
    </row>
    <row r="24" spans="1:242" x14ac:dyDescent="0.25">
      <c r="A24" t="s">
        <v>370</v>
      </c>
      <c r="B24" s="64">
        <f>Inputs_Summary!AJ21</f>
        <v>0.5</v>
      </c>
      <c r="D24">
        <f t="shared" si="107"/>
        <v>2034</v>
      </c>
      <c r="E24">
        <f t="shared" si="108"/>
        <v>39</v>
      </c>
      <c r="F24" s="8"/>
      <c r="G24" s="8"/>
      <c r="H24" s="9"/>
      <c r="I24" s="9"/>
      <c r="J24" s="92"/>
      <c r="K24" s="91"/>
      <c r="L24" s="91"/>
      <c r="N24" s="93">
        <f t="shared" si="109"/>
        <v>0.05</v>
      </c>
      <c r="O24" s="23">
        <f t="shared" si="110"/>
        <v>0.4</v>
      </c>
      <c r="P24" s="23">
        <f t="shared" si="111"/>
        <v>0.1</v>
      </c>
      <c r="Q24" s="4">
        <f t="shared" si="0"/>
        <v>0</v>
      </c>
      <c r="R24" s="4">
        <f t="shared" si="112"/>
        <v>0</v>
      </c>
      <c r="S24" s="4">
        <f t="shared" si="113"/>
        <v>0</v>
      </c>
      <c r="T24" s="4">
        <f t="shared" ca="1" si="114"/>
        <v>0</v>
      </c>
      <c r="V24" s="18" t="e">
        <f t="shared" ca="1" si="1"/>
        <v>#NAME?</v>
      </c>
      <c r="W24" s="18" t="e">
        <f t="shared" ca="1" si="2"/>
        <v>#NAME?</v>
      </c>
      <c r="X24" s="18">
        <f t="shared" si="3"/>
        <v>0</v>
      </c>
      <c r="Y24" s="18">
        <f t="shared" ca="1" si="4"/>
        <v>11.09577786401657</v>
      </c>
      <c r="Z24" s="18">
        <f t="shared" ca="1" si="5"/>
        <v>0</v>
      </c>
      <c r="AA24" s="18">
        <f t="shared" ca="1" si="6"/>
        <v>5.7133004997194838</v>
      </c>
      <c r="AB24" s="18">
        <f t="shared" ca="1" si="7"/>
        <v>5.8388690115720632</v>
      </c>
      <c r="AC24" s="18">
        <f t="shared" ca="1" si="8"/>
        <v>114.80980017473649</v>
      </c>
      <c r="AD24" s="18">
        <f t="shared" ca="1" si="9"/>
        <v>0</v>
      </c>
      <c r="AE24" s="18">
        <f t="shared" ca="1" si="10"/>
        <v>110.06630601358026</v>
      </c>
      <c r="AF24" s="18">
        <f t="shared" ca="1" si="11"/>
        <v>17.881587052865434</v>
      </c>
      <c r="AG24" s="18">
        <f t="shared" ca="1" si="12"/>
        <v>242.75769324118215</v>
      </c>
      <c r="AI24">
        <f>Person2!E24</f>
        <v>39</v>
      </c>
      <c r="AJ24">
        <f>Person2!AZ24</f>
        <v>1</v>
      </c>
      <c r="AK24">
        <f>IF($AZ24&lt;&gt;3,Person2!FM24,0)</f>
        <v>0</v>
      </c>
      <c r="AL24" s="4">
        <f ca="1">IF($AZ24&lt;&gt;3,Person2!FN24+Person2!FT24,0)</f>
        <v>0</v>
      </c>
      <c r="AM24">
        <f>IF($AZ24&lt;&gt;3,Person2!FO24,0)</f>
        <v>0</v>
      </c>
      <c r="AN24">
        <f>IF($AZ24&lt;&gt;3,Person2!FP24,0)</f>
        <v>0</v>
      </c>
      <c r="AO24">
        <f>IF($AZ24&lt;&gt;3,Person2!FQ24,0)</f>
        <v>0</v>
      </c>
      <c r="AP24">
        <f>IF($AZ24&lt;&gt;3,Person2!FR24,0)</f>
        <v>0</v>
      </c>
      <c r="AQ24">
        <v>0</v>
      </c>
      <c r="AR24" s="4">
        <f>Person2!FS24</f>
        <v>0</v>
      </c>
      <c r="AS24" s="4">
        <v>0</v>
      </c>
      <c r="AT24" s="4">
        <v>0</v>
      </c>
      <c r="AV24">
        <f t="shared" si="161"/>
        <v>2034</v>
      </c>
      <c r="AW24">
        <f t="shared" si="116"/>
        <v>39</v>
      </c>
      <c r="AX24">
        <f t="shared" si="117"/>
        <v>1.4002414191924248</v>
      </c>
      <c r="AY24">
        <f t="shared" si="118"/>
        <v>0.71416256246493548</v>
      </c>
      <c r="AZ24">
        <f t="shared" si="119"/>
        <v>1</v>
      </c>
      <c r="BB24" s="4">
        <f t="shared" si="13"/>
        <v>132227.81058174005</v>
      </c>
      <c r="BC24">
        <f t="shared" si="14"/>
        <v>0</v>
      </c>
      <c r="BD24" s="4">
        <f t="shared" si="15"/>
        <v>0</v>
      </c>
      <c r="BE24" s="4">
        <f t="shared" si="120"/>
        <v>0</v>
      </c>
      <c r="BF24" s="4">
        <f t="shared" si="121"/>
        <v>0</v>
      </c>
      <c r="BG24" s="4">
        <f t="shared" si="122"/>
        <v>0</v>
      </c>
      <c r="BH24" s="4">
        <f t="shared" si="16"/>
        <v>0</v>
      </c>
      <c r="BI24" s="4">
        <f t="shared" si="123"/>
        <v>132227.81058174005</v>
      </c>
      <c r="BJ24" s="4"/>
      <c r="BK24" s="4">
        <f t="shared" si="17"/>
        <v>70012.07095962124</v>
      </c>
      <c r="BL24" s="4">
        <f t="shared" si="124"/>
        <v>0</v>
      </c>
      <c r="BM24" s="4">
        <f t="shared" si="125"/>
        <v>70012.07095962124</v>
      </c>
      <c r="BN24" s="4">
        <v>30503.145647522015</v>
      </c>
      <c r="BO24" s="4">
        <f t="shared" si="126"/>
        <v>100515.21660714326</v>
      </c>
      <c r="BP24" s="4">
        <f t="shared" si="127"/>
        <v>31712.593974596792</v>
      </c>
      <c r="BQ24" s="4"/>
      <c r="BR24" s="4">
        <v>0</v>
      </c>
      <c r="BS24" s="4">
        <f t="shared" ca="1" si="18"/>
        <v>15536.767743354456</v>
      </c>
      <c r="BT24" s="4">
        <f t="shared" ca="1" si="19"/>
        <v>8000</v>
      </c>
      <c r="BU24" s="4">
        <f t="shared" si="20"/>
        <v>0</v>
      </c>
      <c r="BV24" s="4">
        <f t="shared" si="21"/>
        <v>1</v>
      </c>
      <c r="BW24" s="4">
        <f t="shared" ca="1" si="22"/>
        <v>0</v>
      </c>
      <c r="BX24" s="4">
        <f t="shared" ca="1" si="23"/>
        <v>0</v>
      </c>
      <c r="BY24" s="4">
        <f t="shared" ca="1" si="24"/>
        <v>0</v>
      </c>
      <c r="BZ24" s="4">
        <f t="shared" ca="1" si="25"/>
        <v>0</v>
      </c>
      <c r="CA24" s="4">
        <f t="shared" ca="1" si="26"/>
        <v>0</v>
      </c>
      <c r="CB24" s="4">
        <f t="shared" ca="1" si="160"/>
        <v>0</v>
      </c>
      <c r="CC24" s="4"/>
      <c r="CD24" s="4">
        <f t="shared" ca="1" si="27"/>
        <v>132227.81058174005</v>
      </c>
      <c r="CE24" s="4">
        <f t="shared" ca="1" si="128"/>
        <v>112728.68535601262</v>
      </c>
      <c r="CF24" s="16">
        <f t="shared" si="28"/>
        <v>0</v>
      </c>
      <c r="CG24" s="4">
        <f t="shared" si="129"/>
        <v>4761.0868711238909</v>
      </c>
      <c r="CH24" s="4" t="e">
        <f t="shared" ca="1" si="29"/>
        <v>#NAME?</v>
      </c>
      <c r="CI24" s="4" t="e">
        <f t="shared" ca="1" si="30"/>
        <v>#NAME?</v>
      </c>
      <c r="CJ24" s="4" t="e">
        <f t="shared" ca="1" si="130"/>
        <v>#NAME?</v>
      </c>
      <c r="CK24" s="4" t="e">
        <f t="shared" ca="1" si="31"/>
        <v>#NAME?</v>
      </c>
      <c r="CL24" s="4" t="e">
        <f t="shared" ca="1" si="32"/>
        <v>#NAME?</v>
      </c>
      <c r="CM24" s="16"/>
      <c r="CN24" s="4">
        <f t="shared" si="33"/>
        <v>0</v>
      </c>
      <c r="CO24" s="4">
        <f t="shared" si="131"/>
        <v>0</v>
      </c>
      <c r="CP24" s="4">
        <f t="shared" ca="1" si="34"/>
        <v>339919.37690391223</v>
      </c>
      <c r="CQ24" s="4"/>
      <c r="CR24" s="4">
        <f t="shared" ca="1" si="35"/>
        <v>31712.593974596792</v>
      </c>
      <c r="CS24" s="4">
        <f t="shared" ca="1" si="36"/>
        <v>31890</v>
      </c>
      <c r="CT24" s="4">
        <f t="shared" ca="1" si="37"/>
        <v>23801.005904713209</v>
      </c>
      <c r="CU24" s="4"/>
      <c r="CV24" s="4">
        <f t="shared" ca="1" si="132"/>
        <v>31712.593974596792</v>
      </c>
      <c r="CW24" s="4">
        <f t="shared" ca="1" si="38"/>
        <v>0</v>
      </c>
      <c r="CX24" s="4">
        <f t="shared" ca="1" si="39"/>
        <v>0</v>
      </c>
      <c r="CY24" s="4">
        <f t="shared" ca="1" si="133"/>
        <v>31712.593974596792</v>
      </c>
      <c r="CZ24" s="4"/>
      <c r="DA24" s="4">
        <f t="shared" ca="1" si="40"/>
        <v>31712.593974596792</v>
      </c>
      <c r="DB24" s="4">
        <f t="shared" si="41"/>
        <v>8264.2381613587531</v>
      </c>
      <c r="DC24" s="4">
        <f t="shared" ca="1" si="134"/>
        <v>0</v>
      </c>
      <c r="DD24" s="4">
        <f t="shared" ca="1" si="42"/>
        <v>15536.767743354456</v>
      </c>
      <c r="DE24" s="4">
        <f t="shared" ca="1" si="43"/>
        <v>15536.767743354456</v>
      </c>
      <c r="DF24" s="4">
        <f t="shared" ca="1" si="135"/>
        <v>0</v>
      </c>
      <c r="DG24" s="4">
        <f t="shared" ca="1" si="136"/>
        <v>7768.3838716772279</v>
      </c>
      <c r="DH24" s="4">
        <f t="shared" ca="1" si="44"/>
        <v>7768.3838716772279</v>
      </c>
      <c r="DI24" s="4"/>
      <c r="DJ24" s="4">
        <f t="shared" ca="1" si="45"/>
        <v>16175.826231242336</v>
      </c>
      <c r="DK24" s="4">
        <f t="shared" ca="1" si="46"/>
        <v>8000</v>
      </c>
      <c r="DL24" s="4">
        <f t="shared" ca="1" si="47"/>
        <v>8000</v>
      </c>
      <c r="DM24" s="4">
        <f t="shared" ca="1" si="48"/>
        <v>8000</v>
      </c>
      <c r="DN24" s="4">
        <f t="shared" ca="1" si="49"/>
        <v>8000</v>
      </c>
      <c r="DO24" s="4">
        <f t="shared" ca="1" si="50"/>
        <v>0</v>
      </c>
      <c r="DP24" s="4"/>
      <c r="DQ24" s="4">
        <f t="shared" ca="1" si="51"/>
        <v>8175.8262312423358</v>
      </c>
      <c r="DR24" s="4"/>
      <c r="DS24" s="4">
        <f t="shared" si="137"/>
        <v>0</v>
      </c>
      <c r="DT24" s="4">
        <f t="shared" si="52"/>
        <v>0</v>
      </c>
      <c r="DU24" s="4">
        <f t="shared" si="53"/>
        <v>0</v>
      </c>
      <c r="DV24" s="4"/>
      <c r="DW24" s="4">
        <f t="shared" ca="1" si="138"/>
        <v>160761.43753387174</v>
      </c>
      <c r="DX24" s="4">
        <f t="shared" ca="1" si="54"/>
        <v>7768.3838716772279</v>
      </c>
      <c r="DY24" s="4">
        <f t="shared" ca="1" si="139"/>
        <v>8038.071876693587</v>
      </c>
      <c r="DZ24" s="4">
        <f t="shared" ca="1" si="55"/>
        <v>0</v>
      </c>
      <c r="EA24" s="4">
        <f t="shared" ca="1" si="56"/>
        <v>0</v>
      </c>
      <c r="EB24" s="4">
        <f t="shared" ca="1" si="57"/>
        <v>168799.50941056531</v>
      </c>
      <c r="EC24" s="4">
        <f t="shared" si="58"/>
        <v>1</v>
      </c>
      <c r="ED24" s="4"/>
      <c r="EE24" s="4">
        <f t="shared" ca="1" si="140"/>
        <v>0</v>
      </c>
      <c r="EF24" s="4">
        <f t="shared" ca="1" si="59"/>
        <v>0</v>
      </c>
      <c r="EG24" s="4">
        <f t="shared" ca="1" si="141"/>
        <v>0</v>
      </c>
      <c r="EH24" s="4">
        <f t="shared" ca="1" si="60"/>
        <v>0</v>
      </c>
      <c r="EI24" s="4">
        <f t="shared" ca="1" si="61"/>
        <v>0</v>
      </c>
      <c r="EJ24" s="4">
        <f t="shared" ca="1" si="62"/>
        <v>0</v>
      </c>
      <c r="EK24" s="4">
        <f t="shared" si="63"/>
        <v>1</v>
      </c>
      <c r="EL24" s="4">
        <f t="shared" si="64"/>
        <v>0</v>
      </c>
      <c r="EM24" s="4"/>
      <c r="EN24" s="4">
        <f t="shared" ca="1" si="142"/>
        <v>154119.40053772336</v>
      </c>
      <c r="EO24" s="4">
        <f t="shared" ca="1" si="65"/>
        <v>8000</v>
      </c>
      <c r="EP24" s="4">
        <f t="shared" ca="1" si="143"/>
        <v>7705.9700268861679</v>
      </c>
      <c r="EQ24" s="4">
        <f t="shared" ca="1" si="66"/>
        <v>0</v>
      </c>
      <c r="ER24" s="4">
        <v>0</v>
      </c>
      <c r="ES24" s="4">
        <f t="shared" ca="1" si="144"/>
        <v>161825.37056460953</v>
      </c>
      <c r="ET24" s="4"/>
      <c r="EU24" s="4">
        <f t="shared" ca="1" si="145"/>
        <v>25038.538832317186</v>
      </c>
      <c r="EV24" s="4">
        <f t="shared" ca="1" si="67"/>
        <v>8175.8262312423358</v>
      </c>
      <c r="EW24" s="4">
        <f t="shared" ca="1" si="146"/>
        <v>1251.9269416158595</v>
      </c>
      <c r="EX24" s="4">
        <f t="shared" ca="1" si="68"/>
        <v>0</v>
      </c>
      <c r="EY24" s="4">
        <v>0</v>
      </c>
      <c r="EZ24" s="4">
        <f t="shared" ca="1" si="147"/>
        <v>26290.465773933047</v>
      </c>
      <c r="FA24" s="4">
        <f t="shared" ca="1" si="148"/>
        <v>590.86108452847134</v>
      </c>
      <c r="FB24" s="1">
        <f t="shared" ca="1" si="69"/>
        <v>2.359806570524987E-2</v>
      </c>
      <c r="FC24" s="4">
        <f t="shared" ca="1" si="149"/>
        <v>500.77077664634385</v>
      </c>
      <c r="FD24" s="4">
        <f t="shared" ca="1" si="150"/>
        <v>625.96347080792975</v>
      </c>
      <c r="FE24" s="4">
        <f t="shared" ca="1" si="70"/>
        <v>172.76591794298861</v>
      </c>
      <c r="FF24" s="4">
        <f t="shared" ca="1" si="71"/>
        <v>25.949440875036888</v>
      </c>
      <c r="FG24" s="4">
        <f t="shared" ca="1" si="72"/>
        <v>17.276591794298863</v>
      </c>
      <c r="FH24" s="17">
        <f t="shared" ca="1" si="73"/>
        <v>0</v>
      </c>
      <c r="FI24" s="4">
        <f t="shared" ca="1" si="74"/>
        <v>0</v>
      </c>
      <c r="FJ24" s="4"/>
      <c r="FK24" s="4">
        <f t="shared" ca="1" si="75"/>
        <v>356915.34574910789</v>
      </c>
      <c r="FL24" s="4"/>
      <c r="FM24" s="4">
        <v>0</v>
      </c>
      <c r="FN24" s="4">
        <f t="shared" si="76"/>
        <v>0</v>
      </c>
      <c r="FO24" s="4">
        <f t="shared" si="77"/>
        <v>0</v>
      </c>
      <c r="FP24" s="4">
        <f t="shared" si="78"/>
        <v>0</v>
      </c>
      <c r="FQ24" s="4">
        <f t="shared" si="79"/>
        <v>0</v>
      </c>
      <c r="FR24" s="4">
        <f t="shared" si="80"/>
        <v>0</v>
      </c>
      <c r="FS24" s="4">
        <f t="shared" si="81"/>
        <v>0</v>
      </c>
      <c r="FT24" s="4">
        <f t="shared" ca="1" si="82"/>
        <v>7768.3838716772279</v>
      </c>
      <c r="FU24" s="4"/>
      <c r="FV24" s="3">
        <f t="shared" si="83"/>
        <v>0.71416256246493548</v>
      </c>
      <c r="FW24" s="3">
        <f t="shared" si="84"/>
        <v>0.71416256246493548</v>
      </c>
      <c r="FX24" s="4">
        <f t="shared" si="151"/>
        <v>2034</v>
      </c>
      <c r="FY24" s="18">
        <f t="shared" si="85"/>
        <v>94.432152034183588</v>
      </c>
      <c r="FZ24" s="18">
        <f t="shared" si="86"/>
        <v>0</v>
      </c>
      <c r="GA24" s="18">
        <f t="shared" si="87"/>
        <v>0</v>
      </c>
      <c r="GB24" s="18">
        <f t="shared" si="88"/>
        <v>0</v>
      </c>
      <c r="GC24" s="18">
        <f t="shared" ca="1" si="89"/>
        <v>0</v>
      </c>
      <c r="GD24" s="18">
        <f t="shared" ca="1" si="90"/>
        <v>0</v>
      </c>
      <c r="GE24" s="18">
        <f t="shared" ca="1" si="91"/>
        <v>0</v>
      </c>
      <c r="GF24" s="18">
        <f t="shared" ca="1" si="92"/>
        <v>0</v>
      </c>
      <c r="GG24" s="18" t="e">
        <f t="shared" ca="1" si="93"/>
        <v>#NAME?</v>
      </c>
      <c r="GH24" s="18" t="e">
        <f t="shared" ca="1" si="94"/>
        <v>#NAME?</v>
      </c>
      <c r="GI24" s="4"/>
      <c r="GJ24" s="4">
        <f t="shared" si="95"/>
        <v>2034</v>
      </c>
      <c r="GK24" s="4">
        <f t="shared" ca="1" si="96"/>
        <v>114.80980017473649</v>
      </c>
      <c r="GL24" s="4">
        <f t="shared" ca="1" si="97"/>
        <v>0</v>
      </c>
      <c r="GM24" s="4">
        <f t="shared" ca="1" si="98"/>
        <v>110.06630601358026</v>
      </c>
      <c r="GN24" s="4">
        <f t="shared" ca="1" si="99"/>
        <v>17.881587052865434</v>
      </c>
      <c r="GO24" s="4"/>
      <c r="GP24" s="3">
        <f t="shared" ca="1" si="152"/>
        <v>0.47293990415649484</v>
      </c>
      <c r="GQ24" s="3">
        <f t="shared" ca="1" si="100"/>
        <v>0</v>
      </c>
      <c r="GR24" s="3">
        <f t="shared" ca="1" si="101"/>
        <v>7.366022808224619E-2</v>
      </c>
      <c r="GS24" s="3">
        <f t="shared" ca="1" si="102"/>
        <v>0.45339986776125896</v>
      </c>
      <c r="GT24" s="3">
        <f t="array" aca="1" ref="GT24" ca="1">SUM(GP24:GS24*$GU$6:$GX$6)</f>
        <v>1</v>
      </c>
      <c r="GU24" s="3">
        <f t="shared" ca="1" si="155"/>
        <v>0.47293990415649484</v>
      </c>
      <c r="GV24" s="3">
        <f t="shared" ca="1" si="156"/>
        <v>0</v>
      </c>
      <c r="GW24" s="3">
        <f t="shared" ca="1" si="157"/>
        <v>7.366022808224619E-2</v>
      </c>
      <c r="GX24" s="3">
        <f t="shared" ca="1" si="158"/>
        <v>0.45339986776125896</v>
      </c>
      <c r="GY24" s="11"/>
      <c r="GZ24" s="27">
        <v>66</v>
      </c>
      <c r="HA24" s="29">
        <v>4.1700000000000001E-2</v>
      </c>
      <c r="HB24" s="29">
        <f t="shared" ca="1" si="153"/>
        <v>7.6700000000000004E-2</v>
      </c>
      <c r="HC24" s="29">
        <v>7.6700000000000004E-2</v>
      </c>
      <c r="HD24" s="29">
        <v>7.3999999999999996E-2</v>
      </c>
      <c r="HE24" s="29">
        <v>5.6399999999999999E-2</v>
      </c>
      <c r="HG24" s="27">
        <v>64</v>
      </c>
      <c r="HH24" s="30">
        <v>3.85E-2</v>
      </c>
      <c r="HJ24">
        <f t="shared" si="159"/>
        <v>2027</v>
      </c>
      <c r="HK24" s="28">
        <f t="shared" si="164"/>
        <v>27760</v>
      </c>
      <c r="HL24" s="27">
        <f t="shared" si="162"/>
        <v>7000</v>
      </c>
      <c r="HM24" s="28">
        <f t="shared" si="163"/>
        <v>6838.5586961705885</v>
      </c>
      <c r="HO24">
        <f t="shared" ca="1" si="165"/>
        <v>1000000</v>
      </c>
      <c r="HP24" s="4">
        <f t="shared" ca="1" si="166"/>
        <v>1000000</v>
      </c>
      <c r="HQ24">
        <f t="shared" ca="1" si="167"/>
        <v>0.15</v>
      </c>
      <c r="HR24" s="4">
        <f t="shared" ca="1" si="168"/>
        <v>140883</v>
      </c>
      <c r="HT24" t="s">
        <v>226</v>
      </c>
      <c r="HU24" s="4"/>
      <c r="HV24" s="16">
        <f ca="1">OFFSET(HR56,0,$HP$15-1)</f>
        <v>0.1</v>
      </c>
      <c r="HW24" s="16">
        <f ca="1">OFFSET(HR57,0,$HP$15-1)</f>
        <v>3.1E-2</v>
      </c>
      <c r="HX24" t="s">
        <v>632</v>
      </c>
    </row>
    <row r="25" spans="1:242" x14ac:dyDescent="0.25">
      <c r="A25" t="s">
        <v>174</v>
      </c>
      <c r="B25" s="62">
        <f>Inputs_Summary!AJ22</f>
        <v>0</v>
      </c>
      <c r="D25">
        <f t="shared" si="107"/>
        <v>2035</v>
      </c>
      <c r="E25">
        <f t="shared" si="108"/>
        <v>40</v>
      </c>
      <c r="F25" s="8"/>
      <c r="G25" s="8"/>
      <c r="H25" s="9"/>
      <c r="I25" s="9"/>
      <c r="J25" s="92"/>
      <c r="K25" s="91"/>
      <c r="L25" s="91"/>
      <c r="N25" s="93">
        <f t="shared" si="109"/>
        <v>0.05</v>
      </c>
      <c r="O25" s="23">
        <f t="shared" si="110"/>
        <v>0.4</v>
      </c>
      <c r="P25" s="23">
        <f t="shared" si="111"/>
        <v>0.1</v>
      </c>
      <c r="Q25" s="4">
        <f t="shared" si="0"/>
        <v>0</v>
      </c>
      <c r="R25" s="4">
        <f t="shared" si="112"/>
        <v>0</v>
      </c>
      <c r="S25" s="4">
        <f t="shared" si="113"/>
        <v>0</v>
      </c>
      <c r="T25" s="4">
        <f t="shared" ca="1" si="114"/>
        <v>0</v>
      </c>
      <c r="V25" s="18" t="e">
        <f t="shared" ca="1" si="1"/>
        <v>#NAME?</v>
      </c>
      <c r="W25" s="18" t="e">
        <f t="shared" ca="1" si="2"/>
        <v>#NAME?</v>
      </c>
      <c r="X25" s="18">
        <f t="shared" si="3"/>
        <v>0</v>
      </c>
      <c r="Y25" s="18">
        <f t="shared" ca="1" si="4"/>
        <v>11.204559999938301</v>
      </c>
      <c r="Z25" s="18">
        <f t="shared" ca="1" si="5"/>
        <v>0</v>
      </c>
      <c r="AA25" s="18">
        <f t="shared" ca="1" si="6"/>
        <v>5.6012749997249838</v>
      </c>
      <c r="AB25" s="18">
        <f t="shared" ca="1" si="7"/>
        <v>6.4687037042229756</v>
      </c>
      <c r="AC25" s="18">
        <f t="shared" ca="1" si="8"/>
        <v>123.62566579949174</v>
      </c>
      <c r="AD25" s="18">
        <f t="shared" ca="1" si="9"/>
        <v>0</v>
      </c>
      <c r="AE25" s="18">
        <f t="shared" ca="1" si="10"/>
        <v>118.90482530782232</v>
      </c>
      <c r="AF25" s="18">
        <f t="shared" ca="1" si="11"/>
        <v>24.131897467726244</v>
      </c>
      <c r="AG25" s="18">
        <f t="shared" ca="1" si="12"/>
        <v>266.66238857504032</v>
      </c>
      <c r="AI25">
        <f>Person2!E25</f>
        <v>40</v>
      </c>
      <c r="AJ25">
        <f>Person2!AZ25</f>
        <v>1</v>
      </c>
      <c r="AK25">
        <f>IF($AZ25&lt;&gt;3,Person2!FM25,0)</f>
        <v>0</v>
      </c>
      <c r="AL25" s="4">
        <f ca="1">IF($AZ25&lt;&gt;3,Person2!FN25+Person2!FT25,0)</f>
        <v>0</v>
      </c>
      <c r="AM25">
        <f>IF($AZ25&lt;&gt;3,Person2!FO25,0)</f>
        <v>0</v>
      </c>
      <c r="AN25">
        <f>IF($AZ25&lt;&gt;3,Person2!FP25,0)</f>
        <v>0</v>
      </c>
      <c r="AO25">
        <f>IF($AZ25&lt;&gt;3,Person2!FQ25,0)</f>
        <v>0</v>
      </c>
      <c r="AP25">
        <f>IF($AZ25&lt;&gt;3,Person2!FR25,0)</f>
        <v>0</v>
      </c>
      <c r="AQ25">
        <v>0</v>
      </c>
      <c r="AR25" s="4">
        <f>Person2!FS25</f>
        <v>0</v>
      </c>
      <c r="AS25" s="4">
        <v>0</v>
      </c>
      <c r="AT25" s="4">
        <v>0</v>
      </c>
      <c r="AV25">
        <f t="shared" si="161"/>
        <v>2035</v>
      </c>
      <c r="AW25">
        <f t="shared" si="116"/>
        <v>40</v>
      </c>
      <c r="AX25">
        <f t="shared" si="117"/>
        <v>1.4282462475762734</v>
      </c>
      <c r="AY25">
        <f t="shared" si="118"/>
        <v>0.70015937496562297</v>
      </c>
      <c r="AZ25">
        <f t="shared" si="119"/>
        <v>1</v>
      </c>
      <c r="BB25" s="4">
        <f t="shared" si="13"/>
        <v>136194.64489919227</v>
      </c>
      <c r="BC25">
        <f t="shared" si="14"/>
        <v>0</v>
      </c>
      <c r="BD25" s="4">
        <f t="shared" si="15"/>
        <v>0</v>
      </c>
      <c r="BE25" s="4">
        <f t="shared" si="120"/>
        <v>0</v>
      </c>
      <c r="BF25" s="4">
        <f t="shared" si="121"/>
        <v>0</v>
      </c>
      <c r="BG25" s="4">
        <f t="shared" si="122"/>
        <v>0</v>
      </c>
      <c r="BH25" s="4">
        <f t="shared" si="16"/>
        <v>0</v>
      </c>
      <c r="BI25" s="4">
        <f t="shared" si="123"/>
        <v>136194.64489919227</v>
      </c>
      <c r="BJ25" s="4"/>
      <c r="BK25" s="4">
        <f t="shared" si="17"/>
        <v>71412.312378813673</v>
      </c>
      <c r="BL25" s="4">
        <f t="shared" si="124"/>
        <v>0</v>
      </c>
      <c r="BM25" s="4">
        <f t="shared" si="125"/>
        <v>71412.312378813673</v>
      </c>
      <c r="BN25" s="4">
        <v>31540.559952484298</v>
      </c>
      <c r="BO25" s="4">
        <f t="shared" si="126"/>
        <v>102952.87233129797</v>
      </c>
      <c r="BP25" s="4">
        <f t="shared" si="127"/>
        <v>33241.772567894295</v>
      </c>
      <c r="BQ25" s="4"/>
      <c r="BR25" s="4">
        <v>0</v>
      </c>
      <c r="BS25" s="4">
        <f t="shared" ca="1" si="18"/>
        <v>16002.87077565509</v>
      </c>
      <c r="BT25" s="4">
        <f t="shared" ca="1" si="19"/>
        <v>8000</v>
      </c>
      <c r="BU25" s="4">
        <f t="shared" si="20"/>
        <v>0</v>
      </c>
      <c r="BV25" s="4">
        <f t="shared" si="21"/>
        <v>1</v>
      </c>
      <c r="BW25" s="4">
        <f t="shared" ca="1" si="22"/>
        <v>0</v>
      </c>
      <c r="BX25" s="4">
        <f t="shared" ca="1" si="23"/>
        <v>0</v>
      </c>
      <c r="BY25" s="4">
        <f t="shared" ca="1" si="24"/>
        <v>0</v>
      </c>
      <c r="BZ25" s="4">
        <f t="shared" ca="1" si="25"/>
        <v>0</v>
      </c>
      <c r="CA25" s="4">
        <f t="shared" ca="1" si="26"/>
        <v>0</v>
      </c>
      <c r="CB25" s="4">
        <f t="shared" ca="1" si="160"/>
        <v>0</v>
      </c>
      <c r="CC25" s="4"/>
      <c r="CD25" s="4">
        <f t="shared" ca="1" si="27"/>
        <v>136194.64489919227</v>
      </c>
      <c r="CE25" s="4">
        <f t="shared" ca="1" si="128"/>
        <v>116434.9402299559</v>
      </c>
      <c r="CF25" s="16">
        <f t="shared" si="28"/>
        <v>0</v>
      </c>
      <c r="CG25" s="4">
        <f t="shared" si="129"/>
        <v>4856.3086085463692</v>
      </c>
      <c r="CH25" s="4" t="e">
        <f t="shared" ca="1" si="29"/>
        <v>#NAME?</v>
      </c>
      <c r="CI25" s="4" t="e">
        <f t="shared" ca="1" si="30"/>
        <v>#NAME?</v>
      </c>
      <c r="CJ25" s="4" t="e">
        <f t="shared" ca="1" si="130"/>
        <v>#NAME?</v>
      </c>
      <c r="CK25" s="4" t="e">
        <f t="shared" ca="1" si="31"/>
        <v>#NAME?</v>
      </c>
      <c r="CL25" s="4" t="e">
        <f t="shared" ca="1" si="32"/>
        <v>#NAME?</v>
      </c>
      <c r="CM25" s="16"/>
      <c r="CN25" s="4">
        <f t="shared" si="33"/>
        <v>0</v>
      </c>
      <c r="CO25" s="4">
        <f t="shared" si="131"/>
        <v>0</v>
      </c>
      <c r="CP25" s="4">
        <f t="shared" ca="1" si="34"/>
        <v>380859.55585202744</v>
      </c>
      <c r="CQ25" s="4"/>
      <c r="CR25" s="4">
        <f t="shared" ca="1" si="35"/>
        <v>33241.772567894295</v>
      </c>
      <c r="CS25" s="4">
        <f t="shared" ca="1" si="36"/>
        <v>32530</v>
      </c>
      <c r="CT25" s="4">
        <f t="shared" ca="1" si="37"/>
        <v>24515.036081854607</v>
      </c>
      <c r="CU25" s="4"/>
      <c r="CV25" s="4">
        <f t="shared" ca="1" si="132"/>
        <v>33241.772567894295</v>
      </c>
      <c r="CW25" s="4">
        <f t="shared" ca="1" si="38"/>
        <v>0</v>
      </c>
      <c r="CX25" s="4">
        <f t="shared" ca="1" si="39"/>
        <v>0</v>
      </c>
      <c r="CY25" s="4">
        <f t="shared" ca="1" si="133"/>
        <v>33241.772567894295</v>
      </c>
      <c r="CZ25" s="4"/>
      <c r="DA25" s="4">
        <f t="shared" ca="1" si="40"/>
        <v>33241.772567894295</v>
      </c>
      <c r="DB25" s="4">
        <f t="shared" si="41"/>
        <v>8512.1653061995166</v>
      </c>
      <c r="DC25" s="4">
        <f t="shared" ca="1" si="134"/>
        <v>0</v>
      </c>
      <c r="DD25" s="4">
        <f t="shared" ca="1" si="42"/>
        <v>16002.87077565509</v>
      </c>
      <c r="DE25" s="4">
        <f t="shared" ca="1" si="43"/>
        <v>16002.87077565509</v>
      </c>
      <c r="DF25" s="4">
        <f t="shared" ca="1" si="135"/>
        <v>0</v>
      </c>
      <c r="DG25" s="4">
        <f t="shared" ca="1" si="136"/>
        <v>8001.4353878275451</v>
      </c>
      <c r="DH25" s="4">
        <f t="shared" ca="1" si="44"/>
        <v>8001.4353878275451</v>
      </c>
      <c r="DI25" s="4"/>
      <c r="DJ25" s="4">
        <f t="shared" ca="1" si="45"/>
        <v>17238.901792239205</v>
      </c>
      <c r="DK25" s="4">
        <f t="shared" ca="1" si="46"/>
        <v>8000</v>
      </c>
      <c r="DL25" s="4">
        <f t="shared" ca="1" si="47"/>
        <v>8000</v>
      </c>
      <c r="DM25" s="4">
        <f t="shared" ca="1" si="48"/>
        <v>8000</v>
      </c>
      <c r="DN25" s="4">
        <f t="shared" ca="1" si="49"/>
        <v>8000</v>
      </c>
      <c r="DO25" s="4">
        <f t="shared" ca="1" si="50"/>
        <v>0</v>
      </c>
      <c r="DP25" s="4"/>
      <c r="DQ25" s="4">
        <f t="shared" ca="1" si="51"/>
        <v>9238.901792239205</v>
      </c>
      <c r="DR25" s="4"/>
      <c r="DS25" s="4">
        <f t="shared" si="137"/>
        <v>0</v>
      </c>
      <c r="DT25" s="4">
        <f t="shared" si="52"/>
        <v>0</v>
      </c>
      <c r="DU25" s="4">
        <f t="shared" si="53"/>
        <v>0</v>
      </c>
      <c r="DV25" s="4"/>
      <c r="DW25" s="4">
        <f t="shared" ca="1" si="138"/>
        <v>176567.89328224253</v>
      </c>
      <c r="DX25" s="4">
        <f t="shared" ca="1" si="54"/>
        <v>8001.4353878275451</v>
      </c>
      <c r="DY25" s="4">
        <f t="shared" ca="1" si="139"/>
        <v>8828.3946641121274</v>
      </c>
      <c r="DZ25" s="4">
        <f t="shared" ca="1" si="55"/>
        <v>0</v>
      </c>
      <c r="EA25" s="4">
        <f t="shared" ca="1" si="56"/>
        <v>0</v>
      </c>
      <c r="EB25" s="4">
        <f t="shared" ca="1" si="57"/>
        <v>185396.28794635466</v>
      </c>
      <c r="EC25" s="4">
        <f t="shared" si="58"/>
        <v>1</v>
      </c>
      <c r="ED25" s="4"/>
      <c r="EE25" s="4">
        <f t="shared" ca="1" si="140"/>
        <v>0</v>
      </c>
      <c r="EF25" s="4">
        <f t="shared" ca="1" si="59"/>
        <v>0</v>
      </c>
      <c r="EG25" s="4">
        <f t="shared" ca="1" si="141"/>
        <v>0</v>
      </c>
      <c r="EH25" s="4">
        <f t="shared" ca="1" si="60"/>
        <v>0</v>
      </c>
      <c r="EI25" s="4">
        <f t="shared" ca="1" si="61"/>
        <v>0</v>
      </c>
      <c r="EJ25" s="4">
        <f t="shared" ca="1" si="62"/>
        <v>0</v>
      </c>
      <c r="EK25" s="4">
        <f t="shared" si="63"/>
        <v>1</v>
      </c>
      <c r="EL25" s="4">
        <f t="shared" si="64"/>
        <v>0</v>
      </c>
      <c r="EM25" s="4"/>
      <c r="EN25" s="4">
        <f t="shared" ca="1" si="142"/>
        <v>169825.37056460953</v>
      </c>
      <c r="EO25" s="4">
        <f t="shared" ca="1" si="65"/>
        <v>8000</v>
      </c>
      <c r="EP25" s="4">
        <f t="shared" ca="1" si="143"/>
        <v>8491.2685282304774</v>
      </c>
      <c r="EQ25" s="4">
        <f t="shared" ca="1" si="66"/>
        <v>0</v>
      </c>
      <c r="ER25" s="4">
        <v>0</v>
      </c>
      <c r="ES25" s="4">
        <f t="shared" ca="1" si="144"/>
        <v>178316.63909284002</v>
      </c>
      <c r="ET25" s="4"/>
      <c r="EU25" s="4">
        <f t="shared" ca="1" si="145"/>
        <v>34466.292005175383</v>
      </c>
      <c r="EV25" s="4">
        <f t="shared" ca="1" si="67"/>
        <v>9238.901792239205</v>
      </c>
      <c r="EW25" s="4">
        <f t="shared" ca="1" si="146"/>
        <v>1723.3146002587691</v>
      </c>
      <c r="EX25" s="4">
        <f t="shared" ca="1" si="68"/>
        <v>0</v>
      </c>
      <c r="EY25" s="4">
        <v>0</v>
      </c>
      <c r="EZ25" s="4">
        <f t="shared" ca="1" si="147"/>
        <v>36189.60660543415</v>
      </c>
      <c r="FA25" s="4">
        <f t="shared" ca="1" si="148"/>
        <v>1091.6318611748152</v>
      </c>
      <c r="FB25" s="1">
        <f t="shared" ca="1" si="69"/>
        <v>3.167244857702993E-2</v>
      </c>
      <c r="FC25" s="4">
        <f t="shared" ca="1" si="149"/>
        <v>689.32584010350774</v>
      </c>
      <c r="FD25" s="4">
        <f t="shared" ca="1" si="150"/>
        <v>861.65730012938457</v>
      </c>
      <c r="FE25" s="4">
        <f t="shared" ca="1" si="70"/>
        <v>237.81741483571017</v>
      </c>
      <c r="FF25" s="4">
        <f t="shared" ca="1" si="71"/>
        <v>35.720175708323666</v>
      </c>
      <c r="FG25" s="4">
        <f t="shared" ca="1" si="72"/>
        <v>23.781741483571018</v>
      </c>
      <c r="FH25" s="17">
        <f t="shared" ca="1" si="73"/>
        <v>0</v>
      </c>
      <c r="FI25" s="4">
        <f t="shared" ca="1" si="74"/>
        <v>0</v>
      </c>
      <c r="FJ25" s="4"/>
      <c r="FK25" s="4">
        <f t="shared" ca="1" si="75"/>
        <v>399902.53364462883</v>
      </c>
      <c r="FL25" s="4"/>
      <c r="FM25" s="4">
        <v>0</v>
      </c>
      <c r="FN25" s="4">
        <f t="shared" si="76"/>
        <v>0</v>
      </c>
      <c r="FO25" s="4">
        <f t="shared" si="77"/>
        <v>0</v>
      </c>
      <c r="FP25" s="4">
        <f t="shared" si="78"/>
        <v>0</v>
      </c>
      <c r="FQ25" s="4">
        <f t="shared" si="79"/>
        <v>0</v>
      </c>
      <c r="FR25" s="4">
        <f t="shared" si="80"/>
        <v>0</v>
      </c>
      <c r="FS25" s="4">
        <f t="shared" si="81"/>
        <v>0</v>
      </c>
      <c r="FT25" s="4">
        <f t="shared" ca="1" si="82"/>
        <v>8001.4353878275451</v>
      </c>
      <c r="FU25" s="4"/>
      <c r="FV25" s="3">
        <f t="shared" si="83"/>
        <v>0.70015937496562297</v>
      </c>
      <c r="FW25" s="3">
        <f t="shared" si="84"/>
        <v>0.70015937496562297</v>
      </c>
      <c r="FX25" s="4">
        <f t="shared" si="151"/>
        <v>2035</v>
      </c>
      <c r="FY25" s="18">
        <f t="shared" si="85"/>
        <v>95.357957446283422</v>
      </c>
      <c r="FZ25" s="18">
        <f t="shared" si="86"/>
        <v>0</v>
      </c>
      <c r="GA25" s="18">
        <f t="shared" si="87"/>
        <v>0</v>
      </c>
      <c r="GB25" s="18">
        <f t="shared" si="88"/>
        <v>0</v>
      </c>
      <c r="GC25" s="18">
        <f t="shared" ca="1" si="89"/>
        <v>0</v>
      </c>
      <c r="GD25" s="18">
        <f t="shared" ca="1" si="90"/>
        <v>0</v>
      </c>
      <c r="GE25" s="18">
        <f t="shared" ca="1" si="91"/>
        <v>0</v>
      </c>
      <c r="GF25" s="18">
        <f t="shared" ca="1" si="92"/>
        <v>0</v>
      </c>
      <c r="GG25" s="18" t="e">
        <f t="shared" ca="1" si="93"/>
        <v>#NAME?</v>
      </c>
      <c r="GH25" s="18" t="e">
        <f t="shared" ca="1" si="94"/>
        <v>#NAME?</v>
      </c>
      <c r="GI25" s="4"/>
      <c r="GJ25" s="4">
        <f t="shared" si="95"/>
        <v>2035</v>
      </c>
      <c r="GK25" s="4">
        <f t="shared" ca="1" si="96"/>
        <v>123.62566579949174</v>
      </c>
      <c r="GL25" s="4">
        <f t="shared" ca="1" si="97"/>
        <v>0</v>
      </c>
      <c r="GM25" s="4">
        <f t="shared" ca="1" si="98"/>
        <v>118.90482530782232</v>
      </c>
      <c r="GN25" s="4">
        <f t="shared" ca="1" si="99"/>
        <v>24.131897467726244</v>
      </c>
      <c r="GO25" s="4"/>
      <c r="GP25" s="3">
        <f t="shared" ca="1" si="152"/>
        <v>0.46360368426949261</v>
      </c>
      <c r="GQ25" s="3">
        <f t="shared" ca="1" si="100"/>
        <v>0</v>
      </c>
      <c r="GR25" s="3">
        <f t="shared" ca="1" si="101"/>
        <v>9.0496067318227708E-2</v>
      </c>
      <c r="GS25" s="3">
        <f t="shared" ca="1" si="102"/>
        <v>0.44590024841227965</v>
      </c>
      <c r="GT25" s="3">
        <f t="array" aca="1" ref="GT25" ca="1">SUM(GP25:GS25*$GU$6:$GX$6)</f>
        <v>1</v>
      </c>
      <c r="GU25" s="3">
        <f t="shared" ca="1" si="155"/>
        <v>0.46360368426949261</v>
      </c>
      <c r="GV25" s="3">
        <f t="shared" ca="1" si="156"/>
        <v>0</v>
      </c>
      <c r="GW25" s="3">
        <f t="shared" ca="1" si="157"/>
        <v>9.0496067318227708E-2</v>
      </c>
      <c r="GX25" s="3">
        <f t="shared" ca="1" si="158"/>
        <v>0.44590024841227965</v>
      </c>
      <c r="GY25" s="11"/>
      <c r="GZ25" s="27">
        <v>67</v>
      </c>
      <c r="HA25" s="29">
        <v>4.3499999999999997E-2</v>
      </c>
      <c r="HB25" s="29">
        <f t="shared" ca="1" si="153"/>
        <v>7.8299999999999995E-2</v>
      </c>
      <c r="HC25" s="29">
        <v>7.8299999999999995E-2</v>
      </c>
      <c r="HD25" s="29">
        <v>7.5999999999999998E-2</v>
      </c>
      <c r="HE25" s="29">
        <v>5.8000000000000003E-2</v>
      </c>
      <c r="HG25" s="27">
        <v>65</v>
      </c>
      <c r="HH25" s="30">
        <v>0.04</v>
      </c>
      <c r="HJ25">
        <f t="shared" si="159"/>
        <v>2028</v>
      </c>
      <c r="HK25" s="28">
        <f t="shared" si="164"/>
        <v>28320</v>
      </c>
      <c r="HL25" s="27">
        <f t="shared" si="162"/>
        <v>7000</v>
      </c>
      <c r="HM25" s="28">
        <f t="shared" si="163"/>
        <v>6975.3298700940004</v>
      </c>
    </row>
    <row r="26" spans="1:242" x14ac:dyDescent="0.25">
      <c r="A26" t="s">
        <v>175</v>
      </c>
      <c r="B26" s="62">
        <f>Inputs_Summary!AJ23</f>
        <v>0</v>
      </c>
      <c r="D26">
        <f t="shared" si="107"/>
        <v>2036</v>
      </c>
      <c r="E26">
        <f t="shared" si="108"/>
        <v>41</v>
      </c>
      <c r="F26" s="8"/>
      <c r="G26" s="8"/>
      <c r="H26" s="9"/>
      <c r="I26" s="8"/>
      <c r="J26" s="92"/>
      <c r="K26" s="91"/>
      <c r="L26" s="91"/>
      <c r="N26" s="93">
        <f t="shared" si="109"/>
        <v>0.05</v>
      </c>
      <c r="O26" s="23">
        <f t="shared" si="110"/>
        <v>0.4</v>
      </c>
      <c r="P26" s="23">
        <f t="shared" si="111"/>
        <v>0.1</v>
      </c>
      <c r="Q26" s="4">
        <f t="shared" si="0"/>
        <v>0</v>
      </c>
      <c r="R26" s="4">
        <f t="shared" si="112"/>
        <v>0</v>
      </c>
      <c r="S26" s="4">
        <f t="shared" si="113"/>
        <v>0</v>
      </c>
      <c r="T26" s="4">
        <f t="shared" ca="1" si="114"/>
        <v>0</v>
      </c>
      <c r="V26" s="18" t="e">
        <f t="shared" ca="1" si="1"/>
        <v>#NAME?</v>
      </c>
      <c r="W26" s="18" t="e">
        <f t="shared" ca="1" si="2"/>
        <v>#NAME?</v>
      </c>
      <c r="X26" s="18">
        <f t="shared" si="3"/>
        <v>0</v>
      </c>
      <c r="Y26" s="18">
        <f t="shared" ca="1" si="4"/>
        <v>11.314408627388676</v>
      </c>
      <c r="Z26" s="18">
        <f t="shared" ca="1" si="5"/>
        <v>0</v>
      </c>
      <c r="AA26" s="18">
        <f t="shared" ca="1" si="6"/>
        <v>5.4914460781617489</v>
      </c>
      <c r="AB26" s="18">
        <f t="shared" ca="1" si="7"/>
        <v>7.0954957494380642</v>
      </c>
      <c r="AC26" s="18">
        <f t="shared" ca="1" si="8"/>
        <v>132.75414616611323</v>
      </c>
      <c r="AD26" s="18">
        <f t="shared" ca="1" si="9"/>
        <v>0</v>
      </c>
      <c r="AE26" s="18">
        <f t="shared" ca="1" si="10"/>
        <v>127.89347213033179</v>
      </c>
      <c r="AF26" s="18">
        <f t="shared" ca="1" si="11"/>
        <v>31.18352553464268</v>
      </c>
      <c r="AG26" s="18">
        <f t="shared" ca="1" si="12"/>
        <v>291.83114383108767</v>
      </c>
      <c r="AI26">
        <f>Person2!E26</f>
        <v>41</v>
      </c>
      <c r="AJ26">
        <f>Person2!AZ26</f>
        <v>1</v>
      </c>
      <c r="AK26">
        <f>IF($AZ26&lt;&gt;3,Person2!FM26,0)</f>
        <v>0</v>
      </c>
      <c r="AL26" s="4">
        <f ca="1">IF($AZ26&lt;&gt;3,Person2!FN26+Person2!FT26,0)</f>
        <v>0</v>
      </c>
      <c r="AM26">
        <f>IF($AZ26&lt;&gt;3,Person2!FO26,0)</f>
        <v>0</v>
      </c>
      <c r="AN26">
        <f>IF($AZ26&lt;&gt;3,Person2!FP26,0)</f>
        <v>0</v>
      </c>
      <c r="AO26">
        <f>IF($AZ26&lt;&gt;3,Person2!FQ26,0)</f>
        <v>0</v>
      </c>
      <c r="AP26">
        <f>IF($AZ26&lt;&gt;3,Person2!FR26,0)</f>
        <v>0</v>
      </c>
      <c r="AQ26">
        <v>0</v>
      </c>
      <c r="AR26" s="4">
        <f>Person2!FS26</f>
        <v>0</v>
      </c>
      <c r="AS26" s="4">
        <v>0</v>
      </c>
      <c r="AT26" s="4">
        <v>0</v>
      </c>
      <c r="AV26">
        <f t="shared" si="161"/>
        <v>2036</v>
      </c>
      <c r="AW26">
        <f t="shared" si="116"/>
        <v>41</v>
      </c>
      <c r="AX26">
        <f t="shared" si="117"/>
        <v>1.4568111725277988</v>
      </c>
      <c r="AY26">
        <f t="shared" si="118"/>
        <v>0.68643075977021861</v>
      </c>
      <c r="AZ26">
        <f t="shared" si="119"/>
        <v>1</v>
      </c>
      <c r="BB26" s="4">
        <f t="shared" si="13"/>
        <v>140280.48424616802</v>
      </c>
      <c r="BC26">
        <f t="shared" si="14"/>
        <v>0</v>
      </c>
      <c r="BD26" s="4">
        <f t="shared" si="15"/>
        <v>0</v>
      </c>
      <c r="BE26" s="4">
        <f t="shared" si="120"/>
        <v>0</v>
      </c>
      <c r="BF26" s="4">
        <f t="shared" si="121"/>
        <v>0</v>
      </c>
      <c r="BG26" s="4">
        <f t="shared" si="122"/>
        <v>0</v>
      </c>
      <c r="BH26" s="4">
        <f t="shared" si="16"/>
        <v>0</v>
      </c>
      <c r="BI26" s="4">
        <f t="shared" si="123"/>
        <v>140280.48424616802</v>
      </c>
      <c r="BJ26" s="4"/>
      <c r="BK26" s="4">
        <f t="shared" si="17"/>
        <v>72840.558626389946</v>
      </c>
      <c r="BL26" s="4">
        <f t="shared" si="124"/>
        <v>0</v>
      </c>
      <c r="BM26" s="4">
        <f t="shared" si="125"/>
        <v>72840.558626389946</v>
      </c>
      <c r="BN26" s="4">
        <v>32620.17123844846</v>
      </c>
      <c r="BO26" s="4">
        <f t="shared" si="126"/>
        <v>105460.7298648384</v>
      </c>
      <c r="BP26" s="4">
        <f t="shared" si="127"/>
        <v>34819.754381329622</v>
      </c>
      <c r="BQ26" s="4"/>
      <c r="BR26" s="4">
        <v>0</v>
      </c>
      <c r="BS26" s="4">
        <f t="shared" ca="1" si="18"/>
        <v>16482.956898924742</v>
      </c>
      <c r="BT26" s="4">
        <f t="shared" ca="1" si="19"/>
        <v>8000</v>
      </c>
      <c r="BU26" s="4">
        <f t="shared" si="20"/>
        <v>0</v>
      </c>
      <c r="BV26" s="4">
        <f t="shared" si="21"/>
        <v>1</v>
      </c>
      <c r="BW26" s="4">
        <f t="shared" ca="1" si="22"/>
        <v>0</v>
      </c>
      <c r="BX26" s="4">
        <f t="shared" ca="1" si="23"/>
        <v>0</v>
      </c>
      <c r="BY26" s="4">
        <f t="shared" ca="1" si="24"/>
        <v>0</v>
      </c>
      <c r="BZ26" s="4">
        <f t="shared" ca="1" si="25"/>
        <v>0</v>
      </c>
      <c r="CA26" s="4">
        <f t="shared" ca="1" si="26"/>
        <v>0</v>
      </c>
      <c r="CB26" s="4">
        <f t="shared" ca="1" si="160"/>
        <v>0</v>
      </c>
      <c r="CC26" s="4"/>
      <c r="CD26" s="4">
        <f t="shared" ca="1" si="27"/>
        <v>140280.48424616802</v>
      </c>
      <c r="CE26" s="4">
        <f t="shared" ca="1" si="128"/>
        <v>120293.26198441177</v>
      </c>
      <c r="CF26" s="16">
        <f t="shared" si="28"/>
        <v>0</v>
      </c>
      <c r="CG26" s="4">
        <f t="shared" si="129"/>
        <v>4953.4347807172962</v>
      </c>
      <c r="CH26" s="4" t="e">
        <f t="shared" ca="1" si="29"/>
        <v>#NAME?</v>
      </c>
      <c r="CI26" s="4" t="e">
        <f t="shared" ca="1" si="30"/>
        <v>#NAME?</v>
      </c>
      <c r="CJ26" s="4" t="e">
        <f t="shared" ca="1" si="130"/>
        <v>#NAME?</v>
      </c>
      <c r="CK26" s="4" t="e">
        <f t="shared" ca="1" si="31"/>
        <v>#NAME?</v>
      </c>
      <c r="CL26" s="4" t="e">
        <f t="shared" ca="1" si="32"/>
        <v>#NAME?</v>
      </c>
      <c r="CM26" s="16"/>
      <c r="CN26" s="4">
        <f t="shared" si="33"/>
        <v>0</v>
      </c>
      <c r="CO26" s="4">
        <f t="shared" si="131"/>
        <v>0</v>
      </c>
      <c r="CP26" s="4">
        <f t="shared" ca="1" si="34"/>
        <v>425142.87082469556</v>
      </c>
      <c r="CQ26" s="4"/>
      <c r="CR26" s="4">
        <f t="shared" ca="1" si="35"/>
        <v>34819.754381329622</v>
      </c>
      <c r="CS26" s="4">
        <f t="shared" ca="1" si="36"/>
        <v>33180</v>
      </c>
      <c r="CT26" s="4">
        <f t="shared" ca="1" si="37"/>
        <v>25250.487164310245</v>
      </c>
      <c r="CU26" s="4"/>
      <c r="CV26" s="4">
        <f t="shared" ca="1" si="132"/>
        <v>34819.754381329622</v>
      </c>
      <c r="CW26" s="4">
        <f t="shared" ca="1" si="38"/>
        <v>0</v>
      </c>
      <c r="CX26" s="4">
        <f t="shared" ca="1" si="39"/>
        <v>0</v>
      </c>
      <c r="CY26" s="4">
        <f t="shared" ca="1" si="133"/>
        <v>34819.754381329622</v>
      </c>
      <c r="CZ26" s="4"/>
      <c r="DA26" s="4">
        <f t="shared" ca="1" si="40"/>
        <v>34819.754381329622</v>
      </c>
      <c r="DB26" s="4">
        <f t="shared" si="41"/>
        <v>8767.5302653855015</v>
      </c>
      <c r="DC26" s="4">
        <f t="shared" ca="1" si="134"/>
        <v>0</v>
      </c>
      <c r="DD26" s="4">
        <f t="shared" ca="1" si="42"/>
        <v>16482.956898924742</v>
      </c>
      <c r="DE26" s="4">
        <f t="shared" ca="1" si="43"/>
        <v>16482.956898924742</v>
      </c>
      <c r="DF26" s="4">
        <f t="shared" ca="1" si="135"/>
        <v>0</v>
      </c>
      <c r="DG26" s="4">
        <f t="shared" ca="1" si="136"/>
        <v>8241.4784494623709</v>
      </c>
      <c r="DH26" s="4">
        <f t="shared" ca="1" si="44"/>
        <v>8241.4784494623709</v>
      </c>
      <c r="DI26" s="4"/>
      <c r="DJ26" s="4">
        <f t="shared" ca="1" si="45"/>
        <v>18336.79748240488</v>
      </c>
      <c r="DK26" s="4">
        <f t="shared" ca="1" si="46"/>
        <v>8000</v>
      </c>
      <c r="DL26" s="4">
        <f t="shared" ca="1" si="47"/>
        <v>8000</v>
      </c>
      <c r="DM26" s="4">
        <f t="shared" ca="1" si="48"/>
        <v>8000</v>
      </c>
      <c r="DN26" s="4">
        <f t="shared" ca="1" si="49"/>
        <v>8000</v>
      </c>
      <c r="DO26" s="4">
        <f t="shared" ca="1" si="50"/>
        <v>0</v>
      </c>
      <c r="DP26" s="4"/>
      <c r="DQ26" s="4">
        <f t="shared" ca="1" si="51"/>
        <v>10336.79748240488</v>
      </c>
      <c r="DR26" s="4"/>
      <c r="DS26" s="4">
        <f t="shared" si="137"/>
        <v>0</v>
      </c>
      <c r="DT26" s="4">
        <f t="shared" si="52"/>
        <v>0</v>
      </c>
      <c r="DU26" s="4">
        <f t="shared" si="53"/>
        <v>0</v>
      </c>
      <c r="DV26" s="4"/>
      <c r="DW26" s="4">
        <f t="shared" ca="1" si="138"/>
        <v>193397.7233341822</v>
      </c>
      <c r="DX26" s="4">
        <f t="shared" ca="1" si="54"/>
        <v>8241.4784494623709</v>
      </c>
      <c r="DY26" s="4">
        <f t="shared" ca="1" si="139"/>
        <v>9669.8861667091096</v>
      </c>
      <c r="DZ26" s="4">
        <f t="shared" ca="1" si="55"/>
        <v>0</v>
      </c>
      <c r="EA26" s="4">
        <f t="shared" ca="1" si="56"/>
        <v>0</v>
      </c>
      <c r="EB26" s="4">
        <f t="shared" ca="1" si="57"/>
        <v>203067.6095008913</v>
      </c>
      <c r="EC26" s="4">
        <f t="shared" si="58"/>
        <v>1</v>
      </c>
      <c r="ED26" s="4"/>
      <c r="EE26" s="4">
        <f t="shared" ca="1" si="140"/>
        <v>0</v>
      </c>
      <c r="EF26" s="4">
        <f t="shared" ca="1" si="59"/>
        <v>0</v>
      </c>
      <c r="EG26" s="4">
        <f t="shared" ca="1" si="141"/>
        <v>0</v>
      </c>
      <c r="EH26" s="4">
        <f t="shared" ca="1" si="60"/>
        <v>0</v>
      </c>
      <c r="EI26" s="4">
        <f t="shared" ca="1" si="61"/>
        <v>0</v>
      </c>
      <c r="EJ26" s="4">
        <f t="shared" ca="1" si="62"/>
        <v>0</v>
      </c>
      <c r="EK26" s="4">
        <f t="shared" si="63"/>
        <v>1</v>
      </c>
      <c r="EL26" s="4">
        <f t="shared" si="64"/>
        <v>0</v>
      </c>
      <c r="EM26" s="4"/>
      <c r="EN26" s="4">
        <f t="shared" ca="1" si="142"/>
        <v>186316.63909284002</v>
      </c>
      <c r="EO26" s="4">
        <f t="shared" ca="1" si="65"/>
        <v>8000</v>
      </c>
      <c r="EP26" s="4">
        <f t="shared" ca="1" si="143"/>
        <v>9315.8319546420007</v>
      </c>
      <c r="EQ26" s="4">
        <f t="shared" ca="1" si="66"/>
        <v>0</v>
      </c>
      <c r="ER26" s="4">
        <v>0</v>
      </c>
      <c r="ES26" s="4">
        <f t="shared" ca="1" si="144"/>
        <v>195632.47104748202</v>
      </c>
      <c r="ET26" s="4"/>
      <c r="EU26" s="4">
        <f t="shared" ca="1" si="145"/>
        <v>45428.508397673359</v>
      </c>
      <c r="EV26" s="4">
        <f t="shared" ca="1" si="67"/>
        <v>10336.79748240488</v>
      </c>
      <c r="EW26" s="4">
        <f t="shared" ca="1" si="146"/>
        <v>2271.4254198836679</v>
      </c>
      <c r="EX26" s="4">
        <f t="shared" ca="1" si="68"/>
        <v>0</v>
      </c>
      <c r="EY26" s="4">
        <v>0</v>
      </c>
      <c r="EZ26" s="4">
        <f t="shared" ca="1" si="147"/>
        <v>47699.93381755703</v>
      </c>
      <c r="FA26" s="4">
        <f t="shared" ca="1" si="148"/>
        <v>1780.9577012783229</v>
      </c>
      <c r="FB26" s="1">
        <f t="shared" ca="1" si="69"/>
        <v>3.9203525805604822E-2</v>
      </c>
      <c r="FC26" s="4">
        <f t="shared" ca="1" si="149"/>
        <v>908.57016795346726</v>
      </c>
      <c r="FD26" s="4">
        <f t="shared" ca="1" si="150"/>
        <v>1135.712709941834</v>
      </c>
      <c r="FE26" s="4">
        <f t="shared" ca="1" si="70"/>
        <v>313.45670794394618</v>
      </c>
      <c r="FF26" s="4">
        <f t="shared" ca="1" si="71"/>
        <v>47.08119753318072</v>
      </c>
      <c r="FG26" s="4">
        <f t="shared" ca="1" si="72"/>
        <v>31.345670794394621</v>
      </c>
      <c r="FH26" s="17">
        <f t="shared" ca="1" si="73"/>
        <v>0</v>
      </c>
      <c r="FI26" s="4">
        <f t="shared" ca="1" si="74"/>
        <v>0</v>
      </c>
      <c r="FJ26" s="4"/>
      <c r="FK26" s="4">
        <f t="shared" ca="1" si="75"/>
        <v>446400.01436593034</v>
      </c>
      <c r="FL26" s="4"/>
      <c r="FM26" s="4">
        <v>0</v>
      </c>
      <c r="FN26" s="4">
        <f t="shared" si="76"/>
        <v>0</v>
      </c>
      <c r="FO26" s="4">
        <f t="shared" si="77"/>
        <v>0</v>
      </c>
      <c r="FP26" s="4">
        <f t="shared" si="78"/>
        <v>0</v>
      </c>
      <c r="FQ26" s="4">
        <f t="shared" si="79"/>
        <v>0</v>
      </c>
      <c r="FR26" s="4">
        <f t="shared" si="80"/>
        <v>0</v>
      </c>
      <c r="FS26" s="4">
        <f t="shared" si="81"/>
        <v>0</v>
      </c>
      <c r="FT26" s="4">
        <f t="shared" ca="1" si="82"/>
        <v>8241.4784494623709</v>
      </c>
      <c r="FU26" s="4"/>
      <c r="FV26" s="3">
        <f t="shared" si="83"/>
        <v>0.68643075977021861</v>
      </c>
      <c r="FW26" s="3">
        <f t="shared" si="84"/>
        <v>0.68643075977021861</v>
      </c>
      <c r="FX26" s="4">
        <f t="shared" si="151"/>
        <v>2036</v>
      </c>
      <c r="FY26" s="18">
        <f t="shared" si="85"/>
        <v>96.292839382031289</v>
      </c>
      <c r="FZ26" s="18">
        <f t="shared" si="86"/>
        <v>0</v>
      </c>
      <c r="GA26" s="18">
        <f t="shared" si="87"/>
        <v>0</v>
      </c>
      <c r="GB26" s="18">
        <f t="shared" si="88"/>
        <v>0</v>
      </c>
      <c r="GC26" s="18">
        <f t="shared" ca="1" si="89"/>
        <v>0</v>
      </c>
      <c r="GD26" s="18">
        <f t="shared" ca="1" si="90"/>
        <v>0</v>
      </c>
      <c r="GE26" s="18">
        <f t="shared" ca="1" si="91"/>
        <v>0</v>
      </c>
      <c r="GF26" s="18">
        <f t="shared" ca="1" si="92"/>
        <v>0</v>
      </c>
      <c r="GG26" s="18" t="e">
        <f t="shared" ca="1" si="93"/>
        <v>#NAME?</v>
      </c>
      <c r="GH26" s="18" t="e">
        <f t="shared" ca="1" si="94"/>
        <v>#NAME?</v>
      </c>
      <c r="GI26" s="4"/>
      <c r="GJ26" s="4">
        <f t="shared" si="95"/>
        <v>2036</v>
      </c>
      <c r="GK26" s="4">
        <f t="shared" ca="1" si="96"/>
        <v>132.75414616611323</v>
      </c>
      <c r="GL26" s="4">
        <f t="shared" ca="1" si="97"/>
        <v>0</v>
      </c>
      <c r="GM26" s="4">
        <f t="shared" ca="1" si="98"/>
        <v>127.89347213033179</v>
      </c>
      <c r="GN26" s="4">
        <f t="shared" ca="1" si="99"/>
        <v>31.18352553464268</v>
      </c>
      <c r="GO26" s="4"/>
      <c r="GP26" s="3">
        <f t="shared" ca="1" si="152"/>
        <v>0.45490054427827459</v>
      </c>
      <c r="GQ26" s="3">
        <f t="shared" ca="1" si="100"/>
        <v>0</v>
      </c>
      <c r="GR26" s="3">
        <f t="shared" ca="1" si="101"/>
        <v>0.1068546870127465</v>
      </c>
      <c r="GS26" s="3">
        <f t="shared" ca="1" si="102"/>
        <v>0.43824476870897894</v>
      </c>
      <c r="GT26" s="3">
        <f t="array" aca="1" ref="GT26" ca="1">SUM(GP26:GS26*$GU$6:$GX$6)</f>
        <v>1</v>
      </c>
      <c r="GU26" s="3">
        <f t="shared" ca="1" si="155"/>
        <v>0.45490054427827459</v>
      </c>
      <c r="GV26" s="3">
        <f t="shared" ca="1" si="156"/>
        <v>0</v>
      </c>
      <c r="GW26" s="3">
        <f t="shared" ca="1" si="157"/>
        <v>0.1068546870127465</v>
      </c>
      <c r="GX26" s="3">
        <f t="shared" ca="1" si="158"/>
        <v>0.43824476870897894</v>
      </c>
      <c r="GY26" s="11"/>
      <c r="GZ26" s="27">
        <v>68</v>
      </c>
      <c r="HA26" s="29">
        <v>4.5499999999999999E-2</v>
      </c>
      <c r="HB26" s="29">
        <f t="shared" ca="1" si="153"/>
        <v>8.0199999999999994E-2</v>
      </c>
      <c r="HC26" s="29">
        <v>8.0199999999999994E-2</v>
      </c>
      <c r="HD26" s="29">
        <v>7.6999999999999999E-2</v>
      </c>
      <c r="HE26" s="29">
        <v>5.9700000000000003E-2</v>
      </c>
      <c r="HG26" s="27">
        <v>66</v>
      </c>
      <c r="HH26" s="30">
        <v>4.1700000000000001E-2</v>
      </c>
      <c r="HJ26">
        <f t="shared" si="159"/>
        <v>2029</v>
      </c>
      <c r="HK26" s="28">
        <f t="shared" si="164"/>
        <v>28880</v>
      </c>
      <c r="HL26" s="27">
        <f t="shared" si="162"/>
        <v>7000</v>
      </c>
      <c r="HM26" s="28">
        <f t="shared" si="163"/>
        <v>7114.8364674958802</v>
      </c>
      <c r="HO26" t="s">
        <v>224</v>
      </c>
      <c r="HP26" s="27">
        <v>2017</v>
      </c>
      <c r="HQ26" t="s">
        <v>225</v>
      </c>
    </row>
    <row r="27" spans="1:242" x14ac:dyDescent="0.25">
      <c r="A27" s="15" t="s">
        <v>481</v>
      </c>
      <c r="D27">
        <f t="shared" si="107"/>
        <v>2037</v>
      </c>
      <c r="E27">
        <f t="shared" si="108"/>
        <v>42</v>
      </c>
      <c r="F27" s="8"/>
      <c r="G27" s="8"/>
      <c r="H27" s="9"/>
      <c r="I27" s="8"/>
      <c r="J27" s="92"/>
      <c r="K27" s="91"/>
      <c r="L27" s="91"/>
      <c r="N27" s="93">
        <f t="shared" si="109"/>
        <v>0.05</v>
      </c>
      <c r="O27" s="23">
        <f t="shared" si="110"/>
        <v>0.4</v>
      </c>
      <c r="P27" s="23">
        <f t="shared" si="111"/>
        <v>0.1</v>
      </c>
      <c r="Q27" s="4">
        <f t="shared" si="0"/>
        <v>0</v>
      </c>
      <c r="R27" s="4">
        <f t="shared" si="112"/>
        <v>0</v>
      </c>
      <c r="S27" s="4">
        <f t="shared" si="113"/>
        <v>0</v>
      </c>
      <c r="T27" s="4">
        <f t="shared" ca="1" si="114"/>
        <v>0</v>
      </c>
      <c r="V27" s="18" t="e">
        <f t="shared" ca="1" si="1"/>
        <v>#NAME?</v>
      </c>
      <c r="W27" s="18" t="e">
        <f t="shared" ca="1" si="2"/>
        <v>#NAME?</v>
      </c>
      <c r="X27" s="18">
        <f t="shared" si="3"/>
        <v>0</v>
      </c>
      <c r="Y27" s="18">
        <f t="shared" ca="1" si="4"/>
        <v>11.425334202166997</v>
      </c>
      <c r="Z27" s="18">
        <f t="shared" ca="1" si="5"/>
        <v>0</v>
      </c>
      <c r="AA27" s="18">
        <f t="shared" ca="1" si="6"/>
        <v>5.7202563314184882</v>
      </c>
      <c r="AB27" s="18">
        <f t="shared" ca="1" si="7"/>
        <v>7.3826923833344713</v>
      </c>
      <c r="AC27" s="18">
        <f t="shared" ca="1" si="8"/>
        <v>142.20495861579724</v>
      </c>
      <c r="AD27" s="18">
        <f t="shared" ca="1" si="9"/>
        <v>0</v>
      </c>
      <c r="AE27" s="18">
        <f t="shared" ca="1" si="10"/>
        <v>137.03881550491187</v>
      </c>
      <c r="AF27" s="18">
        <f t="shared" ca="1" si="11"/>
        <v>39.057056432169489</v>
      </c>
      <c r="AG27" s="18">
        <f t="shared" ca="1" si="12"/>
        <v>318.30083055287861</v>
      </c>
      <c r="AI27">
        <f>Person2!E27</f>
        <v>42</v>
      </c>
      <c r="AJ27">
        <f>Person2!AZ27</f>
        <v>1</v>
      </c>
      <c r="AK27">
        <f>IF($AZ27&lt;&gt;3,Person2!FM27,0)</f>
        <v>0</v>
      </c>
      <c r="AL27" s="4">
        <f ca="1">IF($AZ27&lt;&gt;3,Person2!FN27+Person2!FT27,0)</f>
        <v>0</v>
      </c>
      <c r="AM27">
        <f>IF($AZ27&lt;&gt;3,Person2!FO27,0)</f>
        <v>0</v>
      </c>
      <c r="AN27">
        <f>IF($AZ27&lt;&gt;3,Person2!FP27,0)</f>
        <v>0</v>
      </c>
      <c r="AO27">
        <f>IF($AZ27&lt;&gt;3,Person2!FQ27,0)</f>
        <v>0</v>
      </c>
      <c r="AP27">
        <f>IF($AZ27&lt;&gt;3,Person2!FR27,0)</f>
        <v>0</v>
      </c>
      <c r="AQ27">
        <v>0</v>
      </c>
      <c r="AR27" s="4">
        <f>Person2!FS27</f>
        <v>0</v>
      </c>
      <c r="AS27" s="4">
        <v>0</v>
      </c>
      <c r="AT27" s="4">
        <v>0</v>
      </c>
      <c r="AV27">
        <f t="shared" si="161"/>
        <v>2037</v>
      </c>
      <c r="AW27">
        <f t="shared" si="116"/>
        <v>42</v>
      </c>
      <c r="AX27">
        <f t="shared" si="117"/>
        <v>1.4859473959783549</v>
      </c>
      <c r="AY27">
        <f t="shared" si="118"/>
        <v>0.67297133310805746</v>
      </c>
      <c r="AZ27">
        <f t="shared" si="119"/>
        <v>1</v>
      </c>
      <c r="BB27" s="4">
        <f t="shared" si="13"/>
        <v>144488.89877355305</v>
      </c>
      <c r="BC27">
        <f t="shared" si="14"/>
        <v>0</v>
      </c>
      <c r="BD27" s="4">
        <f t="shared" si="15"/>
        <v>0</v>
      </c>
      <c r="BE27" s="4">
        <f t="shared" si="120"/>
        <v>0</v>
      </c>
      <c r="BF27" s="4">
        <f t="shared" si="121"/>
        <v>0</v>
      </c>
      <c r="BG27" s="4">
        <f t="shared" si="122"/>
        <v>0</v>
      </c>
      <c r="BH27" s="4">
        <f t="shared" si="16"/>
        <v>0</v>
      </c>
      <c r="BI27" s="4">
        <f t="shared" si="123"/>
        <v>144488.89877355305</v>
      </c>
      <c r="BJ27" s="4"/>
      <c r="BK27" s="4">
        <f t="shared" si="17"/>
        <v>74297.369798917745</v>
      </c>
      <c r="BL27" s="4">
        <f t="shared" si="124"/>
        <v>0</v>
      </c>
      <c r="BM27" s="4">
        <f t="shared" si="125"/>
        <v>74297.369798917745</v>
      </c>
      <c r="BN27" s="4">
        <v>33743.790846417731</v>
      </c>
      <c r="BO27" s="4">
        <f t="shared" si="126"/>
        <v>108041.16064533548</v>
      </c>
      <c r="BP27" s="4">
        <f t="shared" si="127"/>
        <v>36447.738128217577</v>
      </c>
      <c r="BQ27" s="4"/>
      <c r="BR27" s="4">
        <v>0</v>
      </c>
      <c r="BS27" s="4">
        <f t="shared" ca="1" si="18"/>
        <v>16977.445605892484</v>
      </c>
      <c r="BT27" s="4">
        <f t="shared" ca="1" si="19"/>
        <v>8500</v>
      </c>
      <c r="BU27" s="4">
        <f t="shared" si="20"/>
        <v>0</v>
      </c>
      <c r="BV27" s="4">
        <f t="shared" si="21"/>
        <v>1</v>
      </c>
      <c r="BW27" s="4">
        <f t="shared" ca="1" si="22"/>
        <v>0</v>
      </c>
      <c r="BX27" s="4">
        <f t="shared" ca="1" si="23"/>
        <v>0</v>
      </c>
      <c r="BY27" s="4">
        <f t="shared" ca="1" si="24"/>
        <v>0</v>
      </c>
      <c r="BZ27" s="4">
        <f t="shared" ca="1" si="25"/>
        <v>0</v>
      </c>
      <c r="CA27" s="4">
        <f t="shared" ca="1" si="26"/>
        <v>0</v>
      </c>
      <c r="CB27" s="4">
        <f t="shared" ca="1" si="160"/>
        <v>0</v>
      </c>
      <c r="CC27" s="4"/>
      <c r="CD27" s="4">
        <f t="shared" ca="1" si="27"/>
        <v>144488.89877355305</v>
      </c>
      <c r="CE27" s="4">
        <f t="shared" ca="1" si="128"/>
        <v>124310.32141979771</v>
      </c>
      <c r="CF27" s="16">
        <f t="shared" si="28"/>
        <v>0</v>
      </c>
      <c r="CG27" s="4">
        <f t="shared" si="129"/>
        <v>5052.5034763316426</v>
      </c>
      <c r="CH27" s="4" t="e">
        <f t="shared" ca="1" si="29"/>
        <v>#NAME?</v>
      </c>
      <c r="CI27" s="4" t="e">
        <f t="shared" ca="1" si="30"/>
        <v>#NAME?</v>
      </c>
      <c r="CJ27" s="4" t="e">
        <f t="shared" ca="1" si="130"/>
        <v>#NAME?</v>
      </c>
      <c r="CK27" s="4" t="e">
        <f t="shared" ca="1" si="31"/>
        <v>#NAME?</v>
      </c>
      <c r="CL27" s="4" t="e">
        <f t="shared" ca="1" si="32"/>
        <v>#NAME?</v>
      </c>
      <c r="CM27" s="16"/>
      <c r="CN27" s="4">
        <f t="shared" si="33"/>
        <v>0</v>
      </c>
      <c r="CO27" s="4">
        <f t="shared" si="131"/>
        <v>0</v>
      </c>
      <c r="CP27" s="4">
        <f t="shared" ca="1" si="34"/>
        <v>472978.29029779759</v>
      </c>
      <c r="CQ27" s="4"/>
      <c r="CR27" s="4">
        <f t="shared" ca="1" si="35"/>
        <v>36447.738128217577</v>
      </c>
      <c r="CS27" s="4">
        <f t="shared" ca="1" si="36"/>
        <v>33840</v>
      </c>
      <c r="CT27" s="4">
        <f t="shared" ca="1" si="37"/>
        <v>26008.001779239548</v>
      </c>
      <c r="CU27" s="4"/>
      <c r="CV27" s="4">
        <f t="shared" ca="1" si="132"/>
        <v>36447.738128217577</v>
      </c>
      <c r="CW27" s="4">
        <f t="shared" ca="1" si="38"/>
        <v>0</v>
      </c>
      <c r="CX27" s="4">
        <f t="shared" ca="1" si="39"/>
        <v>0</v>
      </c>
      <c r="CY27" s="4">
        <f t="shared" ca="1" si="133"/>
        <v>36447.738128217577</v>
      </c>
      <c r="CZ27" s="4"/>
      <c r="DA27" s="4">
        <f t="shared" ca="1" si="40"/>
        <v>36447.738128217577</v>
      </c>
      <c r="DB27" s="4">
        <f t="shared" si="41"/>
        <v>9030.5561733470659</v>
      </c>
      <c r="DC27" s="4">
        <f t="shared" ca="1" si="134"/>
        <v>0</v>
      </c>
      <c r="DD27" s="4">
        <f t="shared" ca="1" si="42"/>
        <v>16977.445605892484</v>
      </c>
      <c r="DE27" s="4">
        <f t="shared" ca="1" si="43"/>
        <v>16977.445605892484</v>
      </c>
      <c r="DF27" s="4">
        <f t="shared" ca="1" si="135"/>
        <v>0</v>
      </c>
      <c r="DG27" s="4">
        <f t="shared" ca="1" si="136"/>
        <v>8488.7228029462422</v>
      </c>
      <c r="DH27" s="4">
        <f t="shared" ca="1" si="44"/>
        <v>8488.7228029462422</v>
      </c>
      <c r="DI27" s="4"/>
      <c r="DJ27" s="4">
        <f t="shared" ca="1" si="45"/>
        <v>19470.292522325093</v>
      </c>
      <c r="DK27" s="4">
        <f t="shared" ca="1" si="46"/>
        <v>8500</v>
      </c>
      <c r="DL27" s="4">
        <f t="shared" ca="1" si="47"/>
        <v>8500</v>
      </c>
      <c r="DM27" s="4">
        <f t="shared" ca="1" si="48"/>
        <v>8500</v>
      </c>
      <c r="DN27" s="4">
        <f t="shared" ca="1" si="49"/>
        <v>8500</v>
      </c>
      <c r="DO27" s="4">
        <f t="shared" ca="1" si="50"/>
        <v>0</v>
      </c>
      <c r="DP27" s="4"/>
      <c r="DQ27" s="4">
        <f t="shared" ca="1" si="51"/>
        <v>10970.292522325093</v>
      </c>
      <c r="DR27" s="4"/>
      <c r="DS27" s="4">
        <f t="shared" si="137"/>
        <v>0</v>
      </c>
      <c r="DT27" s="4">
        <f t="shared" si="52"/>
        <v>0</v>
      </c>
      <c r="DU27" s="4">
        <f t="shared" si="53"/>
        <v>0</v>
      </c>
      <c r="DV27" s="4"/>
      <c r="DW27" s="4">
        <f t="shared" ca="1" si="138"/>
        <v>211309.08795035366</v>
      </c>
      <c r="DX27" s="4">
        <f t="shared" ca="1" si="54"/>
        <v>8488.7228029462422</v>
      </c>
      <c r="DY27" s="4">
        <f t="shared" ca="1" si="139"/>
        <v>10565.454397517684</v>
      </c>
      <c r="DZ27" s="4">
        <f t="shared" ca="1" si="55"/>
        <v>0</v>
      </c>
      <c r="EA27" s="4">
        <f t="shared" ca="1" si="56"/>
        <v>0</v>
      </c>
      <c r="EB27" s="4">
        <f t="shared" ca="1" si="57"/>
        <v>221874.54234787135</v>
      </c>
      <c r="EC27" s="4">
        <f t="shared" si="58"/>
        <v>1</v>
      </c>
      <c r="ED27" s="4"/>
      <c r="EE27" s="4">
        <f t="shared" ca="1" si="140"/>
        <v>0</v>
      </c>
      <c r="EF27" s="4">
        <f t="shared" ca="1" si="59"/>
        <v>0</v>
      </c>
      <c r="EG27" s="4">
        <f t="shared" ca="1" si="141"/>
        <v>0</v>
      </c>
      <c r="EH27" s="4">
        <f t="shared" ca="1" si="60"/>
        <v>0</v>
      </c>
      <c r="EI27" s="4">
        <f t="shared" ca="1" si="61"/>
        <v>0</v>
      </c>
      <c r="EJ27" s="4">
        <f t="shared" ca="1" si="62"/>
        <v>0</v>
      </c>
      <c r="EK27" s="4">
        <f t="shared" si="63"/>
        <v>1</v>
      </c>
      <c r="EL27" s="4">
        <f t="shared" si="64"/>
        <v>0</v>
      </c>
      <c r="EM27" s="4"/>
      <c r="EN27" s="4">
        <f t="shared" ca="1" si="142"/>
        <v>203632.47104748202</v>
      </c>
      <c r="EO27" s="4">
        <f t="shared" ca="1" si="65"/>
        <v>8500</v>
      </c>
      <c r="EP27" s="4">
        <f t="shared" ca="1" si="143"/>
        <v>10181.623552374102</v>
      </c>
      <c r="EQ27" s="4">
        <f t="shared" ca="1" si="66"/>
        <v>0</v>
      </c>
      <c r="ER27" s="4">
        <v>0</v>
      </c>
      <c r="ES27" s="4">
        <f t="shared" ca="1" si="144"/>
        <v>213814.09459985612</v>
      </c>
      <c r="ET27" s="4"/>
      <c r="EU27" s="4">
        <f t="shared" ca="1" si="145"/>
        <v>58036.73129996191</v>
      </c>
      <c r="EV27" s="4">
        <f t="shared" ca="1" si="67"/>
        <v>10970.292522325093</v>
      </c>
      <c r="EW27" s="4">
        <f t="shared" ca="1" si="146"/>
        <v>2901.8365649980956</v>
      </c>
      <c r="EX27" s="4">
        <f t="shared" ca="1" si="68"/>
        <v>0</v>
      </c>
      <c r="EY27" s="4">
        <v>0</v>
      </c>
      <c r="EZ27" s="4">
        <f t="shared" ca="1" si="147"/>
        <v>60938.567864960009</v>
      </c>
      <c r="FA27" s="4">
        <f t="shared" ca="1" si="148"/>
        <v>2689.5278692317902</v>
      </c>
      <c r="FB27" s="1">
        <f t="shared" ca="1" si="69"/>
        <v>4.6341821963249596E-2</v>
      </c>
      <c r="FC27" s="4">
        <f t="shared" ca="1" si="149"/>
        <v>1160.7346259992382</v>
      </c>
      <c r="FD27" s="4">
        <f t="shared" ca="1" si="150"/>
        <v>1450.9182824990478</v>
      </c>
      <c r="FE27" s="4">
        <f t="shared" ca="1" si="70"/>
        <v>400.45344596973717</v>
      </c>
      <c r="FF27" s="4">
        <f t="shared" ca="1" si="71"/>
        <v>60.148107584654525</v>
      </c>
      <c r="FG27" s="4">
        <f t="shared" ca="1" si="72"/>
        <v>40.04534459697372</v>
      </c>
      <c r="FH27" s="17">
        <f t="shared" ca="1" si="73"/>
        <v>0</v>
      </c>
      <c r="FI27" s="4">
        <f t="shared" ca="1" si="74"/>
        <v>0</v>
      </c>
      <c r="FJ27" s="4"/>
      <c r="FK27" s="4">
        <f t="shared" ca="1" si="75"/>
        <v>496627.20481268747</v>
      </c>
      <c r="FL27" s="4"/>
      <c r="FM27" s="4">
        <v>0</v>
      </c>
      <c r="FN27" s="4">
        <f t="shared" si="76"/>
        <v>0</v>
      </c>
      <c r="FO27" s="4">
        <f t="shared" si="77"/>
        <v>0</v>
      </c>
      <c r="FP27" s="4">
        <f t="shared" si="78"/>
        <v>0</v>
      </c>
      <c r="FQ27" s="4">
        <f t="shared" si="79"/>
        <v>0</v>
      </c>
      <c r="FR27" s="4">
        <f t="shared" si="80"/>
        <v>0</v>
      </c>
      <c r="FS27" s="4">
        <f t="shared" si="81"/>
        <v>0</v>
      </c>
      <c r="FT27" s="4">
        <f t="shared" ca="1" si="82"/>
        <v>8488.7228029462422</v>
      </c>
      <c r="FU27" s="4"/>
      <c r="FV27" s="3">
        <f t="shared" si="83"/>
        <v>0.67297133310805746</v>
      </c>
      <c r="FW27" s="3">
        <f t="shared" si="84"/>
        <v>0.67297133310805746</v>
      </c>
      <c r="FX27" s="4">
        <f t="shared" si="151"/>
        <v>2037</v>
      </c>
      <c r="FY27" s="18">
        <f t="shared" si="85"/>
        <v>97.236886826953167</v>
      </c>
      <c r="FZ27" s="18">
        <f t="shared" si="86"/>
        <v>0</v>
      </c>
      <c r="GA27" s="18">
        <f t="shared" si="87"/>
        <v>0</v>
      </c>
      <c r="GB27" s="18">
        <f t="shared" si="88"/>
        <v>0</v>
      </c>
      <c r="GC27" s="18">
        <f t="shared" ca="1" si="89"/>
        <v>0</v>
      </c>
      <c r="GD27" s="18">
        <f t="shared" ca="1" si="90"/>
        <v>0</v>
      </c>
      <c r="GE27" s="18">
        <f t="shared" ca="1" si="91"/>
        <v>0</v>
      </c>
      <c r="GF27" s="18">
        <f t="shared" ca="1" si="92"/>
        <v>0</v>
      </c>
      <c r="GG27" s="18" t="e">
        <f t="shared" ca="1" si="93"/>
        <v>#NAME?</v>
      </c>
      <c r="GH27" s="18" t="e">
        <f t="shared" ca="1" si="94"/>
        <v>#NAME?</v>
      </c>
      <c r="GI27" s="4"/>
      <c r="GJ27" s="4">
        <f t="shared" si="95"/>
        <v>2037</v>
      </c>
      <c r="GK27" s="4">
        <f t="shared" ca="1" si="96"/>
        <v>142.20495861579724</v>
      </c>
      <c r="GL27" s="4">
        <f t="shared" ca="1" si="97"/>
        <v>0</v>
      </c>
      <c r="GM27" s="4">
        <f t="shared" ca="1" si="98"/>
        <v>137.03881550491187</v>
      </c>
      <c r="GN27" s="4">
        <f t="shared" ca="1" si="99"/>
        <v>39.057056432169489</v>
      </c>
      <c r="GO27" s="4"/>
      <c r="GP27" s="3">
        <f t="shared" ca="1" si="152"/>
        <v>0.44676276329154302</v>
      </c>
      <c r="GQ27" s="3">
        <f t="shared" ca="1" si="100"/>
        <v>0</v>
      </c>
      <c r="GR27" s="3">
        <f t="shared" ca="1" si="101"/>
        <v>0.12270485240119733</v>
      </c>
      <c r="GS27" s="3">
        <f t="shared" ca="1" si="102"/>
        <v>0.43053238430725965</v>
      </c>
      <c r="GT27" s="3">
        <f t="array" aca="1" ref="GT27" ca="1">SUM(GP27:GS27*$GU$6:$GX$6)</f>
        <v>1</v>
      </c>
      <c r="GU27" s="3">
        <f t="shared" ca="1" si="155"/>
        <v>0.44676276329154302</v>
      </c>
      <c r="GV27" s="3">
        <f t="shared" ca="1" si="156"/>
        <v>0</v>
      </c>
      <c r="GW27" s="3">
        <f t="shared" ca="1" si="157"/>
        <v>0.12270485240119733</v>
      </c>
      <c r="GX27" s="3">
        <f t="shared" ca="1" si="158"/>
        <v>0.43053238430725965</v>
      </c>
      <c r="GY27" s="11"/>
      <c r="GZ27" s="27">
        <v>69</v>
      </c>
      <c r="HA27" s="29">
        <v>4.7600000000000003E-2</v>
      </c>
      <c r="HB27" s="29">
        <f t="shared" ca="1" si="153"/>
        <v>8.2199999999999995E-2</v>
      </c>
      <c r="HC27" s="29">
        <v>8.2199999999999995E-2</v>
      </c>
      <c r="HD27" s="29">
        <v>7.9000000000000001E-2</v>
      </c>
      <c r="HE27" s="29">
        <v>6.1699999999999998E-2</v>
      </c>
      <c r="HG27" s="27">
        <v>67</v>
      </c>
      <c r="HH27" s="30">
        <v>4.3499999999999997E-2</v>
      </c>
      <c r="HJ27">
        <f t="shared" si="159"/>
        <v>2030</v>
      </c>
      <c r="HK27" s="28">
        <f t="shared" si="164"/>
        <v>29460</v>
      </c>
      <c r="HL27" s="27">
        <f t="shared" si="162"/>
        <v>7500</v>
      </c>
      <c r="HM27" s="28">
        <f t="shared" si="163"/>
        <v>7257.133196845798</v>
      </c>
      <c r="HQ27" t="s">
        <v>173</v>
      </c>
      <c r="HR27" t="s">
        <v>148</v>
      </c>
      <c r="HS27" t="s">
        <v>149</v>
      </c>
      <c r="HT27" t="s">
        <v>151</v>
      </c>
      <c r="HU27" t="s">
        <v>150</v>
      </c>
      <c r="HV27" t="s">
        <v>152</v>
      </c>
      <c r="HW27" t="s">
        <v>153</v>
      </c>
      <c r="HX27" t="s">
        <v>154</v>
      </c>
      <c r="HY27" t="s">
        <v>155</v>
      </c>
      <c r="HZ27" t="s">
        <v>44</v>
      </c>
      <c r="IA27" t="s">
        <v>156</v>
      </c>
      <c r="IB27" t="s">
        <v>157</v>
      </c>
      <c r="IC27" t="s">
        <v>158</v>
      </c>
      <c r="ID27" t="s">
        <v>159</v>
      </c>
      <c r="IE27" t="s">
        <v>558</v>
      </c>
      <c r="IF27" t="s">
        <v>559</v>
      </c>
      <c r="IG27" t="s">
        <v>560</v>
      </c>
    </row>
    <row r="28" spans="1:242" x14ac:dyDescent="0.25">
      <c r="A28" t="s">
        <v>477</v>
      </c>
      <c r="B28" s="62">
        <f>Inputs_Summary!AJ25</f>
        <v>50000</v>
      </c>
      <c r="D28">
        <f t="shared" si="107"/>
        <v>2038</v>
      </c>
      <c r="E28">
        <f t="shared" si="108"/>
        <v>43</v>
      </c>
      <c r="F28" s="8"/>
      <c r="G28" s="8"/>
      <c r="H28" s="9"/>
      <c r="I28" s="8"/>
      <c r="J28" s="92"/>
      <c r="K28" s="91"/>
      <c r="L28" s="91"/>
      <c r="N28" s="93">
        <f t="shared" si="109"/>
        <v>0.05</v>
      </c>
      <c r="O28" s="23">
        <f t="shared" si="110"/>
        <v>0.4</v>
      </c>
      <c r="P28" s="23">
        <f t="shared" si="111"/>
        <v>0.1</v>
      </c>
      <c r="Q28" s="4">
        <f t="shared" si="0"/>
        <v>0</v>
      </c>
      <c r="R28" s="4">
        <f t="shared" si="112"/>
        <v>0</v>
      </c>
      <c r="S28" s="4">
        <f t="shared" si="113"/>
        <v>0</v>
      </c>
      <c r="T28" s="4">
        <f t="shared" ca="1" si="114"/>
        <v>0</v>
      </c>
      <c r="V28" s="18" t="e">
        <f t="shared" ca="1" si="1"/>
        <v>#NAME?</v>
      </c>
      <c r="W28" s="18" t="e">
        <f t="shared" ca="1" si="2"/>
        <v>#NAME?</v>
      </c>
      <c r="X28" s="18">
        <f t="shared" si="3"/>
        <v>0</v>
      </c>
      <c r="Y28" s="18">
        <f t="shared" ca="1" si="4"/>
        <v>11.537347282580397</v>
      </c>
      <c r="Z28" s="18">
        <f t="shared" ca="1" si="5"/>
        <v>0</v>
      </c>
      <c r="AA28" s="18">
        <f t="shared" ca="1" si="6"/>
        <v>5.6080944425671451</v>
      </c>
      <c r="AB28" s="18">
        <f t="shared" ca="1" si="7"/>
        <v>8.0124311039418377</v>
      </c>
      <c r="AC28" s="18">
        <f t="shared" ca="1" si="8"/>
        <v>151.98811141928493</v>
      </c>
      <c r="AD28" s="18">
        <f t="shared" ca="1" si="9"/>
        <v>0</v>
      </c>
      <c r="AE28" s="18">
        <f t="shared" ca="1" si="10"/>
        <v>146.67746334468234</v>
      </c>
      <c r="AF28" s="18">
        <f t="shared" ca="1" si="11"/>
        <v>47.443727095208267</v>
      </c>
      <c r="AG28" s="18">
        <f t="shared" ca="1" si="12"/>
        <v>346.1093018591755</v>
      </c>
      <c r="AI28">
        <f>Person2!E28</f>
        <v>43</v>
      </c>
      <c r="AJ28">
        <f>Person2!AZ28</f>
        <v>1</v>
      </c>
      <c r="AK28">
        <f>IF($AZ28&lt;&gt;3,Person2!FM28,0)</f>
        <v>0</v>
      </c>
      <c r="AL28" s="4">
        <f ca="1">IF($AZ28&lt;&gt;3,Person2!FN28+Person2!FT28,0)</f>
        <v>0</v>
      </c>
      <c r="AM28">
        <f>IF($AZ28&lt;&gt;3,Person2!FO28,0)</f>
        <v>0</v>
      </c>
      <c r="AN28">
        <f>IF($AZ28&lt;&gt;3,Person2!FP28,0)</f>
        <v>0</v>
      </c>
      <c r="AO28">
        <f>IF($AZ28&lt;&gt;3,Person2!FQ28,0)</f>
        <v>0</v>
      </c>
      <c r="AP28">
        <f>IF($AZ28&lt;&gt;3,Person2!FR28,0)</f>
        <v>0</v>
      </c>
      <c r="AQ28">
        <v>0</v>
      </c>
      <c r="AR28" s="4">
        <f>Person2!FS28</f>
        <v>0</v>
      </c>
      <c r="AS28" s="4">
        <v>0</v>
      </c>
      <c r="AT28" s="4">
        <v>0</v>
      </c>
      <c r="AV28">
        <f t="shared" si="161"/>
        <v>2038</v>
      </c>
      <c r="AW28">
        <f t="shared" si="116"/>
        <v>43</v>
      </c>
      <c r="AX28">
        <f t="shared" si="117"/>
        <v>1.5156663438979221</v>
      </c>
      <c r="AY28">
        <f t="shared" si="118"/>
        <v>0.65977581677260533</v>
      </c>
      <c r="AZ28">
        <f t="shared" si="119"/>
        <v>1</v>
      </c>
      <c r="BB28" s="4">
        <f t="shared" si="13"/>
        <v>148823.56573675963</v>
      </c>
      <c r="BC28">
        <f t="shared" si="14"/>
        <v>0</v>
      </c>
      <c r="BD28" s="4">
        <f t="shared" si="15"/>
        <v>0</v>
      </c>
      <c r="BE28" s="4">
        <f t="shared" si="120"/>
        <v>0</v>
      </c>
      <c r="BF28" s="4">
        <f t="shared" si="121"/>
        <v>0</v>
      </c>
      <c r="BG28" s="4">
        <f t="shared" si="122"/>
        <v>0</v>
      </c>
      <c r="BH28" s="4">
        <f t="shared" si="16"/>
        <v>0</v>
      </c>
      <c r="BI28" s="4">
        <f t="shared" si="123"/>
        <v>148823.56573675963</v>
      </c>
      <c r="BJ28" s="4"/>
      <c r="BK28" s="4">
        <f t="shared" si="17"/>
        <v>75783.31719489611</v>
      </c>
      <c r="BL28" s="4">
        <f t="shared" si="124"/>
        <v>0</v>
      </c>
      <c r="BM28" s="4">
        <f t="shared" si="125"/>
        <v>75783.31719489611</v>
      </c>
      <c r="BN28" s="4">
        <v>34909.307410748748</v>
      </c>
      <c r="BO28" s="4">
        <f t="shared" si="126"/>
        <v>110692.62460564486</v>
      </c>
      <c r="BP28" s="4">
        <f t="shared" si="127"/>
        <v>38130.941131114771</v>
      </c>
      <c r="BQ28" s="4"/>
      <c r="BR28" s="4">
        <v>0</v>
      </c>
      <c r="BS28" s="4">
        <f t="shared" ca="1" si="18"/>
        <v>17486.768974069255</v>
      </c>
      <c r="BT28" s="4">
        <f t="shared" ca="1" si="19"/>
        <v>8500</v>
      </c>
      <c r="BU28" s="4">
        <f t="shared" si="20"/>
        <v>0</v>
      </c>
      <c r="BV28" s="4">
        <f t="shared" si="21"/>
        <v>1</v>
      </c>
      <c r="BW28" s="4">
        <f t="shared" ca="1" si="22"/>
        <v>0</v>
      </c>
      <c r="BX28" s="4">
        <f t="shared" ca="1" si="23"/>
        <v>0</v>
      </c>
      <c r="BY28" s="4">
        <f t="shared" ca="1" si="24"/>
        <v>0</v>
      </c>
      <c r="BZ28" s="4">
        <f t="shared" ca="1" si="25"/>
        <v>0</v>
      </c>
      <c r="CA28" s="4">
        <f t="shared" ca="1" si="26"/>
        <v>0</v>
      </c>
      <c r="CB28" s="4">
        <f t="shared" ca="1" si="160"/>
        <v>0</v>
      </c>
      <c r="CC28" s="4"/>
      <c r="CD28" s="4">
        <f t="shared" ca="1" si="27"/>
        <v>148823.56573675963</v>
      </c>
      <c r="CE28" s="4">
        <f t="shared" ca="1" si="128"/>
        <v>128477.1358631865</v>
      </c>
      <c r="CF28" s="16">
        <f t="shared" si="28"/>
        <v>0</v>
      </c>
      <c r="CG28" s="4">
        <f t="shared" si="129"/>
        <v>5153.5535458582763</v>
      </c>
      <c r="CH28" s="4" t="e">
        <f t="shared" ca="1" si="29"/>
        <v>#NAME?</v>
      </c>
      <c r="CI28" s="4" t="e">
        <f t="shared" ca="1" si="30"/>
        <v>#NAME?</v>
      </c>
      <c r="CJ28" s="4" t="e">
        <f t="shared" ca="1" si="130"/>
        <v>#NAME?</v>
      </c>
      <c r="CK28" s="4" t="e">
        <f t="shared" ca="1" si="31"/>
        <v>#NAME?</v>
      </c>
      <c r="CL28" s="4" t="e">
        <f t="shared" ca="1" si="32"/>
        <v>#NAME?</v>
      </c>
      <c r="CM28" s="16"/>
      <c r="CN28" s="4">
        <f t="shared" si="33"/>
        <v>0</v>
      </c>
      <c r="CO28" s="4">
        <f t="shared" si="131"/>
        <v>0</v>
      </c>
      <c r="CP28" s="4">
        <f t="shared" ca="1" si="34"/>
        <v>524586.22013795876</v>
      </c>
      <c r="CQ28" s="4"/>
      <c r="CR28" s="4">
        <f t="shared" ca="1" si="35"/>
        <v>38130.941131114771</v>
      </c>
      <c r="CS28" s="4">
        <f t="shared" ca="1" si="36"/>
        <v>34520</v>
      </c>
      <c r="CT28" s="4">
        <f t="shared" ca="1" si="37"/>
        <v>26788.241832616732</v>
      </c>
      <c r="CU28" s="4"/>
      <c r="CV28" s="4">
        <f t="shared" ca="1" si="132"/>
        <v>38130.941131114771</v>
      </c>
      <c r="CW28" s="4">
        <f t="shared" ca="1" si="38"/>
        <v>0</v>
      </c>
      <c r="CX28" s="4">
        <f t="shared" ca="1" si="39"/>
        <v>0</v>
      </c>
      <c r="CY28" s="4">
        <f t="shared" ca="1" si="133"/>
        <v>38130.941131114771</v>
      </c>
      <c r="CZ28" s="4"/>
      <c r="DA28" s="4">
        <f t="shared" ca="1" si="40"/>
        <v>38130.941131114771</v>
      </c>
      <c r="DB28" s="4">
        <f t="shared" si="41"/>
        <v>9301.4728585474768</v>
      </c>
      <c r="DC28" s="4">
        <f t="shared" ca="1" si="134"/>
        <v>0</v>
      </c>
      <c r="DD28" s="4">
        <f t="shared" ca="1" si="42"/>
        <v>17486.768974069255</v>
      </c>
      <c r="DE28" s="4">
        <f t="shared" ca="1" si="43"/>
        <v>17486.768974069255</v>
      </c>
      <c r="DF28" s="4">
        <f t="shared" ca="1" si="135"/>
        <v>0</v>
      </c>
      <c r="DG28" s="4">
        <f t="shared" ca="1" si="136"/>
        <v>8743.3844870346275</v>
      </c>
      <c r="DH28" s="4">
        <f t="shared" ca="1" si="44"/>
        <v>8743.3844870346275</v>
      </c>
      <c r="DI28" s="4"/>
      <c r="DJ28" s="4">
        <f t="shared" ca="1" si="45"/>
        <v>20644.172157045516</v>
      </c>
      <c r="DK28" s="4">
        <f t="shared" ca="1" si="46"/>
        <v>8500</v>
      </c>
      <c r="DL28" s="4">
        <f t="shared" ca="1" si="47"/>
        <v>8500</v>
      </c>
      <c r="DM28" s="4">
        <f t="shared" ca="1" si="48"/>
        <v>8500</v>
      </c>
      <c r="DN28" s="4">
        <f t="shared" ca="1" si="49"/>
        <v>8500</v>
      </c>
      <c r="DO28" s="4">
        <f t="shared" ca="1" si="50"/>
        <v>0</v>
      </c>
      <c r="DP28" s="4"/>
      <c r="DQ28" s="4">
        <f t="shared" ca="1" si="51"/>
        <v>12144.172157045516</v>
      </c>
      <c r="DR28" s="4"/>
      <c r="DS28" s="4">
        <f t="shared" si="137"/>
        <v>0</v>
      </c>
      <c r="DT28" s="4">
        <f t="shared" si="52"/>
        <v>0</v>
      </c>
      <c r="DU28" s="4">
        <f t="shared" si="53"/>
        <v>0</v>
      </c>
      <c r="DV28" s="4"/>
      <c r="DW28" s="4">
        <f t="shared" ca="1" si="138"/>
        <v>230363.26515081758</v>
      </c>
      <c r="DX28" s="4">
        <f t="shared" ca="1" si="54"/>
        <v>8743.3844870346275</v>
      </c>
      <c r="DY28" s="4">
        <f t="shared" ca="1" si="139"/>
        <v>11518.16325754088</v>
      </c>
      <c r="DZ28" s="4">
        <f t="shared" ca="1" si="55"/>
        <v>0</v>
      </c>
      <c r="EA28" s="4">
        <f t="shared" ca="1" si="56"/>
        <v>0</v>
      </c>
      <c r="EB28" s="4">
        <f t="shared" ca="1" si="57"/>
        <v>241881.42840835845</v>
      </c>
      <c r="EC28" s="4">
        <f t="shared" si="58"/>
        <v>1</v>
      </c>
      <c r="ED28" s="4"/>
      <c r="EE28" s="4">
        <f t="shared" ca="1" si="140"/>
        <v>0</v>
      </c>
      <c r="EF28" s="4">
        <f t="shared" ca="1" si="59"/>
        <v>0</v>
      </c>
      <c r="EG28" s="4">
        <f t="shared" ca="1" si="141"/>
        <v>0</v>
      </c>
      <c r="EH28" s="4">
        <f t="shared" ca="1" si="60"/>
        <v>0</v>
      </c>
      <c r="EI28" s="4">
        <f t="shared" ca="1" si="61"/>
        <v>0</v>
      </c>
      <c r="EJ28" s="4">
        <f t="shared" ca="1" si="62"/>
        <v>0</v>
      </c>
      <c r="EK28" s="4">
        <f t="shared" si="63"/>
        <v>1</v>
      </c>
      <c r="EL28" s="4">
        <f t="shared" si="64"/>
        <v>0</v>
      </c>
      <c r="EM28" s="4"/>
      <c r="EN28" s="4">
        <f t="shared" ca="1" si="142"/>
        <v>222314.09459985612</v>
      </c>
      <c r="EO28" s="4">
        <f t="shared" ca="1" si="65"/>
        <v>8500</v>
      </c>
      <c r="EP28" s="4">
        <f t="shared" ca="1" si="143"/>
        <v>11115.704729992807</v>
      </c>
      <c r="EQ28" s="4">
        <f t="shared" ca="1" si="66"/>
        <v>0</v>
      </c>
      <c r="ER28" s="4">
        <v>0</v>
      </c>
      <c r="ES28" s="4">
        <f t="shared" ca="1" si="144"/>
        <v>233429.79932984893</v>
      </c>
      <c r="ET28" s="4"/>
      <c r="EU28" s="4">
        <f t="shared" ca="1" si="145"/>
        <v>71908.860387285094</v>
      </c>
      <c r="EV28" s="4">
        <f t="shared" ca="1" si="67"/>
        <v>12144.172157045516</v>
      </c>
      <c r="EW28" s="4">
        <f t="shared" ca="1" si="146"/>
        <v>3595.4430193642547</v>
      </c>
      <c r="EX28" s="4">
        <f t="shared" ca="1" si="68"/>
        <v>0</v>
      </c>
      <c r="EY28" s="4">
        <v>0</v>
      </c>
      <c r="EZ28" s="4">
        <f t="shared" ca="1" si="147"/>
        <v>75504.303406649356</v>
      </c>
      <c r="FA28" s="4">
        <f t="shared" ca="1" si="148"/>
        <v>3850.2624952310284</v>
      </c>
      <c r="FB28" s="1">
        <f t="shared" ca="1" si="69"/>
        <v>5.3543645031980384E-2</v>
      </c>
      <c r="FC28" s="4">
        <f t="shared" ca="1" si="149"/>
        <v>1438.1772077457019</v>
      </c>
      <c r="FD28" s="4">
        <f t="shared" ca="1" si="150"/>
        <v>1797.7215096821274</v>
      </c>
      <c r="FE28" s="4">
        <f t="shared" ca="1" si="70"/>
        <v>496.17113667226715</v>
      </c>
      <c r="FF28" s="4">
        <f t="shared" ca="1" si="71"/>
        <v>74.524904728174533</v>
      </c>
      <c r="FG28" s="4">
        <f t="shared" ca="1" si="72"/>
        <v>49.617113667226718</v>
      </c>
      <c r="FH28" s="17">
        <f t="shared" ca="1" si="73"/>
        <v>0</v>
      </c>
      <c r="FI28" s="4">
        <f t="shared" ca="1" si="74"/>
        <v>0</v>
      </c>
      <c r="FJ28" s="4"/>
      <c r="FK28" s="4">
        <f t="shared" ca="1" si="75"/>
        <v>550815.53114485671</v>
      </c>
      <c r="FL28" s="4"/>
      <c r="FM28" s="4">
        <v>0</v>
      </c>
      <c r="FN28" s="4">
        <f t="shared" si="76"/>
        <v>0</v>
      </c>
      <c r="FO28" s="4">
        <f t="shared" si="77"/>
        <v>0</v>
      </c>
      <c r="FP28" s="4">
        <f t="shared" si="78"/>
        <v>0</v>
      </c>
      <c r="FQ28" s="4">
        <f t="shared" si="79"/>
        <v>0</v>
      </c>
      <c r="FR28" s="4">
        <f t="shared" si="80"/>
        <v>0</v>
      </c>
      <c r="FS28" s="4">
        <f t="shared" si="81"/>
        <v>0</v>
      </c>
      <c r="FT28" s="4">
        <f t="shared" ca="1" si="82"/>
        <v>8743.3844870346275</v>
      </c>
      <c r="FU28" s="4"/>
      <c r="FV28" s="3">
        <f t="shared" si="83"/>
        <v>0.65977581677260533</v>
      </c>
      <c r="FW28" s="3">
        <f t="shared" si="84"/>
        <v>0.65977581677260533</v>
      </c>
      <c r="FX28" s="4">
        <f t="shared" si="151"/>
        <v>2038</v>
      </c>
      <c r="FY28" s="18">
        <f t="shared" si="85"/>
        <v>98.190189638982105</v>
      </c>
      <c r="FZ28" s="18">
        <f t="shared" si="86"/>
        <v>0</v>
      </c>
      <c r="GA28" s="18">
        <f t="shared" si="87"/>
        <v>0</v>
      </c>
      <c r="GB28" s="18">
        <f t="shared" si="88"/>
        <v>0</v>
      </c>
      <c r="GC28" s="18">
        <f t="shared" ca="1" si="89"/>
        <v>0</v>
      </c>
      <c r="GD28" s="18">
        <f t="shared" ca="1" si="90"/>
        <v>0</v>
      </c>
      <c r="GE28" s="18">
        <f t="shared" ca="1" si="91"/>
        <v>0</v>
      </c>
      <c r="GF28" s="18">
        <f t="shared" ca="1" si="92"/>
        <v>0</v>
      </c>
      <c r="GG28" s="18" t="e">
        <f t="shared" ca="1" si="93"/>
        <v>#NAME?</v>
      </c>
      <c r="GH28" s="18" t="e">
        <f t="shared" ca="1" si="94"/>
        <v>#NAME?</v>
      </c>
      <c r="GI28" s="4"/>
      <c r="GJ28" s="4">
        <f t="shared" si="95"/>
        <v>2038</v>
      </c>
      <c r="GK28" s="4">
        <f t="shared" ca="1" si="96"/>
        <v>151.98811141928493</v>
      </c>
      <c r="GL28" s="4">
        <f t="shared" ca="1" si="97"/>
        <v>0</v>
      </c>
      <c r="GM28" s="4">
        <f t="shared" ca="1" si="98"/>
        <v>146.67746334468234</v>
      </c>
      <c r="GN28" s="4">
        <f t="shared" ca="1" si="99"/>
        <v>47.443727095208267</v>
      </c>
      <c r="GO28" s="4"/>
      <c r="GP28" s="3">
        <f t="shared" ca="1" si="152"/>
        <v>0.43913327553711817</v>
      </c>
      <c r="GQ28" s="3">
        <f t="shared" ca="1" si="100"/>
        <v>0</v>
      </c>
      <c r="GR28" s="3">
        <f t="shared" ca="1" si="101"/>
        <v>0.1370772956414564</v>
      </c>
      <c r="GS28" s="3">
        <f t="shared" ca="1" si="102"/>
        <v>0.42378942882142551</v>
      </c>
      <c r="GT28" s="3">
        <f t="array" aca="1" ref="GT28" ca="1">SUM(GP28:GS28*$GU$6:$GX$6)</f>
        <v>1</v>
      </c>
      <c r="GU28" s="3">
        <f t="shared" ca="1" si="155"/>
        <v>0.43913327553711817</v>
      </c>
      <c r="GV28" s="3">
        <f t="shared" ca="1" si="156"/>
        <v>0</v>
      </c>
      <c r="GW28" s="3">
        <f t="shared" ca="1" si="157"/>
        <v>0.1370772956414564</v>
      </c>
      <c r="GX28" s="3">
        <f t="shared" ca="1" si="158"/>
        <v>0.42378942882142551</v>
      </c>
      <c r="GY28" s="11"/>
      <c r="GZ28" s="27">
        <v>70</v>
      </c>
      <c r="HA28" s="29">
        <v>0.05</v>
      </c>
      <c r="HB28" s="29">
        <f t="shared" ca="1" si="153"/>
        <v>8.4500000000000006E-2</v>
      </c>
      <c r="HC28" s="29">
        <v>8.4500000000000006E-2</v>
      </c>
      <c r="HD28" s="29">
        <v>8.1000000000000003E-2</v>
      </c>
      <c r="HE28" s="29">
        <v>6.4000000000000001E-2</v>
      </c>
      <c r="HG28" s="27">
        <v>68</v>
      </c>
      <c r="HH28" s="30">
        <v>4.5499999999999999E-2</v>
      </c>
      <c r="HJ28">
        <f t="shared" si="159"/>
        <v>2031</v>
      </c>
      <c r="HK28" s="28">
        <f t="shared" si="164"/>
        <v>30050</v>
      </c>
      <c r="HL28" s="27">
        <f t="shared" si="162"/>
        <v>7500</v>
      </c>
      <c r="HM28" s="28">
        <f t="shared" si="163"/>
        <v>7402.2758607827145</v>
      </c>
    </row>
    <row r="29" spans="1:242" x14ac:dyDescent="0.25">
      <c r="A29" t="s">
        <v>484</v>
      </c>
      <c r="B29" s="63">
        <f>Inputs_Summary!AJ26</f>
        <v>0</v>
      </c>
      <c r="D29">
        <f t="shared" si="107"/>
        <v>2039</v>
      </c>
      <c r="E29">
        <f t="shared" si="108"/>
        <v>44</v>
      </c>
      <c r="F29" s="8"/>
      <c r="G29" s="8"/>
      <c r="H29" s="9"/>
      <c r="I29" s="8"/>
      <c r="J29" s="92"/>
      <c r="K29" s="91"/>
      <c r="L29" s="91"/>
      <c r="N29" s="93">
        <f t="shared" si="109"/>
        <v>0.05</v>
      </c>
      <c r="O29" s="23">
        <f t="shared" si="110"/>
        <v>0.4</v>
      </c>
      <c r="P29" s="23">
        <f t="shared" si="111"/>
        <v>0.1</v>
      </c>
      <c r="Q29" s="4">
        <f t="shared" si="0"/>
        <v>0</v>
      </c>
      <c r="R29" s="4">
        <f t="shared" si="112"/>
        <v>0</v>
      </c>
      <c r="S29" s="4">
        <f t="shared" si="113"/>
        <v>0</v>
      </c>
      <c r="T29" s="4">
        <f t="shared" ca="1" si="114"/>
        <v>0</v>
      </c>
      <c r="V29" s="18" t="e">
        <f t="shared" ca="1" si="1"/>
        <v>#NAME?</v>
      </c>
      <c r="W29" s="18" t="e">
        <f t="shared" ca="1" si="2"/>
        <v>#NAME?</v>
      </c>
      <c r="X29" s="18">
        <f t="shared" si="3"/>
        <v>0</v>
      </c>
      <c r="Y29" s="18">
        <f t="shared" ca="1" si="4"/>
        <v>11.650458530448832</v>
      </c>
      <c r="Z29" s="18">
        <f t="shared" ca="1" si="5"/>
        <v>0</v>
      </c>
      <c r="AA29" s="18">
        <f t="shared" ca="1" si="6"/>
        <v>5.4981318064383764</v>
      </c>
      <c r="AB29" s="18">
        <f t="shared" ca="1" si="7"/>
        <v>8.6387877317615036</v>
      </c>
      <c r="AC29" s="18">
        <f t="shared" ca="1" si="8"/>
        <v>162.1139123838621</v>
      </c>
      <c r="AD29" s="18">
        <f t="shared" ca="1" si="9"/>
        <v>0</v>
      </c>
      <c r="AE29" s="18">
        <f t="shared" ca="1" si="10"/>
        <v>156.48963819067018</v>
      </c>
      <c r="AF29" s="18">
        <f t="shared" ca="1" si="11"/>
        <v>56.694455445010313</v>
      </c>
      <c r="AG29" s="18">
        <f t="shared" ca="1" si="12"/>
        <v>375.29800601954258</v>
      </c>
      <c r="AI29">
        <f>Person2!E29</f>
        <v>44</v>
      </c>
      <c r="AJ29">
        <f>Person2!AZ29</f>
        <v>1</v>
      </c>
      <c r="AK29">
        <f>IF($AZ29&lt;&gt;3,Person2!FM29,0)</f>
        <v>0</v>
      </c>
      <c r="AL29" s="4">
        <f ca="1">IF($AZ29&lt;&gt;3,Person2!FN29+Person2!FT29,0)</f>
        <v>0</v>
      </c>
      <c r="AM29">
        <f>IF($AZ29&lt;&gt;3,Person2!FO29,0)</f>
        <v>0</v>
      </c>
      <c r="AN29">
        <f>IF($AZ29&lt;&gt;3,Person2!FP29,0)</f>
        <v>0</v>
      </c>
      <c r="AO29">
        <f>IF($AZ29&lt;&gt;3,Person2!FQ29,0)</f>
        <v>0</v>
      </c>
      <c r="AP29">
        <f>IF($AZ29&lt;&gt;3,Person2!FR29,0)</f>
        <v>0</v>
      </c>
      <c r="AQ29">
        <v>0</v>
      </c>
      <c r="AR29" s="4">
        <f>Person2!FS29</f>
        <v>0</v>
      </c>
      <c r="AS29" s="4">
        <v>0</v>
      </c>
      <c r="AT29" s="4">
        <v>0</v>
      </c>
      <c r="AV29">
        <f t="shared" si="161"/>
        <v>2039</v>
      </c>
      <c r="AW29">
        <f t="shared" si="116"/>
        <v>44</v>
      </c>
      <c r="AX29">
        <f t="shared" si="117"/>
        <v>1.5459796707758806</v>
      </c>
      <c r="AY29">
        <f t="shared" si="118"/>
        <v>0.64683903605157378</v>
      </c>
      <c r="AZ29">
        <f t="shared" si="119"/>
        <v>1</v>
      </c>
      <c r="BB29" s="4">
        <f t="shared" si="13"/>
        <v>153288.27270886244</v>
      </c>
      <c r="BC29">
        <f t="shared" si="14"/>
        <v>0</v>
      </c>
      <c r="BD29" s="4">
        <f t="shared" si="15"/>
        <v>0</v>
      </c>
      <c r="BE29" s="4">
        <f t="shared" si="120"/>
        <v>0</v>
      </c>
      <c r="BF29" s="4">
        <f t="shared" si="121"/>
        <v>0</v>
      </c>
      <c r="BG29" s="4">
        <f t="shared" si="122"/>
        <v>0</v>
      </c>
      <c r="BH29" s="4">
        <f t="shared" si="16"/>
        <v>0</v>
      </c>
      <c r="BI29" s="4">
        <f t="shared" si="123"/>
        <v>153288.27270886244</v>
      </c>
      <c r="BJ29" s="4"/>
      <c r="BK29" s="4">
        <f t="shared" si="17"/>
        <v>77298.983538794026</v>
      </c>
      <c r="BL29" s="4">
        <f t="shared" si="124"/>
        <v>0</v>
      </c>
      <c r="BM29" s="4">
        <f t="shared" si="125"/>
        <v>77298.983538794026</v>
      </c>
      <c r="BN29" s="4">
        <v>36122.52691332571</v>
      </c>
      <c r="BO29" s="4">
        <f t="shared" si="126"/>
        <v>113421.51045211974</v>
      </c>
      <c r="BP29" s="4">
        <f t="shared" si="127"/>
        <v>39866.762256742702</v>
      </c>
      <c r="BQ29" s="4"/>
      <c r="BR29" s="4">
        <v>0</v>
      </c>
      <c r="BS29" s="4">
        <f t="shared" ca="1" si="18"/>
        <v>18011.372043291336</v>
      </c>
      <c r="BT29" s="4">
        <f t="shared" ca="1" si="19"/>
        <v>8500</v>
      </c>
      <c r="BU29" s="4">
        <f t="shared" si="20"/>
        <v>0</v>
      </c>
      <c r="BV29" s="4">
        <f t="shared" si="21"/>
        <v>1</v>
      </c>
      <c r="BW29" s="4">
        <f t="shared" ca="1" si="22"/>
        <v>0</v>
      </c>
      <c r="BX29" s="4">
        <f t="shared" ca="1" si="23"/>
        <v>0</v>
      </c>
      <c r="BY29" s="4">
        <f t="shared" ca="1" si="24"/>
        <v>0</v>
      </c>
      <c r="BZ29" s="4">
        <f t="shared" ca="1" si="25"/>
        <v>0</v>
      </c>
      <c r="CA29" s="4">
        <f t="shared" ca="1" si="26"/>
        <v>0</v>
      </c>
      <c r="CB29" s="4">
        <f t="shared" ca="1" si="160"/>
        <v>0</v>
      </c>
      <c r="CC29" s="4"/>
      <c r="CD29" s="4">
        <f t="shared" ca="1" si="27"/>
        <v>153288.27270886244</v>
      </c>
      <c r="CE29" s="4">
        <f t="shared" ca="1" si="128"/>
        <v>132816.26241927754</v>
      </c>
      <c r="CF29" s="16">
        <f t="shared" si="28"/>
        <v>0</v>
      </c>
      <c r="CG29" s="4">
        <f t="shared" si="129"/>
        <v>5256.6246167754416</v>
      </c>
      <c r="CH29" s="4" t="e">
        <f t="shared" ca="1" si="29"/>
        <v>#NAME?</v>
      </c>
      <c r="CI29" s="4" t="e">
        <f t="shared" ca="1" si="30"/>
        <v>#NAME?</v>
      </c>
      <c r="CJ29" s="4" t="e">
        <f t="shared" ca="1" si="130"/>
        <v>#NAME?</v>
      </c>
      <c r="CK29" s="4" t="e">
        <f t="shared" ca="1" si="31"/>
        <v>#NAME?</v>
      </c>
      <c r="CL29" s="4" t="e">
        <f t="shared" ca="1" si="32"/>
        <v>#NAME?</v>
      </c>
      <c r="CM29" s="16"/>
      <c r="CN29" s="4">
        <f t="shared" si="33"/>
        <v>0</v>
      </c>
      <c r="CO29" s="4">
        <f t="shared" si="131"/>
        <v>0</v>
      </c>
      <c r="CP29" s="4">
        <f t="shared" ca="1" si="34"/>
        <v>580203.08778893691</v>
      </c>
      <c r="CQ29" s="4"/>
      <c r="CR29" s="4">
        <f t="shared" ca="1" si="35"/>
        <v>39866.762256742702</v>
      </c>
      <c r="CS29" s="4">
        <f t="shared" ca="1" si="36"/>
        <v>35210</v>
      </c>
      <c r="CT29" s="4">
        <f t="shared" ca="1" si="37"/>
        <v>27591.889087595238</v>
      </c>
      <c r="CU29" s="4"/>
      <c r="CV29" s="4">
        <f t="shared" ca="1" si="132"/>
        <v>39866.762256742702</v>
      </c>
      <c r="CW29" s="4">
        <f t="shared" ca="1" si="38"/>
        <v>0</v>
      </c>
      <c r="CX29" s="4">
        <f t="shared" ca="1" si="39"/>
        <v>0</v>
      </c>
      <c r="CY29" s="4">
        <f t="shared" ca="1" si="133"/>
        <v>39866.762256742702</v>
      </c>
      <c r="CZ29" s="4"/>
      <c r="DA29" s="4">
        <f t="shared" ca="1" si="40"/>
        <v>39866.762256742702</v>
      </c>
      <c r="DB29" s="4">
        <f t="shared" si="41"/>
        <v>9580.5170443039024</v>
      </c>
      <c r="DC29" s="4">
        <f t="shared" ca="1" si="134"/>
        <v>0</v>
      </c>
      <c r="DD29" s="4">
        <f t="shared" ca="1" si="42"/>
        <v>18011.372043291336</v>
      </c>
      <c r="DE29" s="4">
        <f t="shared" ca="1" si="43"/>
        <v>18011.372043291336</v>
      </c>
      <c r="DF29" s="4">
        <f t="shared" ca="1" si="135"/>
        <v>0</v>
      </c>
      <c r="DG29" s="4">
        <f t="shared" ca="1" si="136"/>
        <v>9005.686021645668</v>
      </c>
      <c r="DH29" s="4">
        <f t="shared" ca="1" si="44"/>
        <v>9005.686021645668</v>
      </c>
      <c r="DI29" s="4"/>
      <c r="DJ29" s="4">
        <f t="shared" ca="1" si="45"/>
        <v>21855.390213451366</v>
      </c>
      <c r="DK29" s="4">
        <f t="shared" ca="1" si="46"/>
        <v>8500</v>
      </c>
      <c r="DL29" s="4">
        <f t="shared" ca="1" si="47"/>
        <v>8500</v>
      </c>
      <c r="DM29" s="4">
        <f t="shared" ca="1" si="48"/>
        <v>8500</v>
      </c>
      <c r="DN29" s="4">
        <f t="shared" ca="1" si="49"/>
        <v>8500</v>
      </c>
      <c r="DO29" s="4">
        <f t="shared" ca="1" si="50"/>
        <v>0</v>
      </c>
      <c r="DP29" s="4"/>
      <c r="DQ29" s="4">
        <f t="shared" ca="1" si="51"/>
        <v>13355.390213451366</v>
      </c>
      <c r="DR29" s="4"/>
      <c r="DS29" s="4">
        <f t="shared" si="137"/>
        <v>0</v>
      </c>
      <c r="DT29" s="4">
        <f t="shared" si="52"/>
        <v>0</v>
      </c>
      <c r="DU29" s="4">
        <f t="shared" si="53"/>
        <v>0</v>
      </c>
      <c r="DV29" s="4"/>
      <c r="DW29" s="4">
        <f t="shared" ca="1" si="138"/>
        <v>250624.81289539309</v>
      </c>
      <c r="DX29" s="4">
        <f t="shared" ca="1" si="54"/>
        <v>9005.686021645668</v>
      </c>
      <c r="DY29" s="4">
        <f t="shared" ca="1" si="139"/>
        <v>12531.240644769656</v>
      </c>
      <c r="DZ29" s="4">
        <f t="shared" ca="1" si="55"/>
        <v>0</v>
      </c>
      <c r="EA29" s="4">
        <f t="shared" ca="1" si="56"/>
        <v>0</v>
      </c>
      <c r="EB29" s="4">
        <f t="shared" ca="1" si="57"/>
        <v>263156.05354016274</v>
      </c>
      <c r="EC29" s="4">
        <f t="shared" si="58"/>
        <v>1</v>
      </c>
      <c r="ED29" s="4"/>
      <c r="EE29" s="4">
        <f t="shared" ca="1" si="140"/>
        <v>0</v>
      </c>
      <c r="EF29" s="4">
        <f t="shared" ca="1" si="59"/>
        <v>0</v>
      </c>
      <c r="EG29" s="4">
        <f t="shared" ca="1" si="141"/>
        <v>0</v>
      </c>
      <c r="EH29" s="4">
        <f t="shared" ca="1" si="60"/>
        <v>0</v>
      </c>
      <c r="EI29" s="4">
        <f t="shared" ca="1" si="61"/>
        <v>0</v>
      </c>
      <c r="EJ29" s="4">
        <f t="shared" ca="1" si="62"/>
        <v>0</v>
      </c>
      <c r="EK29" s="4">
        <f t="shared" si="63"/>
        <v>1</v>
      </c>
      <c r="EL29" s="4">
        <f t="shared" si="64"/>
        <v>0</v>
      </c>
      <c r="EM29" s="4"/>
      <c r="EN29" s="4">
        <f t="shared" ca="1" si="142"/>
        <v>241929.79932984893</v>
      </c>
      <c r="EO29" s="4">
        <f t="shared" ca="1" si="65"/>
        <v>8500</v>
      </c>
      <c r="EP29" s="4">
        <f t="shared" ca="1" si="143"/>
        <v>12096.489966492447</v>
      </c>
      <c r="EQ29" s="4">
        <f t="shared" ca="1" si="66"/>
        <v>0</v>
      </c>
      <c r="ER29" s="4">
        <v>0</v>
      </c>
      <c r="ES29" s="4">
        <f t="shared" ca="1" si="144"/>
        <v>254026.28929634139</v>
      </c>
      <c r="ET29" s="4"/>
      <c r="EU29" s="4">
        <f t="shared" ca="1" si="145"/>
        <v>87648.475563694868</v>
      </c>
      <c r="EV29" s="4">
        <f t="shared" ca="1" si="67"/>
        <v>13355.390213451366</v>
      </c>
      <c r="EW29" s="4">
        <f t="shared" ca="1" si="146"/>
        <v>4382.4237781847432</v>
      </c>
      <c r="EX29" s="4">
        <f t="shared" ca="1" si="68"/>
        <v>0</v>
      </c>
      <c r="EY29" s="4">
        <v>0</v>
      </c>
      <c r="EZ29" s="4">
        <f t="shared" ca="1" si="147"/>
        <v>92030.899341879616</v>
      </c>
      <c r="FA29" s="4">
        <f t="shared" ca="1" si="148"/>
        <v>5288.4397029767306</v>
      </c>
      <c r="FB29" s="1">
        <f t="shared" ca="1" si="69"/>
        <v>6.0336927356295866E-2</v>
      </c>
      <c r="FC29" s="4">
        <f t="shared" ca="1" si="149"/>
        <v>1752.9695112738973</v>
      </c>
      <c r="FD29" s="4">
        <f t="shared" ca="1" si="150"/>
        <v>2191.2118890923716</v>
      </c>
      <c r="FE29" s="4">
        <f t="shared" ca="1" si="70"/>
        <v>604.77448138949455</v>
      </c>
      <c r="FF29" s="4">
        <f t="shared" ca="1" si="71"/>
        <v>90.837127104702077</v>
      </c>
      <c r="FG29" s="4">
        <f t="shared" ca="1" si="72"/>
        <v>60.477448138949455</v>
      </c>
      <c r="FH29" s="17">
        <f t="shared" ca="1" si="73"/>
        <v>0</v>
      </c>
      <c r="FI29" s="4">
        <f t="shared" ca="1" si="74"/>
        <v>0</v>
      </c>
      <c r="FJ29" s="4"/>
      <c r="FK29" s="4">
        <f t="shared" ca="1" si="75"/>
        <v>609213.24217838375</v>
      </c>
      <c r="FL29" s="4"/>
      <c r="FM29" s="4">
        <v>0</v>
      </c>
      <c r="FN29" s="4">
        <f t="shared" si="76"/>
        <v>0</v>
      </c>
      <c r="FO29" s="4">
        <f t="shared" si="77"/>
        <v>0</v>
      </c>
      <c r="FP29" s="4">
        <f t="shared" si="78"/>
        <v>0</v>
      </c>
      <c r="FQ29" s="4">
        <f t="shared" si="79"/>
        <v>0</v>
      </c>
      <c r="FR29" s="4">
        <f t="shared" si="80"/>
        <v>0</v>
      </c>
      <c r="FS29" s="4">
        <f t="shared" si="81"/>
        <v>0</v>
      </c>
      <c r="FT29" s="4">
        <f t="shared" ca="1" si="82"/>
        <v>9005.686021645668</v>
      </c>
      <c r="FU29" s="4"/>
      <c r="FV29" s="3">
        <f t="shared" si="83"/>
        <v>0.64683903605157378</v>
      </c>
      <c r="FW29" s="3">
        <f t="shared" si="84"/>
        <v>0.64683903605157378</v>
      </c>
      <c r="FX29" s="4">
        <f t="shared" si="151"/>
        <v>2039</v>
      </c>
      <c r="FY29" s="18">
        <f t="shared" si="85"/>
        <v>99.15283855701135</v>
      </c>
      <c r="FZ29" s="18">
        <f t="shared" si="86"/>
        <v>0</v>
      </c>
      <c r="GA29" s="18">
        <f t="shared" si="87"/>
        <v>0</v>
      </c>
      <c r="GB29" s="18">
        <f t="shared" si="88"/>
        <v>0</v>
      </c>
      <c r="GC29" s="18">
        <f t="shared" ca="1" si="89"/>
        <v>0</v>
      </c>
      <c r="GD29" s="18">
        <f t="shared" ca="1" si="90"/>
        <v>0</v>
      </c>
      <c r="GE29" s="18">
        <f t="shared" ca="1" si="91"/>
        <v>0</v>
      </c>
      <c r="GF29" s="18">
        <f t="shared" ca="1" si="92"/>
        <v>0</v>
      </c>
      <c r="GG29" s="18" t="e">
        <f t="shared" ca="1" si="93"/>
        <v>#NAME?</v>
      </c>
      <c r="GH29" s="18" t="e">
        <f t="shared" ca="1" si="94"/>
        <v>#NAME?</v>
      </c>
      <c r="GI29" s="4"/>
      <c r="GJ29" s="4">
        <f t="shared" si="95"/>
        <v>2039</v>
      </c>
      <c r="GK29" s="4">
        <f t="shared" ca="1" si="96"/>
        <v>162.1139123838621</v>
      </c>
      <c r="GL29" s="4">
        <f t="shared" ca="1" si="97"/>
        <v>0</v>
      </c>
      <c r="GM29" s="4">
        <f t="shared" ca="1" si="98"/>
        <v>156.48963819067018</v>
      </c>
      <c r="GN29" s="4">
        <f t="shared" ca="1" si="99"/>
        <v>56.694455445010313</v>
      </c>
      <c r="GO29" s="4"/>
      <c r="GP29" s="3">
        <f t="shared" ca="1" si="152"/>
        <v>0.43196049481653914</v>
      </c>
      <c r="GQ29" s="3">
        <f t="shared" ca="1" si="100"/>
        <v>0</v>
      </c>
      <c r="GR29" s="3">
        <f t="shared" ca="1" si="101"/>
        <v>0.15106516564348094</v>
      </c>
      <c r="GS29" s="3">
        <f t="shared" ca="1" si="102"/>
        <v>0.41697433953997992</v>
      </c>
      <c r="GT29" s="3">
        <f t="array" aca="1" ref="GT29" ca="1">SUM(GP29:GS29*$GU$6:$GX$6)</f>
        <v>1</v>
      </c>
      <c r="GU29" s="3">
        <f t="shared" ca="1" si="155"/>
        <v>0.43196049481653914</v>
      </c>
      <c r="GV29" s="3">
        <f t="shared" ca="1" si="156"/>
        <v>0</v>
      </c>
      <c r="GW29" s="3">
        <f t="shared" ca="1" si="157"/>
        <v>0.15106516564348094</v>
      </c>
      <c r="GX29" s="3">
        <f t="shared" ca="1" si="158"/>
        <v>0.41697433953997992</v>
      </c>
      <c r="GY29" s="11"/>
      <c r="GZ29" s="27">
        <v>71</v>
      </c>
      <c r="HA29" s="30">
        <v>5.28E-2</v>
      </c>
      <c r="HB29" s="29">
        <f t="shared" ca="1" si="153"/>
        <v>8.7099999999999997E-2</v>
      </c>
      <c r="HC29" s="29">
        <v>8.7099999999999997E-2</v>
      </c>
      <c r="HD29" s="29">
        <v>8.3000000000000004E-2</v>
      </c>
      <c r="HE29" s="29">
        <v>6.6600000000000006E-2</v>
      </c>
      <c r="HG29" s="27">
        <v>69</v>
      </c>
      <c r="HH29" s="30">
        <v>4.7599999999999996E-2</v>
      </c>
      <c r="HJ29">
        <f t="shared" si="159"/>
        <v>2032</v>
      </c>
      <c r="HK29" s="28">
        <f t="shared" si="164"/>
        <v>30650</v>
      </c>
      <c r="HL29" s="27">
        <f t="shared" si="162"/>
        <v>7500</v>
      </c>
      <c r="HM29" s="28">
        <f t="shared" si="163"/>
        <v>7550.3213779983689</v>
      </c>
      <c r="HO29" t="s">
        <v>168</v>
      </c>
      <c r="HQ29" s="27">
        <v>0</v>
      </c>
      <c r="HR29" s="27">
        <v>0</v>
      </c>
      <c r="HS29" s="27">
        <v>0</v>
      </c>
      <c r="HT29" s="27">
        <v>0</v>
      </c>
      <c r="HU29" s="27">
        <v>0</v>
      </c>
      <c r="HV29" s="27">
        <v>0</v>
      </c>
      <c r="HW29" s="27">
        <v>0</v>
      </c>
      <c r="HX29" s="27">
        <v>0</v>
      </c>
      <c r="HY29" s="27">
        <v>0</v>
      </c>
      <c r="HZ29" s="27">
        <v>0</v>
      </c>
      <c r="IA29" s="27">
        <v>0</v>
      </c>
      <c r="IB29" s="27">
        <v>0</v>
      </c>
      <c r="IC29" s="27">
        <v>0</v>
      </c>
      <c r="ID29" s="27">
        <v>0</v>
      </c>
      <c r="IE29" s="27">
        <v>0</v>
      </c>
      <c r="IF29" s="27">
        <v>0</v>
      </c>
      <c r="IG29" s="27">
        <v>0</v>
      </c>
    </row>
    <row r="30" spans="1:242" x14ac:dyDescent="0.25">
      <c r="A30" t="s">
        <v>482</v>
      </c>
      <c r="B30" s="62">
        <f>Inputs_Summary!AJ27</f>
        <v>50000</v>
      </c>
      <c r="D30">
        <f t="shared" si="107"/>
        <v>2040</v>
      </c>
      <c r="E30">
        <f t="shared" si="108"/>
        <v>45</v>
      </c>
      <c r="F30" s="8"/>
      <c r="G30" s="8"/>
      <c r="H30" s="9"/>
      <c r="I30" s="8"/>
      <c r="J30" s="92"/>
      <c r="K30" s="91"/>
      <c r="L30" s="91"/>
      <c r="N30" s="93">
        <f t="shared" si="109"/>
        <v>0.05</v>
      </c>
      <c r="O30" s="23">
        <f t="shared" si="110"/>
        <v>0.4</v>
      </c>
      <c r="P30" s="23">
        <f t="shared" si="111"/>
        <v>0.1</v>
      </c>
      <c r="Q30" s="4">
        <f t="shared" si="0"/>
        <v>0</v>
      </c>
      <c r="R30" s="4">
        <f t="shared" si="112"/>
        <v>0</v>
      </c>
      <c r="S30" s="4">
        <f t="shared" si="113"/>
        <v>0</v>
      </c>
      <c r="T30" s="4">
        <f t="shared" ca="1" si="114"/>
        <v>0</v>
      </c>
      <c r="V30" s="18" t="e">
        <f t="shared" ca="1" si="1"/>
        <v>#NAME?</v>
      </c>
      <c r="W30" s="18" t="e">
        <f t="shared" ca="1" si="2"/>
        <v>#NAME?</v>
      </c>
      <c r="X30" s="18">
        <f t="shared" si="3"/>
        <v>0</v>
      </c>
      <c r="Y30" s="18">
        <f t="shared" ca="1" si="4"/>
        <v>11.764678712119901</v>
      </c>
      <c r="Z30" s="18">
        <f t="shared" ca="1" si="5"/>
        <v>0</v>
      </c>
      <c r="AA30" s="18">
        <f t="shared" ca="1" si="6"/>
        <v>5.7074032592785926</v>
      </c>
      <c r="AB30" s="18">
        <f t="shared" ca="1" si="7"/>
        <v>8.9446067793183097</v>
      </c>
      <c r="AC30" s="18">
        <f t="shared" ca="1" si="8"/>
        <v>172.59297771399963</v>
      </c>
      <c r="AD30" s="18">
        <f t="shared" ca="1" si="9"/>
        <v>0</v>
      </c>
      <c r="AE30" s="18">
        <f t="shared" ca="1" si="10"/>
        <v>166.48259990847259</v>
      </c>
      <c r="AF30" s="18">
        <f t="shared" ca="1" si="11"/>
        <v>66.831339165708172</v>
      </c>
      <c r="AG30" s="18">
        <f t="shared" ca="1" si="12"/>
        <v>405.90691678818041</v>
      </c>
      <c r="AI30">
        <f>Person2!E30</f>
        <v>45</v>
      </c>
      <c r="AJ30">
        <f>Person2!AZ30</f>
        <v>1</v>
      </c>
      <c r="AK30">
        <f>IF($AZ30&lt;&gt;3,Person2!FM30,0)</f>
        <v>0</v>
      </c>
      <c r="AL30" s="4">
        <f ca="1">IF($AZ30&lt;&gt;3,Person2!FN30+Person2!FT30,0)</f>
        <v>0</v>
      </c>
      <c r="AM30">
        <f>IF($AZ30&lt;&gt;3,Person2!FO30,0)</f>
        <v>0</v>
      </c>
      <c r="AN30">
        <f>IF($AZ30&lt;&gt;3,Person2!FP30,0)</f>
        <v>0</v>
      </c>
      <c r="AO30">
        <f>IF($AZ30&lt;&gt;3,Person2!FQ30,0)</f>
        <v>0</v>
      </c>
      <c r="AP30">
        <f>IF($AZ30&lt;&gt;3,Person2!FR30,0)</f>
        <v>0</v>
      </c>
      <c r="AQ30">
        <v>0</v>
      </c>
      <c r="AR30" s="4">
        <f>Person2!FS30</f>
        <v>0</v>
      </c>
      <c r="AS30" s="4">
        <v>0</v>
      </c>
      <c r="AT30" s="4">
        <v>0</v>
      </c>
      <c r="AV30">
        <f t="shared" si="161"/>
        <v>2040</v>
      </c>
      <c r="AW30">
        <f t="shared" si="116"/>
        <v>45</v>
      </c>
      <c r="AX30">
        <f t="shared" si="117"/>
        <v>1.5768992641913981</v>
      </c>
      <c r="AY30">
        <f t="shared" si="118"/>
        <v>0.63415591769762136</v>
      </c>
      <c r="AZ30">
        <f t="shared" si="119"/>
        <v>1</v>
      </c>
      <c r="BB30" s="4">
        <f t="shared" si="13"/>
        <v>157886.92089012833</v>
      </c>
      <c r="BC30">
        <f t="shared" si="14"/>
        <v>0</v>
      </c>
      <c r="BD30" s="4">
        <f t="shared" si="15"/>
        <v>0</v>
      </c>
      <c r="BE30" s="4">
        <f t="shared" si="120"/>
        <v>0</v>
      </c>
      <c r="BF30" s="4">
        <f t="shared" si="121"/>
        <v>0</v>
      </c>
      <c r="BG30" s="4">
        <f t="shared" si="122"/>
        <v>0</v>
      </c>
      <c r="BH30" s="4">
        <f t="shared" si="16"/>
        <v>0</v>
      </c>
      <c r="BI30" s="4">
        <f t="shared" si="123"/>
        <v>157886.92089012833</v>
      </c>
      <c r="BJ30" s="4"/>
      <c r="BK30" s="4">
        <f t="shared" si="17"/>
        <v>78844.963209569905</v>
      </c>
      <c r="BL30" s="4">
        <f t="shared" si="124"/>
        <v>0</v>
      </c>
      <c r="BM30" s="4">
        <f t="shared" si="125"/>
        <v>78844.963209569905</v>
      </c>
      <c r="BN30" s="4">
        <v>37385.500627179907</v>
      </c>
      <c r="BO30" s="4">
        <f t="shared" si="126"/>
        <v>116230.46383674981</v>
      </c>
      <c r="BP30" s="4">
        <f t="shared" si="127"/>
        <v>41656.457053378515</v>
      </c>
      <c r="BQ30" s="4"/>
      <c r="BR30" s="4">
        <v>0</v>
      </c>
      <c r="BS30" s="4">
        <f t="shared" ca="1" si="18"/>
        <v>18551.71320459008</v>
      </c>
      <c r="BT30" s="4">
        <f t="shared" ca="1" si="19"/>
        <v>9000</v>
      </c>
      <c r="BU30" s="4">
        <f t="shared" si="20"/>
        <v>0</v>
      </c>
      <c r="BV30" s="4">
        <f t="shared" si="21"/>
        <v>1</v>
      </c>
      <c r="BW30" s="4">
        <f t="shared" ca="1" si="22"/>
        <v>0</v>
      </c>
      <c r="BX30" s="4">
        <f t="shared" ca="1" si="23"/>
        <v>0</v>
      </c>
      <c r="BY30" s="4">
        <f t="shared" ca="1" si="24"/>
        <v>0</v>
      </c>
      <c r="BZ30" s="4">
        <f t="shared" ca="1" si="25"/>
        <v>0</v>
      </c>
      <c r="CA30" s="4">
        <f t="shared" ca="1" si="26"/>
        <v>0</v>
      </c>
      <c r="CB30" s="4">
        <f t="shared" ca="1" si="160"/>
        <v>0</v>
      </c>
      <c r="CC30" s="4"/>
      <c r="CD30" s="4">
        <f t="shared" ca="1" si="27"/>
        <v>157886.92089012833</v>
      </c>
      <c r="CE30" s="4">
        <f t="shared" ca="1" si="128"/>
        <v>137335.27321324238</v>
      </c>
      <c r="CF30" s="16">
        <f t="shared" si="28"/>
        <v>0</v>
      </c>
      <c r="CG30" s="4">
        <f t="shared" si="129"/>
        <v>5361.7571091109503</v>
      </c>
      <c r="CH30" s="4" t="e">
        <f t="shared" ca="1" si="29"/>
        <v>#NAME?</v>
      </c>
      <c r="CI30" s="4" t="e">
        <f t="shared" ca="1" si="30"/>
        <v>#NAME?</v>
      </c>
      <c r="CJ30" s="4" t="e">
        <f t="shared" ca="1" si="130"/>
        <v>#NAME?</v>
      </c>
      <c r="CK30" s="4" t="e">
        <f t="shared" ca="1" si="31"/>
        <v>#NAME?</v>
      </c>
      <c r="CL30" s="4" t="e">
        <f t="shared" ca="1" si="32"/>
        <v>#NAME?</v>
      </c>
      <c r="CM30" s="16"/>
      <c r="CN30" s="4">
        <f t="shared" si="33"/>
        <v>0</v>
      </c>
      <c r="CO30" s="4">
        <f t="shared" si="131"/>
        <v>0</v>
      </c>
      <c r="CP30" s="4">
        <f t="shared" ca="1" si="34"/>
        <v>640074.31841348077</v>
      </c>
      <c r="CQ30" s="4"/>
      <c r="CR30" s="4">
        <f t="shared" ca="1" si="35"/>
        <v>41656.457053378515</v>
      </c>
      <c r="CS30" s="4">
        <f t="shared" ca="1" si="36"/>
        <v>35910</v>
      </c>
      <c r="CT30" s="4">
        <f t="shared" ca="1" si="37"/>
        <v>28419.645760223098</v>
      </c>
      <c r="CU30" s="4"/>
      <c r="CV30" s="4">
        <f t="shared" ca="1" si="132"/>
        <v>41656.457053378515</v>
      </c>
      <c r="CW30" s="4">
        <f t="shared" ca="1" si="38"/>
        <v>0</v>
      </c>
      <c r="CX30" s="4">
        <f t="shared" ca="1" si="39"/>
        <v>0</v>
      </c>
      <c r="CY30" s="4">
        <f t="shared" ca="1" si="133"/>
        <v>41656.457053378515</v>
      </c>
      <c r="CZ30" s="4"/>
      <c r="DA30" s="4">
        <f t="shared" ca="1" si="40"/>
        <v>41656.457053378515</v>
      </c>
      <c r="DB30" s="4">
        <f t="shared" si="41"/>
        <v>9867.9325556330205</v>
      </c>
      <c r="DC30" s="4">
        <f t="shared" ca="1" si="134"/>
        <v>0</v>
      </c>
      <c r="DD30" s="4">
        <f t="shared" ca="1" si="42"/>
        <v>18551.71320459008</v>
      </c>
      <c r="DE30" s="4">
        <f t="shared" ca="1" si="43"/>
        <v>18551.71320459008</v>
      </c>
      <c r="DF30" s="4">
        <f t="shared" ca="1" si="135"/>
        <v>0</v>
      </c>
      <c r="DG30" s="4">
        <f t="shared" ca="1" si="136"/>
        <v>9275.8566022950399</v>
      </c>
      <c r="DH30" s="4">
        <f t="shared" ca="1" si="44"/>
        <v>9275.8566022950399</v>
      </c>
      <c r="DI30" s="4"/>
      <c r="DJ30" s="4">
        <f t="shared" ca="1" si="45"/>
        <v>23104.743848788436</v>
      </c>
      <c r="DK30" s="4">
        <f t="shared" ca="1" si="46"/>
        <v>9000</v>
      </c>
      <c r="DL30" s="4">
        <f t="shared" ca="1" si="47"/>
        <v>9000</v>
      </c>
      <c r="DM30" s="4">
        <f t="shared" ca="1" si="48"/>
        <v>9000</v>
      </c>
      <c r="DN30" s="4">
        <f t="shared" ca="1" si="49"/>
        <v>9000</v>
      </c>
      <c r="DO30" s="4">
        <f t="shared" ca="1" si="50"/>
        <v>0</v>
      </c>
      <c r="DP30" s="4"/>
      <c r="DQ30" s="4">
        <f t="shared" ca="1" si="51"/>
        <v>14104.743848788436</v>
      </c>
      <c r="DR30" s="4"/>
      <c r="DS30" s="4">
        <f t="shared" si="137"/>
        <v>0</v>
      </c>
      <c r="DT30" s="4">
        <f t="shared" si="52"/>
        <v>0</v>
      </c>
      <c r="DU30" s="4">
        <f t="shared" si="53"/>
        <v>0</v>
      </c>
      <c r="DV30" s="4"/>
      <c r="DW30" s="4">
        <f t="shared" ca="1" si="138"/>
        <v>272161.73956180841</v>
      </c>
      <c r="DX30" s="4">
        <f t="shared" ca="1" si="54"/>
        <v>9275.8566022950399</v>
      </c>
      <c r="DY30" s="4">
        <f t="shared" ca="1" si="139"/>
        <v>13608.086978090421</v>
      </c>
      <c r="DZ30" s="4">
        <f t="shared" ca="1" si="55"/>
        <v>0</v>
      </c>
      <c r="EA30" s="4">
        <f t="shared" ca="1" si="56"/>
        <v>0</v>
      </c>
      <c r="EB30" s="4">
        <f t="shared" ca="1" si="57"/>
        <v>285769.82653989882</v>
      </c>
      <c r="EC30" s="4">
        <f t="shared" si="58"/>
        <v>1</v>
      </c>
      <c r="ED30" s="4"/>
      <c r="EE30" s="4">
        <f t="shared" ca="1" si="140"/>
        <v>0</v>
      </c>
      <c r="EF30" s="4">
        <f t="shared" ca="1" si="59"/>
        <v>0</v>
      </c>
      <c r="EG30" s="4">
        <f t="shared" ca="1" si="141"/>
        <v>0</v>
      </c>
      <c r="EH30" s="4">
        <f t="shared" ca="1" si="60"/>
        <v>0</v>
      </c>
      <c r="EI30" s="4">
        <f t="shared" ca="1" si="61"/>
        <v>0</v>
      </c>
      <c r="EJ30" s="4">
        <f t="shared" ca="1" si="62"/>
        <v>0</v>
      </c>
      <c r="EK30" s="4">
        <f t="shared" si="63"/>
        <v>1</v>
      </c>
      <c r="EL30" s="4">
        <f t="shared" si="64"/>
        <v>0</v>
      </c>
      <c r="EM30" s="4"/>
      <c r="EN30" s="4">
        <f t="shared" ca="1" si="142"/>
        <v>262526.28929634136</v>
      </c>
      <c r="EO30" s="4">
        <f t="shared" ca="1" si="65"/>
        <v>9000</v>
      </c>
      <c r="EP30" s="4">
        <f t="shared" ca="1" si="143"/>
        <v>13126.314464817069</v>
      </c>
      <c r="EQ30" s="4">
        <f t="shared" ca="1" si="66"/>
        <v>0</v>
      </c>
      <c r="ER30" s="4">
        <v>0</v>
      </c>
      <c r="ES30" s="4">
        <f t="shared" ca="1" si="144"/>
        <v>275652.60376115842</v>
      </c>
      <c r="ET30" s="4"/>
      <c r="EU30" s="4">
        <f t="shared" ca="1" si="145"/>
        <v>105386.28955533098</v>
      </c>
      <c r="EV30" s="4">
        <f t="shared" ca="1" si="67"/>
        <v>14104.743848788436</v>
      </c>
      <c r="EW30" s="4">
        <f t="shared" ca="1" si="146"/>
        <v>5269.3144777665493</v>
      </c>
      <c r="EX30" s="4">
        <f t="shared" ca="1" si="68"/>
        <v>0</v>
      </c>
      <c r="EY30" s="4">
        <v>0</v>
      </c>
      <c r="EZ30" s="4">
        <f t="shared" ca="1" si="147"/>
        <v>110655.60403309752</v>
      </c>
      <c r="FA30" s="4">
        <f t="shared" ca="1" si="148"/>
        <v>7041.4092142506279</v>
      </c>
      <c r="FB30" s="1">
        <f t="shared" ca="1" si="69"/>
        <v>6.6815230367833336E-2</v>
      </c>
      <c r="FC30" s="4">
        <f t="shared" ca="1" si="149"/>
        <v>2107.7257911066199</v>
      </c>
      <c r="FD30" s="4">
        <f t="shared" ca="1" si="150"/>
        <v>2634.6572388832747</v>
      </c>
      <c r="FE30" s="4">
        <f t="shared" ca="1" si="70"/>
        <v>727.16539793178379</v>
      </c>
      <c r="FF30" s="4">
        <f t="shared" ca="1" si="71"/>
        <v>109.22024276935393</v>
      </c>
      <c r="FG30" s="4">
        <f t="shared" ca="1" si="72"/>
        <v>72.716539793178384</v>
      </c>
      <c r="FH30" s="17">
        <f t="shared" ca="1" si="73"/>
        <v>0</v>
      </c>
      <c r="FI30" s="4">
        <f t="shared" ca="1" si="74"/>
        <v>0</v>
      </c>
      <c r="FJ30" s="4"/>
      <c r="FK30" s="4">
        <f t="shared" ca="1" si="75"/>
        <v>672078.03433415468</v>
      </c>
      <c r="FL30" s="4"/>
      <c r="FM30" s="4">
        <v>0</v>
      </c>
      <c r="FN30" s="4">
        <f t="shared" si="76"/>
        <v>0</v>
      </c>
      <c r="FO30" s="4">
        <f t="shared" si="77"/>
        <v>0</v>
      </c>
      <c r="FP30" s="4">
        <f t="shared" si="78"/>
        <v>0</v>
      </c>
      <c r="FQ30" s="4">
        <f t="shared" si="79"/>
        <v>0</v>
      </c>
      <c r="FR30" s="4">
        <f t="shared" si="80"/>
        <v>0</v>
      </c>
      <c r="FS30" s="4">
        <f t="shared" si="81"/>
        <v>0</v>
      </c>
      <c r="FT30" s="4">
        <f t="shared" ca="1" si="82"/>
        <v>9275.8566022950399</v>
      </c>
      <c r="FU30" s="4"/>
      <c r="FV30" s="3">
        <f t="shared" si="83"/>
        <v>0.63415591769762136</v>
      </c>
      <c r="FW30" s="3">
        <f t="shared" si="84"/>
        <v>0.63415591769762136</v>
      </c>
      <c r="FX30" s="4">
        <f t="shared" si="151"/>
        <v>2040</v>
      </c>
      <c r="FY30" s="18">
        <f t="shared" si="85"/>
        <v>100.12492520953109</v>
      </c>
      <c r="FZ30" s="18">
        <f t="shared" si="86"/>
        <v>0</v>
      </c>
      <c r="GA30" s="18">
        <f t="shared" si="87"/>
        <v>0</v>
      </c>
      <c r="GB30" s="18">
        <f t="shared" si="88"/>
        <v>0</v>
      </c>
      <c r="GC30" s="18">
        <f t="shared" ca="1" si="89"/>
        <v>0</v>
      </c>
      <c r="GD30" s="18">
        <f t="shared" ca="1" si="90"/>
        <v>0</v>
      </c>
      <c r="GE30" s="18">
        <f t="shared" ca="1" si="91"/>
        <v>0</v>
      </c>
      <c r="GF30" s="18">
        <f t="shared" ca="1" si="92"/>
        <v>0</v>
      </c>
      <c r="GG30" s="18" t="e">
        <f t="shared" ca="1" si="93"/>
        <v>#NAME?</v>
      </c>
      <c r="GH30" s="18" t="e">
        <f t="shared" ca="1" si="94"/>
        <v>#NAME?</v>
      </c>
      <c r="GI30" s="4"/>
      <c r="GJ30" s="4">
        <f t="shared" si="95"/>
        <v>2040</v>
      </c>
      <c r="GK30" s="4">
        <f t="shared" ca="1" si="96"/>
        <v>172.59297771399963</v>
      </c>
      <c r="GL30" s="4">
        <f t="shared" ca="1" si="97"/>
        <v>0</v>
      </c>
      <c r="GM30" s="4">
        <f t="shared" ca="1" si="98"/>
        <v>166.48259990847259</v>
      </c>
      <c r="GN30" s="4">
        <f t="shared" ca="1" si="99"/>
        <v>66.831339165708172</v>
      </c>
      <c r="GO30" s="4"/>
      <c r="GP30" s="3">
        <f t="shared" ca="1" si="152"/>
        <v>0.42520334238124369</v>
      </c>
      <c r="GQ30" s="3">
        <f t="shared" ca="1" si="100"/>
        <v>0</v>
      </c>
      <c r="GR30" s="3">
        <f t="shared" ca="1" si="101"/>
        <v>0.16464695821033182</v>
      </c>
      <c r="GS30" s="3">
        <f t="shared" ca="1" si="102"/>
        <v>0.41014969940842461</v>
      </c>
      <c r="GT30" s="3">
        <f t="array" aca="1" ref="GT30" ca="1">SUM(GP30:GS30*$GU$6:$GX$6)</f>
        <v>1</v>
      </c>
      <c r="GU30" s="3">
        <f t="shared" ca="1" si="155"/>
        <v>0.42520334238124369</v>
      </c>
      <c r="GV30" s="3">
        <f t="shared" ca="1" si="156"/>
        <v>0</v>
      </c>
      <c r="GW30" s="3">
        <f t="shared" ca="1" si="157"/>
        <v>0.16464695821033182</v>
      </c>
      <c r="GX30" s="3">
        <f t="shared" ca="1" si="158"/>
        <v>0.41014969940842461</v>
      </c>
      <c r="GY30" s="11"/>
      <c r="GZ30" s="27">
        <v>72</v>
      </c>
      <c r="HA30" s="30">
        <v>5.3999999999999999E-2</v>
      </c>
      <c r="HB30" s="29">
        <f t="shared" ca="1" si="153"/>
        <v>0.09</v>
      </c>
      <c r="HC30" s="29">
        <v>0.09</v>
      </c>
      <c r="HD30" s="29">
        <v>8.5000000000000006E-2</v>
      </c>
      <c r="HE30" s="29">
        <v>6.9599999999999995E-2</v>
      </c>
      <c r="HG30" s="27">
        <v>70</v>
      </c>
      <c r="HH30" s="30">
        <v>0.05</v>
      </c>
      <c r="HJ30">
        <f t="shared" si="159"/>
        <v>2033</v>
      </c>
      <c r="HK30" s="28">
        <f t="shared" si="164"/>
        <v>31260</v>
      </c>
      <c r="HL30" s="27">
        <f t="shared" si="162"/>
        <v>7500</v>
      </c>
      <c r="HM30" s="28">
        <f t="shared" si="163"/>
        <v>7701.3278055583369</v>
      </c>
      <c r="HQ30" s="28">
        <v>45916</v>
      </c>
      <c r="HR30" s="27">
        <v>35851</v>
      </c>
      <c r="HS30" s="27">
        <v>31984</v>
      </c>
      <c r="HT30" s="27">
        <v>29590</v>
      </c>
      <c r="HU30" s="27">
        <v>41059</v>
      </c>
      <c r="HV30" s="27">
        <v>42705</v>
      </c>
      <c r="HW30" s="27">
        <v>42201</v>
      </c>
      <c r="HX30" s="27">
        <v>31465</v>
      </c>
      <c r="HY30" s="27">
        <v>45225</v>
      </c>
      <c r="HZ30" s="27">
        <v>126625</v>
      </c>
      <c r="IA30" s="27">
        <v>38898</v>
      </c>
      <c r="IB30" s="27">
        <v>45916</v>
      </c>
      <c r="IC30" s="27">
        <v>41585</v>
      </c>
      <c r="ID30" s="27">
        <v>43780</v>
      </c>
      <c r="IE30" s="28">
        <v>45916</v>
      </c>
      <c r="IF30" s="28">
        <v>45916</v>
      </c>
      <c r="IG30" s="28">
        <v>45916</v>
      </c>
    </row>
    <row r="31" spans="1:242" x14ac:dyDescent="0.25">
      <c r="A31" t="s">
        <v>483</v>
      </c>
      <c r="B31" s="63">
        <f>Inputs_Summary!AJ28</f>
        <v>0</v>
      </c>
      <c r="D31">
        <f t="shared" si="107"/>
        <v>2041</v>
      </c>
      <c r="E31">
        <f t="shared" si="108"/>
        <v>46</v>
      </c>
      <c r="F31" s="8"/>
      <c r="G31" s="8"/>
      <c r="H31" s="9"/>
      <c r="I31" s="8"/>
      <c r="J31" s="92"/>
      <c r="K31" s="91"/>
      <c r="L31" s="91"/>
      <c r="N31" s="93">
        <f t="shared" si="109"/>
        <v>0.05</v>
      </c>
      <c r="O31" s="23">
        <f t="shared" si="110"/>
        <v>0.4</v>
      </c>
      <c r="P31" s="23">
        <f t="shared" si="111"/>
        <v>0.1</v>
      </c>
      <c r="Q31" s="4">
        <f t="shared" si="0"/>
        <v>0</v>
      </c>
      <c r="R31" s="4">
        <f t="shared" si="112"/>
        <v>0</v>
      </c>
      <c r="S31" s="4">
        <f t="shared" si="113"/>
        <v>0</v>
      </c>
      <c r="T31" s="4">
        <f t="shared" ca="1" si="114"/>
        <v>0</v>
      </c>
      <c r="V31" s="18" t="e">
        <f t="shared" ca="1" si="1"/>
        <v>#NAME?</v>
      </c>
      <c r="W31" s="18" t="e">
        <f t="shared" ca="1" si="2"/>
        <v>#NAME?</v>
      </c>
      <c r="X31" s="18">
        <f t="shared" si="3"/>
        <v>0</v>
      </c>
      <c r="Y31" s="18">
        <f t="shared" ca="1" si="4"/>
        <v>11.880018699493624</v>
      </c>
      <c r="Z31" s="18">
        <f t="shared" ca="1" si="5"/>
        <v>0</v>
      </c>
      <c r="AA31" s="18">
        <f t="shared" ca="1" si="6"/>
        <v>5.5954933914496001</v>
      </c>
      <c r="AB31" s="18">
        <f t="shared" ca="1" si="7"/>
        <v>9.5726668186533654</v>
      </c>
      <c r="AC31" s="18">
        <f t="shared" ca="1" si="8"/>
        <v>183.43624113309758</v>
      </c>
      <c r="AD31" s="18">
        <f t="shared" ca="1" si="9"/>
        <v>0</v>
      </c>
      <c r="AE31" s="18">
        <f t="shared" ca="1" si="10"/>
        <v>176.97464035605375</v>
      </c>
      <c r="AF31" s="18">
        <f t="shared" ca="1" si="11"/>
        <v>77.566189120894009</v>
      </c>
      <c r="AG31" s="18">
        <f t="shared" ca="1" si="12"/>
        <v>437.97707061004536</v>
      </c>
      <c r="AI31">
        <f>Person2!E31</f>
        <v>46</v>
      </c>
      <c r="AJ31">
        <f>Person2!AZ31</f>
        <v>1</v>
      </c>
      <c r="AK31">
        <f>IF($AZ31&lt;&gt;3,Person2!FM31,0)</f>
        <v>0</v>
      </c>
      <c r="AL31" s="4">
        <f ca="1">IF($AZ31&lt;&gt;3,Person2!FN31+Person2!FT31,0)</f>
        <v>0</v>
      </c>
      <c r="AM31">
        <f>IF($AZ31&lt;&gt;3,Person2!FO31,0)</f>
        <v>0</v>
      </c>
      <c r="AN31">
        <f>IF($AZ31&lt;&gt;3,Person2!FP31,0)</f>
        <v>0</v>
      </c>
      <c r="AO31">
        <f>IF($AZ31&lt;&gt;3,Person2!FQ31,0)</f>
        <v>0</v>
      </c>
      <c r="AP31">
        <f>IF($AZ31&lt;&gt;3,Person2!FR31,0)</f>
        <v>0</v>
      </c>
      <c r="AQ31">
        <v>0</v>
      </c>
      <c r="AR31" s="4">
        <f>Person2!FS31</f>
        <v>0</v>
      </c>
      <c r="AS31" s="4">
        <v>0</v>
      </c>
      <c r="AT31" s="4">
        <v>0</v>
      </c>
      <c r="AV31">
        <f t="shared" si="161"/>
        <v>2041</v>
      </c>
      <c r="AW31">
        <f t="shared" si="116"/>
        <v>46</v>
      </c>
      <c r="AX31">
        <f t="shared" si="117"/>
        <v>1.6084372494752261</v>
      </c>
      <c r="AY31">
        <f t="shared" si="118"/>
        <v>0.62172148793884452</v>
      </c>
      <c r="AZ31">
        <f t="shared" si="119"/>
        <v>1</v>
      </c>
      <c r="BB31" s="4">
        <f t="shared" si="13"/>
        <v>162623.52851683216</v>
      </c>
      <c r="BC31">
        <f t="shared" si="14"/>
        <v>0</v>
      </c>
      <c r="BD31" s="4">
        <f t="shared" si="15"/>
        <v>0</v>
      </c>
      <c r="BE31" s="4">
        <f t="shared" si="120"/>
        <v>0</v>
      </c>
      <c r="BF31" s="4">
        <f t="shared" si="121"/>
        <v>0</v>
      </c>
      <c r="BG31" s="4">
        <f t="shared" si="122"/>
        <v>0</v>
      </c>
      <c r="BH31" s="4">
        <f t="shared" si="16"/>
        <v>0</v>
      </c>
      <c r="BI31" s="4">
        <f t="shared" si="123"/>
        <v>162623.52851683216</v>
      </c>
      <c r="BJ31" s="4"/>
      <c r="BK31" s="4">
        <f t="shared" si="17"/>
        <v>80421.862473761314</v>
      </c>
      <c r="BL31" s="4">
        <f t="shared" si="124"/>
        <v>0</v>
      </c>
      <c r="BM31" s="4">
        <f t="shared" si="125"/>
        <v>80421.862473761314</v>
      </c>
      <c r="BN31" s="4">
        <v>38696.367554405486</v>
      </c>
      <c r="BO31" s="4">
        <f t="shared" si="126"/>
        <v>119118.2300281668</v>
      </c>
      <c r="BP31" s="4">
        <f t="shared" si="127"/>
        <v>43505.298488665358</v>
      </c>
      <c r="BQ31" s="4"/>
      <c r="BR31" s="4">
        <v>0</v>
      </c>
      <c r="BS31" s="4">
        <f t="shared" ca="1" si="18"/>
        <v>19108.264600727776</v>
      </c>
      <c r="BT31" s="4">
        <f t="shared" ca="1" si="19"/>
        <v>9000</v>
      </c>
      <c r="BU31" s="4">
        <f t="shared" si="20"/>
        <v>0</v>
      </c>
      <c r="BV31" s="4">
        <f t="shared" si="21"/>
        <v>1</v>
      </c>
      <c r="BW31" s="4">
        <f t="shared" ca="1" si="22"/>
        <v>0</v>
      </c>
      <c r="BX31" s="4">
        <f t="shared" ca="1" si="23"/>
        <v>0</v>
      </c>
      <c r="BY31" s="4">
        <f t="shared" ca="1" si="24"/>
        <v>0</v>
      </c>
      <c r="BZ31" s="4">
        <f t="shared" ca="1" si="25"/>
        <v>0</v>
      </c>
      <c r="CA31" s="4">
        <f t="shared" ca="1" si="26"/>
        <v>0</v>
      </c>
      <c r="CB31" s="4">
        <f t="shared" ca="1" si="160"/>
        <v>0</v>
      </c>
      <c r="CC31" s="4"/>
      <c r="CD31" s="4">
        <f t="shared" ca="1" si="27"/>
        <v>162623.52851683216</v>
      </c>
      <c r="CE31" s="4">
        <f t="shared" ca="1" si="128"/>
        <v>142026.1267622434</v>
      </c>
      <c r="CF31" s="16">
        <f t="shared" si="28"/>
        <v>0</v>
      </c>
      <c r="CG31" s="4">
        <f t="shared" si="129"/>
        <v>5468.9922512931698</v>
      </c>
      <c r="CH31" s="4" t="e">
        <f t="shared" ca="1" si="29"/>
        <v>#NAME?</v>
      </c>
      <c r="CI31" s="4" t="e">
        <f t="shared" ca="1" si="30"/>
        <v>#NAME?</v>
      </c>
      <c r="CJ31" s="4" t="e">
        <f t="shared" ca="1" si="130"/>
        <v>#NAME?</v>
      </c>
      <c r="CK31" s="4" t="e">
        <f t="shared" ca="1" si="31"/>
        <v>#NAME?</v>
      </c>
      <c r="CL31" s="4" t="e">
        <f t="shared" ca="1" si="32"/>
        <v>#NAME?</v>
      </c>
      <c r="CM31" s="16"/>
      <c r="CN31" s="4">
        <f t="shared" si="33"/>
        <v>0</v>
      </c>
      <c r="CO31" s="4">
        <f t="shared" si="131"/>
        <v>0</v>
      </c>
      <c r="CP31" s="4">
        <f t="shared" ca="1" si="34"/>
        <v>704458.63478523819</v>
      </c>
      <c r="CQ31" s="4"/>
      <c r="CR31" s="4">
        <f t="shared" ca="1" si="35"/>
        <v>43505.298488665358</v>
      </c>
      <c r="CS31" s="4">
        <f t="shared" ca="1" si="36"/>
        <v>36630</v>
      </c>
      <c r="CT31" s="4">
        <f t="shared" ca="1" si="37"/>
        <v>29272.235133029786</v>
      </c>
      <c r="CU31" s="4"/>
      <c r="CV31" s="4">
        <f t="shared" ca="1" si="132"/>
        <v>43505.298488665358</v>
      </c>
      <c r="CW31" s="4">
        <f t="shared" ca="1" si="38"/>
        <v>0</v>
      </c>
      <c r="CX31" s="4">
        <f t="shared" ca="1" si="39"/>
        <v>0</v>
      </c>
      <c r="CY31" s="4">
        <f t="shared" ca="1" si="133"/>
        <v>43505.298488665358</v>
      </c>
      <c r="CZ31" s="4"/>
      <c r="DA31" s="4">
        <f t="shared" ca="1" si="40"/>
        <v>43505.298488665358</v>
      </c>
      <c r="DB31" s="4">
        <f t="shared" si="41"/>
        <v>10163.97053230201</v>
      </c>
      <c r="DC31" s="4">
        <f t="shared" ca="1" si="134"/>
        <v>0</v>
      </c>
      <c r="DD31" s="4">
        <f t="shared" ca="1" si="42"/>
        <v>19108.264600727776</v>
      </c>
      <c r="DE31" s="4">
        <f t="shared" ca="1" si="43"/>
        <v>19108.264600727776</v>
      </c>
      <c r="DF31" s="4">
        <f t="shared" ca="1" si="135"/>
        <v>0</v>
      </c>
      <c r="DG31" s="4">
        <f t="shared" ca="1" si="136"/>
        <v>9554.1323003638881</v>
      </c>
      <c r="DH31" s="4">
        <f t="shared" ca="1" si="44"/>
        <v>9554.1323003638881</v>
      </c>
      <c r="DI31" s="4"/>
      <c r="DJ31" s="4">
        <f t="shared" ca="1" si="45"/>
        <v>24397.033887937581</v>
      </c>
      <c r="DK31" s="4">
        <f t="shared" ca="1" si="46"/>
        <v>9000</v>
      </c>
      <c r="DL31" s="4">
        <f t="shared" ca="1" si="47"/>
        <v>9000</v>
      </c>
      <c r="DM31" s="4">
        <f t="shared" ca="1" si="48"/>
        <v>9000</v>
      </c>
      <c r="DN31" s="4">
        <f t="shared" ca="1" si="49"/>
        <v>9000</v>
      </c>
      <c r="DO31" s="4">
        <f t="shared" ca="1" si="50"/>
        <v>0</v>
      </c>
      <c r="DP31" s="4"/>
      <c r="DQ31" s="4">
        <f t="shared" ca="1" si="51"/>
        <v>15397.033887937581</v>
      </c>
      <c r="DR31" s="4"/>
      <c r="DS31" s="4">
        <f t="shared" si="137"/>
        <v>0</v>
      </c>
      <c r="DT31" s="4">
        <f t="shared" si="52"/>
        <v>0</v>
      </c>
      <c r="DU31" s="4">
        <f t="shared" si="53"/>
        <v>0</v>
      </c>
      <c r="DV31" s="4"/>
      <c r="DW31" s="4">
        <f t="shared" ca="1" si="138"/>
        <v>295045.68314219383</v>
      </c>
      <c r="DX31" s="4">
        <f t="shared" ca="1" si="54"/>
        <v>9554.1323003638881</v>
      </c>
      <c r="DY31" s="4">
        <f t="shared" ca="1" si="139"/>
        <v>14752.284157109692</v>
      </c>
      <c r="DZ31" s="4">
        <f t="shared" ca="1" si="55"/>
        <v>0</v>
      </c>
      <c r="EA31" s="4">
        <f t="shared" ca="1" si="56"/>
        <v>0</v>
      </c>
      <c r="EB31" s="4">
        <f t="shared" ca="1" si="57"/>
        <v>309797.96729930351</v>
      </c>
      <c r="EC31" s="4">
        <f t="shared" si="58"/>
        <v>1</v>
      </c>
      <c r="ED31" s="4"/>
      <c r="EE31" s="4">
        <f t="shared" ca="1" si="140"/>
        <v>0</v>
      </c>
      <c r="EF31" s="4">
        <f t="shared" ca="1" si="59"/>
        <v>0</v>
      </c>
      <c r="EG31" s="4">
        <f t="shared" ca="1" si="141"/>
        <v>0</v>
      </c>
      <c r="EH31" s="4">
        <f t="shared" ca="1" si="60"/>
        <v>0</v>
      </c>
      <c r="EI31" s="4">
        <f t="shared" ca="1" si="61"/>
        <v>0</v>
      </c>
      <c r="EJ31" s="4">
        <f t="shared" ca="1" si="62"/>
        <v>0</v>
      </c>
      <c r="EK31" s="4">
        <f t="shared" si="63"/>
        <v>1</v>
      </c>
      <c r="EL31" s="4">
        <f t="shared" si="64"/>
        <v>0</v>
      </c>
      <c r="EM31" s="4"/>
      <c r="EN31" s="4">
        <f t="shared" ca="1" si="142"/>
        <v>284652.60376115842</v>
      </c>
      <c r="EO31" s="4">
        <f t="shared" ca="1" si="65"/>
        <v>9000</v>
      </c>
      <c r="EP31" s="4">
        <f t="shared" ca="1" si="143"/>
        <v>14232.630188057921</v>
      </c>
      <c r="EQ31" s="4">
        <f t="shared" ca="1" si="66"/>
        <v>0</v>
      </c>
      <c r="ER31" s="4">
        <v>0</v>
      </c>
      <c r="ES31" s="4">
        <f t="shared" ca="1" si="144"/>
        <v>298885.23394921632</v>
      </c>
      <c r="ET31" s="4"/>
      <c r="EU31" s="4">
        <f t="shared" ca="1" si="145"/>
        <v>124760.34788188596</v>
      </c>
      <c r="EV31" s="4">
        <f t="shared" ca="1" si="67"/>
        <v>15397.033887937581</v>
      </c>
      <c r="EW31" s="4">
        <f t="shared" ca="1" si="146"/>
        <v>6238.0173940942987</v>
      </c>
      <c r="EX31" s="4">
        <f t="shared" ca="1" si="68"/>
        <v>0</v>
      </c>
      <c r="EY31" s="4">
        <v>0</v>
      </c>
      <c r="EZ31" s="4">
        <f t="shared" ca="1" si="147"/>
        <v>130998.36527598026</v>
      </c>
      <c r="FA31" s="4">
        <f t="shared" ca="1" si="148"/>
        <v>9149.1350053572478</v>
      </c>
      <c r="FB31" s="1">
        <f t="shared" ca="1" si="69"/>
        <v>7.3333676610287946E-2</v>
      </c>
      <c r="FC31" s="4">
        <f t="shared" ca="1" si="149"/>
        <v>2495.2069576377198</v>
      </c>
      <c r="FD31" s="4">
        <f t="shared" ca="1" si="150"/>
        <v>3119.0086970471493</v>
      </c>
      <c r="FE31" s="4">
        <f t="shared" ca="1" si="70"/>
        <v>860.84640038501323</v>
      </c>
      <c r="FF31" s="4">
        <f t="shared" ca="1" si="71"/>
        <v>129.29912933782899</v>
      </c>
      <c r="FG31" s="4">
        <f t="shared" ca="1" si="72"/>
        <v>86.084640038501334</v>
      </c>
      <c r="FH31" s="17">
        <f t="shared" ca="1" si="73"/>
        <v>0</v>
      </c>
      <c r="FI31" s="4">
        <f t="shared" ca="1" si="74"/>
        <v>0</v>
      </c>
      <c r="FJ31" s="4"/>
      <c r="FK31" s="4">
        <f t="shared" ca="1" si="75"/>
        <v>739681.56652450003</v>
      </c>
      <c r="FL31" s="4"/>
      <c r="FM31" s="4">
        <v>0</v>
      </c>
      <c r="FN31" s="4">
        <f t="shared" si="76"/>
        <v>0</v>
      </c>
      <c r="FO31" s="4">
        <f t="shared" si="77"/>
        <v>0</v>
      </c>
      <c r="FP31" s="4">
        <f t="shared" si="78"/>
        <v>0</v>
      </c>
      <c r="FQ31" s="4">
        <f t="shared" si="79"/>
        <v>0</v>
      </c>
      <c r="FR31" s="4">
        <f t="shared" si="80"/>
        <v>0</v>
      </c>
      <c r="FS31" s="4">
        <f t="shared" si="81"/>
        <v>0</v>
      </c>
      <c r="FT31" s="4">
        <f t="shared" ca="1" si="82"/>
        <v>9554.1323003638881</v>
      </c>
      <c r="FU31" s="4"/>
      <c r="FV31" s="3">
        <f t="shared" si="83"/>
        <v>0.62172148793884452</v>
      </c>
      <c r="FW31" s="3">
        <f t="shared" si="84"/>
        <v>0.62172148793884452</v>
      </c>
      <c r="FX31" s="4">
        <f t="shared" si="151"/>
        <v>2041</v>
      </c>
      <c r="FY31" s="18">
        <f t="shared" si="85"/>
        <v>101.10654212335</v>
      </c>
      <c r="FZ31" s="18">
        <f t="shared" si="86"/>
        <v>0</v>
      </c>
      <c r="GA31" s="18">
        <f t="shared" si="87"/>
        <v>0</v>
      </c>
      <c r="GB31" s="18">
        <f t="shared" si="88"/>
        <v>0</v>
      </c>
      <c r="GC31" s="18">
        <f t="shared" ca="1" si="89"/>
        <v>0</v>
      </c>
      <c r="GD31" s="18">
        <f t="shared" ca="1" si="90"/>
        <v>0</v>
      </c>
      <c r="GE31" s="18">
        <f t="shared" ca="1" si="91"/>
        <v>0</v>
      </c>
      <c r="GF31" s="18">
        <f t="shared" ca="1" si="92"/>
        <v>0</v>
      </c>
      <c r="GG31" s="18" t="e">
        <f t="shared" ca="1" si="93"/>
        <v>#NAME?</v>
      </c>
      <c r="GH31" s="18" t="e">
        <f t="shared" ca="1" si="94"/>
        <v>#NAME?</v>
      </c>
      <c r="GI31" s="4"/>
      <c r="GJ31" s="4">
        <f t="shared" si="95"/>
        <v>2041</v>
      </c>
      <c r="GK31" s="4">
        <f t="shared" ca="1" si="96"/>
        <v>183.43624113309758</v>
      </c>
      <c r="GL31" s="4">
        <f t="shared" ca="1" si="97"/>
        <v>0</v>
      </c>
      <c r="GM31" s="4">
        <f t="shared" ca="1" si="98"/>
        <v>176.97464035605375</v>
      </c>
      <c r="GN31" s="4">
        <f t="shared" ca="1" si="99"/>
        <v>77.566189120894009</v>
      </c>
      <c r="GO31" s="4"/>
      <c r="GP31" s="3">
        <f t="shared" ca="1" si="152"/>
        <v>0.41882612913409983</v>
      </c>
      <c r="GQ31" s="3">
        <f t="shared" ca="1" si="100"/>
        <v>0</v>
      </c>
      <c r="GR31" s="3">
        <f t="shared" ca="1" si="101"/>
        <v>0.1771010272589256</v>
      </c>
      <c r="GS31" s="3">
        <f t="shared" ca="1" si="102"/>
        <v>0.40407284360697465</v>
      </c>
      <c r="GT31" s="3">
        <f t="array" aca="1" ref="GT31" ca="1">SUM(GP31:GS31*$GU$6:$GX$6)</f>
        <v>1</v>
      </c>
      <c r="GU31" s="3">
        <f t="shared" ca="1" si="155"/>
        <v>0.41882612913409983</v>
      </c>
      <c r="GV31" s="3">
        <f t="shared" ca="1" si="156"/>
        <v>0</v>
      </c>
      <c r="GW31" s="3">
        <f t="shared" ca="1" si="157"/>
        <v>0.1771010272589256</v>
      </c>
      <c r="GX31" s="3">
        <f t="shared" ca="1" si="158"/>
        <v>0.40407284360697465</v>
      </c>
      <c r="GY31" s="11"/>
      <c r="GZ31" s="27">
        <v>73</v>
      </c>
      <c r="HA31" s="30">
        <v>5.5300000000000002E-2</v>
      </c>
      <c r="HB31" s="29">
        <f t="shared" ca="1" si="153"/>
        <v>9.3399999999999997E-2</v>
      </c>
      <c r="HC31" s="29">
        <v>9.3399999999999997E-2</v>
      </c>
      <c r="HD31" s="29">
        <v>8.7999999999999995E-2</v>
      </c>
      <c r="HE31" s="29">
        <v>7.3099999999999998E-2</v>
      </c>
      <c r="HG31" s="27">
        <v>71</v>
      </c>
      <c r="HH31" s="30">
        <v>5.28E-2</v>
      </c>
      <c r="HJ31">
        <f t="shared" si="159"/>
        <v>2034</v>
      </c>
      <c r="HK31" s="28">
        <f t="shared" si="164"/>
        <v>31890</v>
      </c>
      <c r="HL31" s="27">
        <f t="shared" si="162"/>
        <v>8000</v>
      </c>
      <c r="HM31" s="28">
        <f t="shared" si="163"/>
        <v>7855.3543616695033</v>
      </c>
      <c r="HQ31" s="28">
        <v>91831</v>
      </c>
      <c r="HR31" s="27">
        <v>71701</v>
      </c>
      <c r="HS31" s="27">
        <f>HS30+31985</f>
        <v>63969</v>
      </c>
      <c r="HT31" s="27">
        <f>HT30+29590</f>
        <v>59180</v>
      </c>
      <c r="HU31" s="27">
        <v>82119</v>
      </c>
      <c r="HV31" s="27">
        <v>85405</v>
      </c>
      <c r="HW31" s="27">
        <v>84404</v>
      </c>
      <c r="HX31" s="27">
        <v>68005</v>
      </c>
      <c r="HY31" s="27">
        <v>129214</v>
      </c>
      <c r="HZ31" s="27">
        <v>151950</v>
      </c>
      <c r="IA31" s="27">
        <v>77797</v>
      </c>
      <c r="IB31" s="27">
        <v>91831</v>
      </c>
      <c r="IC31" s="27">
        <v>83172</v>
      </c>
      <c r="ID31" s="27">
        <v>87560</v>
      </c>
      <c r="IE31" s="28">
        <v>91831</v>
      </c>
      <c r="IF31" s="28">
        <v>91831</v>
      </c>
      <c r="IG31" s="28">
        <v>91831</v>
      </c>
    </row>
    <row r="32" spans="1:242" x14ac:dyDescent="0.25">
      <c r="A32" t="s">
        <v>321</v>
      </c>
      <c r="B32" s="45" t="s">
        <v>334</v>
      </c>
      <c r="D32">
        <f t="shared" si="107"/>
        <v>2042</v>
      </c>
      <c r="E32">
        <f t="shared" si="108"/>
        <v>47</v>
      </c>
      <c r="F32" s="8"/>
      <c r="G32" s="8"/>
      <c r="H32" s="9"/>
      <c r="I32" s="8"/>
      <c r="J32" s="92"/>
      <c r="K32" s="91"/>
      <c r="L32" s="91"/>
      <c r="N32" s="93">
        <f t="shared" si="109"/>
        <v>0.05</v>
      </c>
      <c r="O32" s="23">
        <f t="shared" si="110"/>
        <v>0.4</v>
      </c>
      <c r="P32" s="23">
        <f t="shared" si="111"/>
        <v>0.1</v>
      </c>
      <c r="Q32" s="4">
        <f t="shared" si="0"/>
        <v>0</v>
      </c>
      <c r="R32" s="4">
        <f t="shared" si="112"/>
        <v>0</v>
      </c>
      <c r="S32" s="4">
        <f t="shared" si="113"/>
        <v>0</v>
      </c>
      <c r="T32" s="4">
        <f t="shared" ca="1" si="114"/>
        <v>0</v>
      </c>
      <c r="V32" s="18" t="e">
        <f t="shared" ca="1" si="1"/>
        <v>#NAME?</v>
      </c>
      <c r="W32" s="18" t="e">
        <f t="shared" ca="1" si="2"/>
        <v>#NAME?</v>
      </c>
      <c r="X32" s="18">
        <f t="shared" si="3"/>
        <v>0</v>
      </c>
      <c r="Y32" s="18">
        <f t="shared" ca="1" si="4"/>
        <v>11.996489471057286</v>
      </c>
      <c r="Z32" s="18">
        <f t="shared" ca="1" si="5"/>
        <v>0</v>
      </c>
      <c r="AA32" s="18">
        <f t="shared" ca="1" si="6"/>
        <v>5.4857778347545096</v>
      </c>
      <c r="AB32" s="18">
        <f t="shared" ca="1" si="7"/>
        <v>10.196980405683544</v>
      </c>
      <c r="AC32" s="18">
        <f t="shared" ca="1" si="8"/>
        <v>194.65496327401894</v>
      </c>
      <c r="AD32" s="18">
        <f t="shared" ca="1" si="9"/>
        <v>0</v>
      </c>
      <c r="AE32" s="18">
        <f t="shared" ca="1" si="10"/>
        <v>187.66555467186862</v>
      </c>
      <c r="AF32" s="18">
        <f t="shared" ca="1" si="11"/>
        <v>89.232515093717723</v>
      </c>
      <c r="AG32" s="18">
        <f t="shared" ca="1" si="12"/>
        <v>471.55303303960522</v>
      </c>
      <c r="AI32">
        <f>Person2!E32</f>
        <v>47</v>
      </c>
      <c r="AJ32">
        <f>Person2!AZ32</f>
        <v>1</v>
      </c>
      <c r="AK32">
        <f>IF($AZ32&lt;&gt;3,Person2!FM32,0)</f>
        <v>0</v>
      </c>
      <c r="AL32" s="4">
        <f ca="1">IF($AZ32&lt;&gt;3,Person2!FN32+Person2!FT32,0)</f>
        <v>0</v>
      </c>
      <c r="AM32">
        <f>IF($AZ32&lt;&gt;3,Person2!FO32,0)</f>
        <v>0</v>
      </c>
      <c r="AN32">
        <f>IF($AZ32&lt;&gt;3,Person2!FP32,0)</f>
        <v>0</v>
      </c>
      <c r="AO32">
        <f>IF($AZ32&lt;&gt;3,Person2!FQ32,0)</f>
        <v>0</v>
      </c>
      <c r="AP32">
        <f>IF($AZ32&lt;&gt;3,Person2!FR32,0)</f>
        <v>0</v>
      </c>
      <c r="AQ32">
        <v>0</v>
      </c>
      <c r="AR32" s="4">
        <f>Person2!FS32</f>
        <v>0</v>
      </c>
      <c r="AS32" s="4">
        <v>0</v>
      </c>
      <c r="AT32" s="4">
        <v>0</v>
      </c>
      <c r="AV32">
        <f t="shared" si="161"/>
        <v>2042</v>
      </c>
      <c r="AW32">
        <f t="shared" si="116"/>
        <v>47</v>
      </c>
      <c r="AX32">
        <f t="shared" si="117"/>
        <v>1.6406059944647307</v>
      </c>
      <c r="AY32">
        <f t="shared" si="118"/>
        <v>0.60953087052827892</v>
      </c>
      <c r="AZ32">
        <f t="shared" si="119"/>
        <v>1</v>
      </c>
      <c r="BB32" s="4">
        <f t="shared" si="13"/>
        <v>167502.23437233712</v>
      </c>
      <c r="BC32">
        <f t="shared" si="14"/>
        <v>0</v>
      </c>
      <c r="BD32" s="4">
        <f t="shared" si="15"/>
        <v>0</v>
      </c>
      <c r="BE32" s="4">
        <f t="shared" si="120"/>
        <v>0</v>
      </c>
      <c r="BF32" s="4">
        <f t="shared" si="121"/>
        <v>0</v>
      </c>
      <c r="BG32" s="4">
        <f t="shared" si="122"/>
        <v>0</v>
      </c>
      <c r="BH32" s="4">
        <f t="shared" si="16"/>
        <v>0</v>
      </c>
      <c r="BI32" s="4">
        <f t="shared" si="123"/>
        <v>167502.23437233712</v>
      </c>
      <c r="BJ32" s="4"/>
      <c r="BK32" s="4">
        <f t="shared" si="17"/>
        <v>82030.299723236531</v>
      </c>
      <c r="BL32" s="4">
        <f t="shared" si="124"/>
        <v>0</v>
      </c>
      <c r="BM32" s="4">
        <f t="shared" si="125"/>
        <v>82030.299723236531</v>
      </c>
      <c r="BN32" s="4">
        <v>40061.194931347156</v>
      </c>
      <c r="BO32" s="4">
        <f t="shared" si="126"/>
        <v>122091.49465458369</v>
      </c>
      <c r="BP32" s="4">
        <f t="shared" si="127"/>
        <v>45410.739717753429</v>
      </c>
      <c r="BQ32" s="4"/>
      <c r="BR32" s="4">
        <v>0</v>
      </c>
      <c r="BS32" s="4">
        <f t="shared" ca="1" si="18"/>
        <v>19681.512538749608</v>
      </c>
      <c r="BT32" s="4">
        <f t="shared" ca="1" si="19"/>
        <v>9000</v>
      </c>
      <c r="BU32" s="4">
        <f t="shared" si="20"/>
        <v>0</v>
      </c>
      <c r="BV32" s="4">
        <f t="shared" si="21"/>
        <v>1</v>
      </c>
      <c r="BW32" s="4">
        <f t="shared" ca="1" si="22"/>
        <v>0</v>
      </c>
      <c r="BX32" s="4">
        <f t="shared" ca="1" si="23"/>
        <v>0</v>
      </c>
      <c r="BY32" s="4">
        <f t="shared" ca="1" si="24"/>
        <v>0</v>
      </c>
      <c r="BZ32" s="4">
        <f t="shared" ca="1" si="25"/>
        <v>0</v>
      </c>
      <c r="CA32" s="4">
        <f t="shared" ca="1" si="26"/>
        <v>0</v>
      </c>
      <c r="CB32" s="4">
        <f t="shared" ca="1" si="160"/>
        <v>0</v>
      </c>
      <c r="CC32" s="4"/>
      <c r="CD32" s="4">
        <f t="shared" ca="1" si="27"/>
        <v>167502.23437233712</v>
      </c>
      <c r="CE32" s="4">
        <f t="shared" ca="1" si="128"/>
        <v>146912.36297059746</v>
      </c>
      <c r="CF32" s="16">
        <f t="shared" si="28"/>
        <v>0</v>
      </c>
      <c r="CG32" s="4">
        <f t="shared" si="129"/>
        <v>5578.3720963190326</v>
      </c>
      <c r="CH32" s="4" t="e">
        <f t="shared" ca="1" si="29"/>
        <v>#NAME?</v>
      </c>
      <c r="CI32" s="4" t="e">
        <f t="shared" ca="1" si="30"/>
        <v>#NAME?</v>
      </c>
      <c r="CJ32" s="4" t="e">
        <f t="shared" ca="1" si="130"/>
        <v>#NAME?</v>
      </c>
      <c r="CK32" s="4" t="e">
        <f t="shared" ca="1" si="31"/>
        <v>#NAME?</v>
      </c>
      <c r="CL32" s="4" t="e">
        <f t="shared" ca="1" si="32"/>
        <v>#NAME?</v>
      </c>
      <c r="CM32" s="16"/>
      <c r="CN32" s="4">
        <f t="shared" si="33"/>
        <v>0</v>
      </c>
      <c r="CO32" s="4">
        <f t="shared" si="131"/>
        <v>0</v>
      </c>
      <c r="CP32" s="4">
        <f t="shared" ca="1" si="34"/>
        <v>773632.73271280155</v>
      </c>
      <c r="CQ32" s="4"/>
      <c r="CR32" s="4">
        <f t="shared" ca="1" si="35"/>
        <v>45410.739717753429</v>
      </c>
      <c r="CS32" s="4">
        <f t="shared" ca="1" si="36"/>
        <v>37360</v>
      </c>
      <c r="CT32" s="4">
        <f t="shared" ca="1" si="37"/>
        <v>30150.402187020678</v>
      </c>
      <c r="CU32" s="4"/>
      <c r="CV32" s="4">
        <f t="shared" ca="1" si="132"/>
        <v>45410.739717753429</v>
      </c>
      <c r="CW32" s="4">
        <f t="shared" ca="1" si="38"/>
        <v>0</v>
      </c>
      <c r="CX32" s="4">
        <f t="shared" ca="1" si="39"/>
        <v>0</v>
      </c>
      <c r="CY32" s="4">
        <f t="shared" ca="1" si="133"/>
        <v>45410.739717753429</v>
      </c>
      <c r="CZ32" s="4"/>
      <c r="DA32" s="4">
        <f t="shared" ca="1" si="40"/>
        <v>45410.739717753429</v>
      </c>
      <c r="DB32" s="4">
        <f t="shared" si="41"/>
        <v>10468.88964827107</v>
      </c>
      <c r="DC32" s="4">
        <f t="shared" ca="1" si="134"/>
        <v>0</v>
      </c>
      <c r="DD32" s="4">
        <f t="shared" ca="1" si="42"/>
        <v>19681.512538749608</v>
      </c>
      <c r="DE32" s="4">
        <f t="shared" ca="1" si="43"/>
        <v>19681.512538749608</v>
      </c>
      <c r="DF32" s="4">
        <f t="shared" ca="1" si="135"/>
        <v>0</v>
      </c>
      <c r="DG32" s="4">
        <f t="shared" ca="1" si="136"/>
        <v>9840.7562693748041</v>
      </c>
      <c r="DH32" s="4">
        <f t="shared" ca="1" si="44"/>
        <v>9840.7562693748041</v>
      </c>
      <c r="DI32" s="4"/>
      <c r="DJ32" s="4">
        <f t="shared" ca="1" si="45"/>
        <v>25729.227179003821</v>
      </c>
      <c r="DK32" s="4">
        <f t="shared" ca="1" si="46"/>
        <v>9000</v>
      </c>
      <c r="DL32" s="4">
        <f t="shared" ca="1" si="47"/>
        <v>9000</v>
      </c>
      <c r="DM32" s="4">
        <f t="shared" ca="1" si="48"/>
        <v>9000</v>
      </c>
      <c r="DN32" s="4">
        <f t="shared" ca="1" si="49"/>
        <v>9000</v>
      </c>
      <c r="DO32" s="4">
        <f t="shared" ca="1" si="50"/>
        <v>0</v>
      </c>
      <c r="DP32" s="4"/>
      <c r="DQ32" s="4">
        <f t="shared" ca="1" si="51"/>
        <v>16729.227179003821</v>
      </c>
      <c r="DR32" s="4"/>
      <c r="DS32" s="4">
        <f t="shared" si="137"/>
        <v>0</v>
      </c>
      <c r="DT32" s="4">
        <f t="shared" si="52"/>
        <v>0</v>
      </c>
      <c r="DU32" s="4">
        <f t="shared" si="53"/>
        <v>0</v>
      </c>
      <c r="DV32" s="4"/>
      <c r="DW32" s="4">
        <f t="shared" ca="1" si="138"/>
        <v>319352.09959966742</v>
      </c>
      <c r="DX32" s="4">
        <f t="shared" ca="1" si="54"/>
        <v>9840.7562693748041</v>
      </c>
      <c r="DY32" s="4">
        <f t="shared" ca="1" si="139"/>
        <v>15967.604979983371</v>
      </c>
      <c r="DZ32" s="4">
        <f t="shared" ca="1" si="55"/>
        <v>0</v>
      </c>
      <c r="EA32" s="4">
        <f t="shared" ca="1" si="56"/>
        <v>0</v>
      </c>
      <c r="EB32" s="4">
        <f t="shared" ca="1" si="57"/>
        <v>335319.70457965077</v>
      </c>
      <c r="EC32" s="4">
        <f t="shared" si="58"/>
        <v>1</v>
      </c>
      <c r="ED32" s="4"/>
      <c r="EE32" s="4">
        <f t="shared" ca="1" si="140"/>
        <v>0</v>
      </c>
      <c r="EF32" s="4">
        <f t="shared" ca="1" si="59"/>
        <v>0</v>
      </c>
      <c r="EG32" s="4">
        <f t="shared" ca="1" si="141"/>
        <v>0</v>
      </c>
      <c r="EH32" s="4">
        <f t="shared" ca="1" si="60"/>
        <v>0</v>
      </c>
      <c r="EI32" s="4">
        <f t="shared" ca="1" si="61"/>
        <v>0</v>
      </c>
      <c r="EJ32" s="4">
        <f t="shared" ca="1" si="62"/>
        <v>0</v>
      </c>
      <c r="EK32" s="4">
        <f t="shared" si="63"/>
        <v>1</v>
      </c>
      <c r="EL32" s="4">
        <f t="shared" si="64"/>
        <v>0</v>
      </c>
      <c r="EM32" s="4"/>
      <c r="EN32" s="4">
        <f t="shared" ca="1" si="142"/>
        <v>307885.23394921632</v>
      </c>
      <c r="EO32" s="4">
        <f t="shared" ca="1" si="65"/>
        <v>9000</v>
      </c>
      <c r="EP32" s="4">
        <f t="shared" ca="1" si="143"/>
        <v>15394.261697460817</v>
      </c>
      <c r="EQ32" s="4">
        <f t="shared" ca="1" si="66"/>
        <v>0</v>
      </c>
      <c r="ER32" s="4">
        <v>0</v>
      </c>
      <c r="ES32" s="4">
        <f t="shared" ca="1" si="144"/>
        <v>323279.49564667715</v>
      </c>
      <c r="ET32" s="4"/>
      <c r="EU32" s="4">
        <f t="shared" ca="1" si="145"/>
        <v>146395.39916391784</v>
      </c>
      <c r="EV32" s="4">
        <f t="shared" ca="1" si="67"/>
        <v>16729.227179003821</v>
      </c>
      <c r="EW32" s="4">
        <f t="shared" ca="1" si="146"/>
        <v>7319.7699581958923</v>
      </c>
      <c r="EX32" s="4">
        <f t="shared" ca="1" si="68"/>
        <v>0</v>
      </c>
      <c r="EY32" s="4">
        <v>0</v>
      </c>
      <c r="EZ32" s="4">
        <f t="shared" ca="1" si="147"/>
        <v>153715.16912211373</v>
      </c>
      <c r="FA32" s="4">
        <f t="shared" ca="1" si="148"/>
        <v>11644.341962994968</v>
      </c>
      <c r="FB32" s="1">
        <f t="shared" ca="1" si="69"/>
        <v>7.9540354611533137E-2</v>
      </c>
      <c r="FC32" s="4">
        <f t="shared" ca="1" si="149"/>
        <v>2927.9079832783573</v>
      </c>
      <c r="FD32" s="4">
        <f t="shared" ca="1" si="150"/>
        <v>3659.8849790979461</v>
      </c>
      <c r="FE32" s="4">
        <f t="shared" ca="1" si="70"/>
        <v>1010.1282542310332</v>
      </c>
      <c r="FF32" s="4">
        <f t="shared" ca="1" si="71"/>
        <v>151.72126378550118</v>
      </c>
      <c r="FG32" s="4">
        <f t="shared" ca="1" si="72"/>
        <v>101.01282542310332</v>
      </c>
      <c r="FH32" s="17">
        <f t="shared" ca="1" si="73"/>
        <v>0</v>
      </c>
      <c r="FI32" s="4">
        <f t="shared" ca="1" si="74"/>
        <v>0</v>
      </c>
      <c r="FJ32" s="4"/>
      <c r="FK32" s="4">
        <f t="shared" ca="1" si="75"/>
        <v>812314.3693484416</v>
      </c>
      <c r="FL32" s="4"/>
      <c r="FM32" s="4">
        <v>0</v>
      </c>
      <c r="FN32" s="4">
        <f t="shared" si="76"/>
        <v>0</v>
      </c>
      <c r="FO32" s="4">
        <f t="shared" si="77"/>
        <v>0</v>
      </c>
      <c r="FP32" s="4">
        <f t="shared" si="78"/>
        <v>0</v>
      </c>
      <c r="FQ32" s="4">
        <f t="shared" si="79"/>
        <v>0</v>
      </c>
      <c r="FR32" s="4">
        <f t="shared" si="80"/>
        <v>0</v>
      </c>
      <c r="FS32" s="4">
        <f t="shared" si="81"/>
        <v>0</v>
      </c>
      <c r="FT32" s="4">
        <f t="shared" ca="1" si="82"/>
        <v>9840.7562693748041</v>
      </c>
      <c r="FU32" s="4"/>
      <c r="FV32" s="3">
        <f t="shared" si="83"/>
        <v>0.60953087052827892</v>
      </c>
      <c r="FW32" s="3">
        <f t="shared" si="84"/>
        <v>0.60953087052827892</v>
      </c>
      <c r="FX32" s="4">
        <f t="shared" si="151"/>
        <v>2042</v>
      </c>
      <c r="FY32" s="18">
        <f t="shared" si="85"/>
        <v>102.09778273240244</v>
      </c>
      <c r="FZ32" s="18">
        <f t="shared" si="86"/>
        <v>0</v>
      </c>
      <c r="GA32" s="18">
        <f t="shared" si="87"/>
        <v>0</v>
      </c>
      <c r="GB32" s="18">
        <f t="shared" si="88"/>
        <v>0</v>
      </c>
      <c r="GC32" s="18">
        <f t="shared" ca="1" si="89"/>
        <v>0</v>
      </c>
      <c r="GD32" s="18">
        <f t="shared" ca="1" si="90"/>
        <v>0</v>
      </c>
      <c r="GE32" s="18">
        <f t="shared" ca="1" si="91"/>
        <v>0</v>
      </c>
      <c r="GF32" s="18">
        <f t="shared" ca="1" si="92"/>
        <v>0</v>
      </c>
      <c r="GG32" s="18" t="e">
        <f t="shared" ca="1" si="93"/>
        <v>#NAME?</v>
      </c>
      <c r="GH32" s="18" t="e">
        <f t="shared" ca="1" si="94"/>
        <v>#NAME?</v>
      </c>
      <c r="GI32" s="4"/>
      <c r="GJ32" s="4">
        <f t="shared" si="95"/>
        <v>2042</v>
      </c>
      <c r="GK32" s="4">
        <f t="shared" ca="1" si="96"/>
        <v>194.65496327401894</v>
      </c>
      <c r="GL32" s="4">
        <f t="shared" ca="1" si="97"/>
        <v>0</v>
      </c>
      <c r="GM32" s="4">
        <f t="shared" ca="1" si="98"/>
        <v>187.66555467186862</v>
      </c>
      <c r="GN32" s="4">
        <f t="shared" ca="1" si="99"/>
        <v>89.232515093717723</v>
      </c>
      <c r="GO32" s="4"/>
      <c r="GP32" s="3">
        <f t="shared" ca="1" si="152"/>
        <v>0.41279548563028762</v>
      </c>
      <c r="GQ32" s="3">
        <f t="shared" ca="1" si="100"/>
        <v>0</v>
      </c>
      <c r="GR32" s="3">
        <f t="shared" ca="1" si="101"/>
        <v>0.18923113381018836</v>
      </c>
      <c r="GS32" s="3">
        <f t="shared" ca="1" si="102"/>
        <v>0.39797338055952408</v>
      </c>
      <c r="GT32" s="3">
        <f t="array" aca="1" ref="GT32" ca="1">SUM(GP32:GS32*$GU$6:$GX$6)</f>
        <v>1</v>
      </c>
      <c r="GU32" s="3">
        <f t="shared" ca="1" si="155"/>
        <v>0.41279548563028762</v>
      </c>
      <c r="GV32" s="3">
        <f t="shared" ca="1" si="156"/>
        <v>0</v>
      </c>
      <c r="GW32" s="3">
        <f t="shared" ca="1" si="157"/>
        <v>0.18923113381018836</v>
      </c>
      <c r="GX32" s="3">
        <f t="shared" ca="1" si="158"/>
        <v>0.39797338055952408</v>
      </c>
      <c r="GY32" s="11"/>
      <c r="GZ32" s="27">
        <v>74</v>
      </c>
      <c r="HA32" s="30">
        <v>5.67E-2</v>
      </c>
      <c r="HB32" s="29">
        <f t="shared" ca="1" si="153"/>
        <v>9.7100000000000006E-2</v>
      </c>
      <c r="HC32" s="29">
        <v>9.7100000000000006E-2</v>
      </c>
      <c r="HD32" s="29">
        <v>9.0999999999999998E-2</v>
      </c>
      <c r="HE32" s="29">
        <v>7.7100000000000002E-2</v>
      </c>
      <c r="HG32" s="27">
        <v>72</v>
      </c>
      <c r="HH32" s="30">
        <v>5.3999999999999999E-2</v>
      </c>
      <c r="HJ32">
        <f t="shared" si="159"/>
        <v>2035</v>
      </c>
      <c r="HK32" s="28">
        <f t="shared" si="164"/>
        <v>32530</v>
      </c>
      <c r="HL32" s="27">
        <f t="shared" si="162"/>
        <v>8000</v>
      </c>
      <c r="HM32" s="28">
        <f t="shared" si="163"/>
        <v>8012.4614489028936</v>
      </c>
      <c r="HQ32" s="28">
        <v>142363</v>
      </c>
      <c r="HR32" s="27">
        <v>128010</v>
      </c>
      <c r="HS32" s="27">
        <v>98145</v>
      </c>
      <c r="HT32" s="27">
        <f>HT31+33820</f>
        <v>93000</v>
      </c>
      <c r="HU32" s="27">
        <v>133507</v>
      </c>
      <c r="HV32" s="27">
        <v>103915</v>
      </c>
      <c r="HW32" s="27">
        <v>150000</v>
      </c>
      <c r="HX32" s="27">
        <v>200000</v>
      </c>
      <c r="HY32" s="27">
        <v>200000</v>
      </c>
      <c r="HZ32" s="27">
        <v>202600</v>
      </c>
      <c r="IA32" s="27">
        <v>89320</v>
      </c>
      <c r="IB32" s="27">
        <v>142353</v>
      </c>
      <c r="IC32" s="27">
        <v>135219</v>
      </c>
      <c r="ID32" s="27">
        <v>142353</v>
      </c>
      <c r="IE32" s="28">
        <v>142363</v>
      </c>
      <c r="IF32" s="28">
        <v>142363</v>
      </c>
      <c r="IG32" s="28">
        <v>142363</v>
      </c>
    </row>
    <row r="33" spans="1:241" x14ac:dyDescent="0.25">
      <c r="A33" t="s">
        <v>355</v>
      </c>
      <c r="B33" s="62">
        <f>Inputs_Summary!AJ30</f>
        <v>1</v>
      </c>
      <c r="D33">
        <f t="shared" si="107"/>
        <v>2043</v>
      </c>
      <c r="E33">
        <f t="shared" si="108"/>
        <v>48</v>
      </c>
      <c r="F33" s="8"/>
      <c r="G33" s="8"/>
      <c r="H33" s="9"/>
      <c r="I33" s="8"/>
      <c r="J33" s="92"/>
      <c r="K33" s="91"/>
      <c r="L33" s="91"/>
      <c r="N33" s="93">
        <f t="shared" si="109"/>
        <v>0.05</v>
      </c>
      <c r="O33" s="23">
        <f t="shared" si="110"/>
        <v>0.4</v>
      </c>
      <c r="P33" s="23">
        <f t="shared" si="111"/>
        <v>0.1</v>
      </c>
      <c r="Q33" s="4">
        <f t="shared" si="0"/>
        <v>0</v>
      </c>
      <c r="R33" s="4">
        <f t="shared" si="112"/>
        <v>0</v>
      </c>
      <c r="S33" s="4">
        <f t="shared" si="113"/>
        <v>0</v>
      </c>
      <c r="T33" s="4">
        <f t="shared" ca="1" si="114"/>
        <v>0</v>
      </c>
      <c r="V33" s="18" t="e">
        <f t="shared" ca="1" si="1"/>
        <v>#NAME?</v>
      </c>
      <c r="W33" s="18" t="e">
        <f t="shared" ca="1" si="2"/>
        <v>#NAME?</v>
      </c>
      <c r="X33" s="18">
        <f t="shared" si="3"/>
        <v>0</v>
      </c>
      <c r="Y33" s="18">
        <f t="shared" ca="1" si="4"/>
        <v>12.114102112930397</v>
      </c>
      <c r="Z33" s="18">
        <f t="shared" ca="1" si="5"/>
        <v>0</v>
      </c>
      <c r="AA33" s="18">
        <f t="shared" ca="1" si="6"/>
        <v>5.677003205900637</v>
      </c>
      <c r="AB33" s="18">
        <f t="shared" ca="1" si="7"/>
        <v>10.518668931161061</v>
      </c>
      <c r="AC33" s="18">
        <f t="shared" ca="1" si="8"/>
        <v>206.26074134632205</v>
      </c>
      <c r="AD33" s="18">
        <f t="shared" ca="1" si="9"/>
        <v>0</v>
      </c>
      <c r="AE33" s="18">
        <f t="shared" ca="1" si="10"/>
        <v>198.56334337276135</v>
      </c>
      <c r="AF33" s="18">
        <f t="shared" ca="1" si="11"/>
        <v>101.85404044518347</v>
      </c>
      <c r="AG33" s="18">
        <f t="shared" ca="1" si="12"/>
        <v>506.67812516426687</v>
      </c>
      <c r="AI33">
        <f>Person2!E33</f>
        <v>48</v>
      </c>
      <c r="AJ33">
        <f>Person2!AZ33</f>
        <v>1</v>
      </c>
      <c r="AK33">
        <f>IF($AZ33&lt;&gt;3,Person2!FM33,0)</f>
        <v>0</v>
      </c>
      <c r="AL33" s="4">
        <f ca="1">IF($AZ33&lt;&gt;3,Person2!FN33+Person2!FT33,0)</f>
        <v>0</v>
      </c>
      <c r="AM33">
        <f>IF($AZ33&lt;&gt;3,Person2!FO33,0)</f>
        <v>0</v>
      </c>
      <c r="AN33">
        <f>IF($AZ33&lt;&gt;3,Person2!FP33,0)</f>
        <v>0</v>
      </c>
      <c r="AO33">
        <f>IF($AZ33&lt;&gt;3,Person2!FQ33,0)</f>
        <v>0</v>
      </c>
      <c r="AP33">
        <f>IF($AZ33&lt;&gt;3,Person2!FR33,0)</f>
        <v>0</v>
      </c>
      <c r="AQ33">
        <v>0</v>
      </c>
      <c r="AR33" s="4">
        <f>Person2!FS33</f>
        <v>0</v>
      </c>
      <c r="AS33" s="4">
        <v>0</v>
      </c>
      <c r="AT33" s="4">
        <v>0</v>
      </c>
      <c r="AV33">
        <f t="shared" si="161"/>
        <v>2043</v>
      </c>
      <c r="AW33">
        <f t="shared" si="116"/>
        <v>48</v>
      </c>
      <c r="AX33">
        <f t="shared" si="117"/>
        <v>1.6734181143540252</v>
      </c>
      <c r="AY33">
        <f t="shared" si="118"/>
        <v>0.59757928483164602</v>
      </c>
      <c r="AZ33">
        <f t="shared" si="119"/>
        <v>1</v>
      </c>
      <c r="BB33" s="4">
        <f t="shared" si="13"/>
        <v>172527.30140350724</v>
      </c>
      <c r="BC33">
        <f t="shared" si="14"/>
        <v>0</v>
      </c>
      <c r="BD33" s="4">
        <f t="shared" si="15"/>
        <v>0</v>
      </c>
      <c r="BE33" s="4">
        <f t="shared" si="120"/>
        <v>0</v>
      </c>
      <c r="BF33" s="4">
        <f t="shared" si="121"/>
        <v>0</v>
      </c>
      <c r="BG33" s="4">
        <f t="shared" si="122"/>
        <v>0</v>
      </c>
      <c r="BH33" s="4">
        <f t="shared" si="16"/>
        <v>0</v>
      </c>
      <c r="BI33" s="4">
        <f t="shared" si="123"/>
        <v>172527.30140350724</v>
      </c>
      <c r="BJ33" s="4"/>
      <c r="BK33" s="4">
        <f t="shared" si="17"/>
        <v>83670.905717701258</v>
      </c>
      <c r="BL33" s="4">
        <f t="shared" si="124"/>
        <v>0</v>
      </c>
      <c r="BM33" s="4">
        <f t="shared" si="125"/>
        <v>83670.905717701258</v>
      </c>
      <c r="BN33" s="4">
        <v>41482.306642596079</v>
      </c>
      <c r="BO33" s="4">
        <f t="shared" si="126"/>
        <v>125153.21236029733</v>
      </c>
      <c r="BP33" s="4">
        <f t="shared" si="127"/>
        <v>47374.089043209911</v>
      </c>
      <c r="BQ33" s="4"/>
      <c r="BR33" s="4">
        <v>0</v>
      </c>
      <c r="BS33" s="4">
        <f t="shared" ca="1" si="18"/>
        <v>20271.957914912098</v>
      </c>
      <c r="BT33" s="4">
        <f t="shared" ca="1" si="19"/>
        <v>9500</v>
      </c>
      <c r="BU33" s="4">
        <f t="shared" si="20"/>
        <v>0</v>
      </c>
      <c r="BV33" s="4">
        <f t="shared" si="21"/>
        <v>1</v>
      </c>
      <c r="BW33" s="4">
        <f t="shared" ca="1" si="22"/>
        <v>0</v>
      </c>
      <c r="BX33" s="4">
        <f t="shared" ca="1" si="23"/>
        <v>0</v>
      </c>
      <c r="BY33" s="4">
        <f t="shared" ca="1" si="24"/>
        <v>0</v>
      </c>
      <c r="BZ33" s="4">
        <f t="shared" ca="1" si="25"/>
        <v>0</v>
      </c>
      <c r="CA33" s="4">
        <f t="shared" ca="1" si="26"/>
        <v>0</v>
      </c>
      <c r="CB33" s="4">
        <f t="shared" ca="1" si="160"/>
        <v>0</v>
      </c>
      <c r="CC33" s="4"/>
      <c r="CD33" s="4">
        <f t="shared" ca="1" si="27"/>
        <v>172527.30140350724</v>
      </c>
      <c r="CE33" s="4">
        <f t="shared" ca="1" si="128"/>
        <v>152002.58019235541</v>
      </c>
      <c r="CF33" s="16">
        <f t="shared" si="28"/>
        <v>0</v>
      </c>
      <c r="CG33" s="4">
        <f t="shared" si="129"/>
        <v>5689.9395382454131</v>
      </c>
      <c r="CH33" s="4" t="e">
        <f t="shared" ca="1" si="29"/>
        <v>#NAME?</v>
      </c>
      <c r="CI33" s="4" t="e">
        <f t="shared" ca="1" si="30"/>
        <v>#NAME?</v>
      </c>
      <c r="CJ33" s="4" t="e">
        <f t="shared" ca="1" si="130"/>
        <v>#NAME?</v>
      </c>
      <c r="CK33" s="4" t="e">
        <f t="shared" ca="1" si="31"/>
        <v>#NAME?</v>
      </c>
      <c r="CL33" s="4" t="e">
        <f t="shared" ca="1" si="32"/>
        <v>#NAME?</v>
      </c>
      <c r="CM33" s="16"/>
      <c r="CN33" s="4">
        <f t="shared" si="33"/>
        <v>0</v>
      </c>
      <c r="CO33" s="4">
        <f t="shared" si="131"/>
        <v>0</v>
      </c>
      <c r="CP33" s="4">
        <f t="shared" ca="1" si="34"/>
        <v>847884.35279682023</v>
      </c>
      <c r="CQ33" s="4"/>
      <c r="CR33" s="4">
        <f t="shared" ca="1" si="35"/>
        <v>47374.089043209911</v>
      </c>
      <c r="CS33" s="4">
        <f t="shared" ca="1" si="36"/>
        <v>38110</v>
      </c>
      <c r="CT33" s="4">
        <f t="shared" ca="1" si="37"/>
        <v>31054.914252631301</v>
      </c>
      <c r="CU33" s="4"/>
      <c r="CV33" s="4">
        <f t="shared" ca="1" si="132"/>
        <v>47374.089043209911</v>
      </c>
      <c r="CW33" s="4">
        <f t="shared" ca="1" si="38"/>
        <v>0</v>
      </c>
      <c r="CX33" s="4">
        <f t="shared" ca="1" si="39"/>
        <v>0</v>
      </c>
      <c r="CY33" s="4">
        <f t="shared" ca="1" si="133"/>
        <v>47374.089043209911</v>
      </c>
      <c r="CZ33" s="4"/>
      <c r="DA33" s="4">
        <f t="shared" ca="1" si="40"/>
        <v>47374.089043209911</v>
      </c>
      <c r="DB33" s="4">
        <f t="shared" si="41"/>
        <v>10782.956337719203</v>
      </c>
      <c r="DC33" s="4">
        <f t="shared" ca="1" si="134"/>
        <v>0</v>
      </c>
      <c r="DD33" s="4">
        <f t="shared" ca="1" si="42"/>
        <v>20271.957914912098</v>
      </c>
      <c r="DE33" s="4">
        <f t="shared" ca="1" si="43"/>
        <v>20271.957914912098</v>
      </c>
      <c r="DF33" s="4">
        <f t="shared" ca="1" si="135"/>
        <v>0</v>
      </c>
      <c r="DG33" s="4">
        <f t="shared" ca="1" si="136"/>
        <v>10135.978957456049</v>
      </c>
      <c r="DH33" s="4">
        <f t="shared" ca="1" si="44"/>
        <v>10135.978957456049</v>
      </c>
      <c r="DI33" s="4"/>
      <c r="DJ33" s="4">
        <f t="shared" ca="1" si="45"/>
        <v>27102.131128297813</v>
      </c>
      <c r="DK33" s="4">
        <f t="shared" ca="1" si="46"/>
        <v>9500</v>
      </c>
      <c r="DL33" s="4">
        <f t="shared" ca="1" si="47"/>
        <v>9500</v>
      </c>
      <c r="DM33" s="4">
        <f t="shared" ca="1" si="48"/>
        <v>9500</v>
      </c>
      <c r="DN33" s="4">
        <f t="shared" ca="1" si="49"/>
        <v>9500</v>
      </c>
      <c r="DO33" s="4">
        <f t="shared" ca="1" si="50"/>
        <v>0</v>
      </c>
      <c r="DP33" s="4"/>
      <c r="DQ33" s="4">
        <f t="shared" ca="1" si="51"/>
        <v>17602.131128297813</v>
      </c>
      <c r="DR33" s="4"/>
      <c r="DS33" s="4">
        <f t="shared" si="137"/>
        <v>0</v>
      </c>
      <c r="DT33" s="4">
        <f t="shared" si="52"/>
        <v>0</v>
      </c>
      <c r="DU33" s="4">
        <f t="shared" si="53"/>
        <v>0</v>
      </c>
      <c r="DV33" s="4"/>
      <c r="DW33" s="4">
        <f t="shared" ca="1" si="138"/>
        <v>345160.46084902558</v>
      </c>
      <c r="DX33" s="4">
        <f t="shared" ca="1" si="54"/>
        <v>10135.978957456049</v>
      </c>
      <c r="DY33" s="4">
        <f t="shared" ca="1" si="139"/>
        <v>17258.023042451281</v>
      </c>
      <c r="DZ33" s="4">
        <f t="shared" ca="1" si="55"/>
        <v>0</v>
      </c>
      <c r="EA33" s="4">
        <f t="shared" ca="1" si="56"/>
        <v>0</v>
      </c>
      <c r="EB33" s="4">
        <f t="shared" ca="1" si="57"/>
        <v>362418.48389147688</v>
      </c>
      <c r="EC33" s="4">
        <f t="shared" si="58"/>
        <v>1</v>
      </c>
      <c r="ED33" s="4"/>
      <c r="EE33" s="4">
        <f t="shared" ca="1" si="140"/>
        <v>0</v>
      </c>
      <c r="EF33" s="4">
        <f t="shared" ca="1" si="59"/>
        <v>0</v>
      </c>
      <c r="EG33" s="4">
        <f t="shared" ca="1" si="141"/>
        <v>0</v>
      </c>
      <c r="EH33" s="4">
        <f t="shared" ca="1" si="60"/>
        <v>0</v>
      </c>
      <c r="EI33" s="4">
        <f t="shared" ca="1" si="61"/>
        <v>0</v>
      </c>
      <c r="EJ33" s="4">
        <f t="shared" ca="1" si="62"/>
        <v>0</v>
      </c>
      <c r="EK33" s="4">
        <f t="shared" si="63"/>
        <v>1</v>
      </c>
      <c r="EL33" s="4">
        <f t="shared" si="64"/>
        <v>0</v>
      </c>
      <c r="EM33" s="4"/>
      <c r="EN33" s="4">
        <f t="shared" ca="1" si="142"/>
        <v>332279.49564667715</v>
      </c>
      <c r="EO33" s="4">
        <f t="shared" ca="1" si="65"/>
        <v>9500</v>
      </c>
      <c r="EP33" s="4">
        <f t="shared" ca="1" si="143"/>
        <v>16613.974782333858</v>
      </c>
      <c r="EQ33" s="4">
        <f t="shared" ca="1" si="66"/>
        <v>0</v>
      </c>
      <c r="ER33" s="4">
        <v>0</v>
      </c>
      <c r="ES33" s="4">
        <f t="shared" ca="1" si="144"/>
        <v>348893.47042901104</v>
      </c>
      <c r="ET33" s="4"/>
      <c r="EU33" s="4">
        <f t="shared" ca="1" si="145"/>
        <v>170444.39630111755</v>
      </c>
      <c r="EV33" s="4">
        <f t="shared" ca="1" si="67"/>
        <v>17602.131128297813</v>
      </c>
      <c r="EW33" s="4">
        <f t="shared" ca="1" si="146"/>
        <v>8522.2198150558779</v>
      </c>
      <c r="EX33" s="4">
        <f t="shared" ca="1" si="68"/>
        <v>0</v>
      </c>
      <c r="EY33" s="4">
        <v>0</v>
      </c>
      <c r="EZ33" s="4">
        <f t="shared" ca="1" si="147"/>
        <v>178966.61611617342</v>
      </c>
      <c r="FA33" s="4">
        <f t="shared" ca="1" si="148"/>
        <v>14572.249946273325</v>
      </c>
      <c r="FB33" s="1">
        <f t="shared" ca="1" si="69"/>
        <v>8.549562357291636E-2</v>
      </c>
      <c r="FC33" s="4">
        <f t="shared" ca="1" si="149"/>
        <v>3408.8879260223512</v>
      </c>
      <c r="FD33" s="4">
        <f t="shared" ca="1" si="150"/>
        <v>4261.109907527939</v>
      </c>
      <c r="FE33" s="4">
        <f t="shared" ca="1" si="70"/>
        <v>1176.0663344777111</v>
      </c>
      <c r="FF33" s="4">
        <f t="shared" ca="1" si="71"/>
        <v>176.6451634385522</v>
      </c>
      <c r="FG33" s="4">
        <f t="shared" ca="1" si="72"/>
        <v>117.60663344777112</v>
      </c>
      <c r="FH33" s="17">
        <f t="shared" ca="1" si="73"/>
        <v>0</v>
      </c>
      <c r="FI33" s="4">
        <f t="shared" ca="1" si="74"/>
        <v>0</v>
      </c>
      <c r="FJ33" s="4"/>
      <c r="FK33" s="4">
        <f t="shared" ca="1" si="75"/>
        <v>890278.57043666136</v>
      </c>
      <c r="FL33" s="4"/>
      <c r="FM33" s="4">
        <v>0</v>
      </c>
      <c r="FN33" s="4">
        <f t="shared" si="76"/>
        <v>0</v>
      </c>
      <c r="FO33" s="4">
        <f t="shared" si="77"/>
        <v>0</v>
      </c>
      <c r="FP33" s="4">
        <f t="shared" si="78"/>
        <v>0</v>
      </c>
      <c r="FQ33" s="4">
        <f t="shared" si="79"/>
        <v>0</v>
      </c>
      <c r="FR33" s="4">
        <f t="shared" si="80"/>
        <v>0</v>
      </c>
      <c r="FS33" s="4">
        <f t="shared" si="81"/>
        <v>0</v>
      </c>
      <c r="FT33" s="4">
        <f t="shared" ca="1" si="82"/>
        <v>10135.978957456049</v>
      </c>
      <c r="FU33" s="4"/>
      <c r="FV33" s="3">
        <f t="shared" si="83"/>
        <v>0.59757928483164602</v>
      </c>
      <c r="FW33" s="3">
        <f t="shared" si="84"/>
        <v>0.59757928483164602</v>
      </c>
      <c r="FX33" s="4">
        <f t="shared" si="151"/>
        <v>2043</v>
      </c>
      <c r="FY33" s="18">
        <f t="shared" si="85"/>
        <v>103.09874138664169</v>
      </c>
      <c r="FZ33" s="18">
        <f t="shared" si="86"/>
        <v>0</v>
      </c>
      <c r="GA33" s="18">
        <f t="shared" si="87"/>
        <v>0</v>
      </c>
      <c r="GB33" s="18">
        <f t="shared" si="88"/>
        <v>0</v>
      </c>
      <c r="GC33" s="18">
        <f t="shared" ca="1" si="89"/>
        <v>0</v>
      </c>
      <c r="GD33" s="18">
        <f t="shared" ca="1" si="90"/>
        <v>0</v>
      </c>
      <c r="GE33" s="18">
        <f t="shared" ca="1" si="91"/>
        <v>0</v>
      </c>
      <c r="GF33" s="18">
        <f t="shared" ca="1" si="92"/>
        <v>0</v>
      </c>
      <c r="GG33" s="18" t="e">
        <f t="shared" ca="1" si="93"/>
        <v>#NAME?</v>
      </c>
      <c r="GH33" s="18" t="e">
        <f t="shared" ca="1" si="94"/>
        <v>#NAME?</v>
      </c>
      <c r="GI33" s="4"/>
      <c r="GJ33" s="4">
        <f t="shared" si="95"/>
        <v>2043</v>
      </c>
      <c r="GK33" s="4">
        <f t="shared" ca="1" si="96"/>
        <v>206.26074134632205</v>
      </c>
      <c r="GL33" s="4">
        <f t="shared" ca="1" si="97"/>
        <v>0</v>
      </c>
      <c r="GM33" s="4">
        <f t="shared" ca="1" si="98"/>
        <v>198.56334337276135</v>
      </c>
      <c r="GN33" s="4">
        <f t="shared" ca="1" si="99"/>
        <v>101.85404044518347</v>
      </c>
      <c r="GO33" s="4"/>
      <c r="GP33" s="3">
        <f t="shared" ca="1" si="152"/>
        <v>0.40708436204829557</v>
      </c>
      <c r="GQ33" s="3">
        <f t="shared" ca="1" si="100"/>
        <v>0</v>
      </c>
      <c r="GR33" s="3">
        <f t="shared" ca="1" si="101"/>
        <v>0.20102316517446261</v>
      </c>
      <c r="GS33" s="3">
        <f t="shared" ca="1" si="102"/>
        <v>0.39189247277724176</v>
      </c>
      <c r="GT33" s="3">
        <f t="array" aca="1" ref="GT33" ca="1">SUM(GP33:GS33*$GU$6:$GX$6)</f>
        <v>1</v>
      </c>
      <c r="GU33" s="3">
        <f t="shared" ca="1" si="155"/>
        <v>0.40708436204829557</v>
      </c>
      <c r="GV33" s="3">
        <f t="shared" ca="1" si="156"/>
        <v>0</v>
      </c>
      <c r="GW33" s="3">
        <f t="shared" ca="1" si="157"/>
        <v>0.20102316517446261</v>
      </c>
      <c r="GX33" s="3">
        <f t="shared" ca="1" si="158"/>
        <v>0.39189247277724176</v>
      </c>
      <c r="GY33" s="11"/>
      <c r="GZ33" s="27">
        <v>75</v>
      </c>
      <c r="HA33" s="30">
        <v>5.8200000000000002E-2</v>
      </c>
      <c r="HB33" s="29">
        <f t="shared" ca="1" si="153"/>
        <v>0.10150000000000001</v>
      </c>
      <c r="HC33" s="29">
        <v>0.10150000000000001</v>
      </c>
      <c r="HD33" s="29">
        <v>9.4E-2</v>
      </c>
      <c r="HE33" s="29">
        <v>8.1799999999999998E-2</v>
      </c>
      <c r="HG33" s="27">
        <v>73</v>
      </c>
      <c r="HH33" s="30">
        <v>5.5300000000000002E-2</v>
      </c>
      <c r="HJ33">
        <f t="shared" si="159"/>
        <v>2036</v>
      </c>
      <c r="HK33" s="28">
        <f t="shared" si="164"/>
        <v>33180</v>
      </c>
      <c r="HL33" s="27">
        <f t="shared" si="162"/>
        <v>8000</v>
      </c>
      <c r="HM33" s="28">
        <f t="shared" si="163"/>
        <v>8172.7106778809521</v>
      </c>
      <c r="HQ33" s="28">
        <v>202800</v>
      </c>
      <c r="HR33" s="27">
        <v>179214</v>
      </c>
      <c r="HS33" s="27">
        <v>200000</v>
      </c>
      <c r="HT33" s="27">
        <f>HT32+57000</f>
        <v>150000</v>
      </c>
      <c r="HU33" s="27">
        <v>152100</v>
      </c>
      <c r="HV33" s="27">
        <v>200000</v>
      </c>
      <c r="HW33" s="27">
        <v>220000</v>
      </c>
      <c r="HX33" s="27">
        <v>300000</v>
      </c>
      <c r="HY33" s="27">
        <v>300000</v>
      </c>
      <c r="HZ33" s="27">
        <v>303900</v>
      </c>
      <c r="IA33" s="27">
        <v>108460</v>
      </c>
      <c r="IB33" s="27">
        <v>500000</v>
      </c>
      <c r="IC33" s="27">
        <v>200000</v>
      </c>
      <c r="ID33" s="27">
        <v>200000</v>
      </c>
      <c r="IE33" s="28">
        <v>202800</v>
      </c>
      <c r="IF33" s="28">
        <v>202800</v>
      </c>
      <c r="IG33" s="28">
        <v>202800</v>
      </c>
    </row>
    <row r="34" spans="1:241" x14ac:dyDescent="0.25">
      <c r="A34" s="15" t="s">
        <v>80</v>
      </c>
      <c r="D34">
        <f t="shared" si="107"/>
        <v>2044</v>
      </c>
      <c r="E34">
        <f t="shared" si="108"/>
        <v>49</v>
      </c>
      <c r="F34" s="8"/>
      <c r="G34" s="8"/>
      <c r="H34" s="9"/>
      <c r="I34" s="8"/>
      <c r="J34" s="92"/>
      <c r="K34" s="91"/>
      <c r="L34" s="91"/>
      <c r="N34" s="93">
        <f t="shared" si="109"/>
        <v>0.05</v>
      </c>
      <c r="O34" s="23">
        <f t="shared" si="110"/>
        <v>0.4</v>
      </c>
      <c r="P34" s="23">
        <f t="shared" si="111"/>
        <v>0.1</v>
      </c>
      <c r="Q34" s="4">
        <f t="shared" si="0"/>
        <v>0</v>
      </c>
      <c r="R34" s="4">
        <f t="shared" si="112"/>
        <v>0</v>
      </c>
      <c r="S34" s="4">
        <f t="shared" si="113"/>
        <v>0</v>
      </c>
      <c r="T34" s="4">
        <f t="shared" ca="1" si="114"/>
        <v>0</v>
      </c>
      <c r="V34" s="18" t="e">
        <f t="shared" ca="1" si="1"/>
        <v>#NAME?</v>
      </c>
      <c r="W34" s="18" t="e">
        <f t="shared" ca="1" si="2"/>
        <v>#NAME?</v>
      </c>
      <c r="X34" s="18">
        <f t="shared" si="3"/>
        <v>0</v>
      </c>
      <c r="Y34" s="18">
        <f t="shared" ca="1" si="4"/>
        <v>12.232867819919909</v>
      </c>
      <c r="Z34" s="18">
        <f t="shared" ca="1" si="5"/>
        <v>0</v>
      </c>
      <c r="AA34" s="18">
        <f t="shared" ca="1" si="6"/>
        <v>5.5656894175496445</v>
      </c>
      <c r="AB34" s="18">
        <f t="shared" ca="1" si="7"/>
        <v>11.125868454665296</v>
      </c>
      <c r="AC34" s="18">
        <f t="shared" ca="1" si="8"/>
        <v>218.26551908833665</v>
      </c>
      <c r="AD34" s="18">
        <f t="shared" ca="1" si="9"/>
        <v>0</v>
      </c>
      <c r="AE34" s="18">
        <f t="shared" ca="1" si="10"/>
        <v>209.96913112480399</v>
      </c>
      <c r="AF34" s="18">
        <f t="shared" ca="1" si="11"/>
        <v>115.16216803784675</v>
      </c>
      <c r="AG34" s="18">
        <f t="shared" ca="1" si="12"/>
        <v>543.39681825098739</v>
      </c>
      <c r="AI34">
        <f>Person2!E34</f>
        <v>49</v>
      </c>
      <c r="AJ34">
        <f>Person2!AZ34</f>
        <v>1</v>
      </c>
      <c r="AK34">
        <f>IF($AZ34&lt;&gt;3,Person2!FM34,0)</f>
        <v>0</v>
      </c>
      <c r="AL34" s="4">
        <f ca="1">IF($AZ34&lt;&gt;3,Person2!FN34+Person2!FT34,0)</f>
        <v>0</v>
      </c>
      <c r="AM34">
        <f>IF($AZ34&lt;&gt;3,Person2!FO34,0)</f>
        <v>0</v>
      </c>
      <c r="AN34">
        <f>IF($AZ34&lt;&gt;3,Person2!FP34,0)</f>
        <v>0</v>
      </c>
      <c r="AO34">
        <f>IF($AZ34&lt;&gt;3,Person2!FQ34,0)</f>
        <v>0</v>
      </c>
      <c r="AP34">
        <f>IF($AZ34&lt;&gt;3,Person2!FR34,0)</f>
        <v>0</v>
      </c>
      <c r="AQ34">
        <v>0</v>
      </c>
      <c r="AR34" s="4">
        <f>Person2!FS34</f>
        <v>0</v>
      </c>
      <c r="AS34" s="4">
        <v>0</v>
      </c>
      <c r="AT34" s="4">
        <v>0</v>
      </c>
      <c r="AV34">
        <f t="shared" si="161"/>
        <v>2044</v>
      </c>
      <c r="AW34">
        <f t="shared" si="116"/>
        <v>49</v>
      </c>
      <c r="AX34">
        <f t="shared" si="117"/>
        <v>1.7068864766411058</v>
      </c>
      <c r="AY34">
        <f t="shared" si="118"/>
        <v>0.58586204395259411</v>
      </c>
      <c r="AZ34">
        <f t="shared" si="119"/>
        <v>1</v>
      </c>
      <c r="BB34" s="4">
        <f t="shared" si="13"/>
        <v>177703.12044561244</v>
      </c>
      <c r="BC34">
        <f t="shared" si="14"/>
        <v>0</v>
      </c>
      <c r="BD34" s="4">
        <f t="shared" si="15"/>
        <v>0</v>
      </c>
      <c r="BE34" s="4">
        <f t="shared" si="120"/>
        <v>0</v>
      </c>
      <c r="BF34" s="4">
        <f t="shared" si="121"/>
        <v>0</v>
      </c>
      <c r="BG34" s="4">
        <f t="shared" si="122"/>
        <v>0</v>
      </c>
      <c r="BH34" s="4">
        <f t="shared" si="16"/>
        <v>0</v>
      </c>
      <c r="BI34" s="4">
        <f t="shared" si="123"/>
        <v>177703.12044561244</v>
      </c>
      <c r="BJ34" s="4"/>
      <c r="BK34" s="4">
        <f t="shared" si="17"/>
        <v>85344.323832055292</v>
      </c>
      <c r="BL34" s="4">
        <f t="shared" si="124"/>
        <v>0</v>
      </c>
      <c r="BM34" s="4">
        <f t="shared" si="125"/>
        <v>85344.323832055292</v>
      </c>
      <c r="BN34" s="4">
        <v>42988.085555041624</v>
      </c>
      <c r="BO34" s="4">
        <f t="shared" si="126"/>
        <v>128332.40938709691</v>
      </c>
      <c r="BP34" s="4">
        <f t="shared" si="127"/>
        <v>49370.711058515531</v>
      </c>
      <c r="BQ34" s="4"/>
      <c r="BR34" s="4">
        <v>0</v>
      </c>
      <c r="BS34" s="4">
        <f t="shared" ca="1" si="18"/>
        <v>20880.116652359458</v>
      </c>
      <c r="BT34" s="4">
        <f t="shared" ca="1" si="19"/>
        <v>9500</v>
      </c>
      <c r="BU34" s="4">
        <f t="shared" si="20"/>
        <v>0</v>
      </c>
      <c r="BV34" s="4">
        <f t="shared" si="21"/>
        <v>1</v>
      </c>
      <c r="BW34" s="4">
        <f t="shared" ca="1" si="22"/>
        <v>0</v>
      </c>
      <c r="BX34" s="4">
        <f t="shared" ca="1" si="23"/>
        <v>0</v>
      </c>
      <c r="BY34" s="4">
        <f t="shared" ca="1" si="24"/>
        <v>0</v>
      </c>
      <c r="BZ34" s="4">
        <f t="shared" ca="1" si="25"/>
        <v>0</v>
      </c>
      <c r="CA34" s="4">
        <f t="shared" ca="1" si="26"/>
        <v>0</v>
      </c>
      <c r="CB34" s="4">
        <f t="shared" ca="1" si="160"/>
        <v>0</v>
      </c>
      <c r="CC34" s="4"/>
      <c r="CD34" s="4">
        <f t="shared" ca="1" si="27"/>
        <v>177703.12044561244</v>
      </c>
      <c r="CE34" s="4">
        <f t="shared" ca="1" si="128"/>
        <v>157289.80850134129</v>
      </c>
      <c r="CF34" s="16">
        <f t="shared" si="28"/>
        <v>0</v>
      </c>
      <c r="CG34" s="4">
        <f t="shared" si="129"/>
        <v>5803.7383290103216</v>
      </c>
      <c r="CH34" s="4" t="e">
        <f t="shared" ca="1" si="29"/>
        <v>#NAME?</v>
      </c>
      <c r="CI34" s="4" t="e">
        <f t="shared" ca="1" si="30"/>
        <v>#NAME?</v>
      </c>
      <c r="CJ34" s="4" t="e">
        <f t="shared" ca="1" si="130"/>
        <v>#NAME?</v>
      </c>
      <c r="CK34" s="4" t="e">
        <f t="shared" ca="1" si="31"/>
        <v>#NAME?</v>
      </c>
      <c r="CL34" s="4" t="e">
        <f t="shared" ca="1" si="32"/>
        <v>#NAME?</v>
      </c>
      <c r="CM34" s="16"/>
      <c r="CN34" s="4">
        <f t="shared" si="33"/>
        <v>0</v>
      </c>
      <c r="CO34" s="4">
        <f t="shared" si="131"/>
        <v>0</v>
      </c>
      <c r="CP34" s="4">
        <f t="shared" ca="1" si="34"/>
        <v>927516.6805224152</v>
      </c>
      <c r="CQ34" s="4"/>
      <c r="CR34" s="4">
        <f t="shared" ca="1" si="35"/>
        <v>49370.711058515531</v>
      </c>
      <c r="CS34" s="4">
        <f t="shared" ca="1" si="36"/>
        <v>38870</v>
      </c>
      <c r="CT34" s="4">
        <f t="shared" ca="1" si="37"/>
        <v>31986.561680210238</v>
      </c>
      <c r="CU34" s="4"/>
      <c r="CV34" s="4">
        <f t="shared" ca="1" si="132"/>
        <v>49370.711058515531</v>
      </c>
      <c r="CW34" s="4">
        <f t="shared" ca="1" si="38"/>
        <v>0</v>
      </c>
      <c r="CX34" s="4">
        <f t="shared" ca="1" si="39"/>
        <v>0</v>
      </c>
      <c r="CY34" s="4">
        <f t="shared" ca="1" si="133"/>
        <v>49370.711058515531</v>
      </c>
      <c r="CZ34" s="4"/>
      <c r="DA34" s="4">
        <f t="shared" ca="1" si="40"/>
        <v>49370.711058515531</v>
      </c>
      <c r="DB34" s="4">
        <f t="shared" si="41"/>
        <v>11106.445027850777</v>
      </c>
      <c r="DC34" s="4">
        <f t="shared" ca="1" si="134"/>
        <v>0</v>
      </c>
      <c r="DD34" s="4">
        <f t="shared" ca="1" si="42"/>
        <v>20880.116652359458</v>
      </c>
      <c r="DE34" s="4">
        <f t="shared" ca="1" si="43"/>
        <v>20880.116652359458</v>
      </c>
      <c r="DF34" s="4">
        <f t="shared" ca="1" si="135"/>
        <v>0</v>
      </c>
      <c r="DG34" s="4">
        <f t="shared" ca="1" si="136"/>
        <v>10440.058326179729</v>
      </c>
      <c r="DH34" s="4">
        <f t="shared" ca="1" si="44"/>
        <v>10440.058326179729</v>
      </c>
      <c r="DI34" s="4"/>
      <c r="DJ34" s="4">
        <f t="shared" ca="1" si="45"/>
        <v>28490.594406156073</v>
      </c>
      <c r="DK34" s="4">
        <f t="shared" ca="1" si="46"/>
        <v>9500</v>
      </c>
      <c r="DL34" s="4">
        <f t="shared" ca="1" si="47"/>
        <v>9500</v>
      </c>
      <c r="DM34" s="4">
        <f t="shared" ca="1" si="48"/>
        <v>9500</v>
      </c>
      <c r="DN34" s="4">
        <f t="shared" ca="1" si="49"/>
        <v>9500</v>
      </c>
      <c r="DO34" s="4">
        <f t="shared" ca="1" si="50"/>
        <v>0</v>
      </c>
      <c r="DP34" s="4"/>
      <c r="DQ34" s="4">
        <f t="shared" ca="1" si="51"/>
        <v>18990.594406156073</v>
      </c>
      <c r="DR34" s="4"/>
      <c r="DS34" s="4">
        <f t="shared" si="137"/>
        <v>0</v>
      </c>
      <c r="DT34" s="4">
        <f t="shared" si="52"/>
        <v>0</v>
      </c>
      <c r="DU34" s="4">
        <f t="shared" si="53"/>
        <v>0</v>
      </c>
      <c r="DV34" s="4"/>
      <c r="DW34" s="4">
        <f t="shared" ca="1" si="138"/>
        <v>372554.46284893295</v>
      </c>
      <c r="DX34" s="4">
        <f t="shared" ca="1" si="54"/>
        <v>10440.058326179729</v>
      </c>
      <c r="DY34" s="4">
        <f t="shared" ca="1" si="139"/>
        <v>18627.723142446648</v>
      </c>
      <c r="DZ34" s="4">
        <f t="shared" ca="1" si="55"/>
        <v>0</v>
      </c>
      <c r="EA34" s="4">
        <f t="shared" ca="1" si="56"/>
        <v>0</v>
      </c>
      <c r="EB34" s="4">
        <f t="shared" ca="1" si="57"/>
        <v>391182.18599137961</v>
      </c>
      <c r="EC34" s="4">
        <f t="shared" si="58"/>
        <v>1</v>
      </c>
      <c r="ED34" s="4"/>
      <c r="EE34" s="4">
        <f t="shared" ca="1" si="140"/>
        <v>0</v>
      </c>
      <c r="EF34" s="4">
        <f t="shared" ca="1" si="59"/>
        <v>0</v>
      </c>
      <c r="EG34" s="4">
        <f t="shared" ca="1" si="141"/>
        <v>0</v>
      </c>
      <c r="EH34" s="4">
        <f t="shared" ca="1" si="60"/>
        <v>0</v>
      </c>
      <c r="EI34" s="4">
        <f t="shared" ca="1" si="61"/>
        <v>0</v>
      </c>
      <c r="EJ34" s="4">
        <f t="shared" ca="1" si="62"/>
        <v>0</v>
      </c>
      <c r="EK34" s="4">
        <f t="shared" si="63"/>
        <v>1</v>
      </c>
      <c r="EL34" s="4">
        <f t="shared" si="64"/>
        <v>0</v>
      </c>
      <c r="EM34" s="4"/>
      <c r="EN34" s="4">
        <f t="shared" ca="1" si="142"/>
        <v>358393.47042901104</v>
      </c>
      <c r="EO34" s="4">
        <f t="shared" ca="1" si="65"/>
        <v>9500</v>
      </c>
      <c r="EP34" s="4">
        <f t="shared" ca="1" si="143"/>
        <v>17919.673521450553</v>
      </c>
      <c r="EQ34" s="4">
        <f t="shared" ca="1" si="66"/>
        <v>0</v>
      </c>
      <c r="ER34" s="4">
        <v>0</v>
      </c>
      <c r="ES34" s="4">
        <f t="shared" ca="1" si="144"/>
        <v>376313.14395046158</v>
      </c>
      <c r="ET34" s="4"/>
      <c r="EU34" s="4">
        <f t="shared" ca="1" si="145"/>
        <v>196568.74724447122</v>
      </c>
      <c r="EV34" s="4">
        <f t="shared" ca="1" si="67"/>
        <v>18990.594406156073</v>
      </c>
      <c r="EW34" s="4">
        <f t="shared" ca="1" si="146"/>
        <v>9828.4373622235616</v>
      </c>
      <c r="EX34" s="4">
        <f t="shared" ca="1" si="68"/>
        <v>0</v>
      </c>
      <c r="EY34" s="4">
        <v>0</v>
      </c>
      <c r="EZ34" s="4">
        <f t="shared" ca="1" si="147"/>
        <v>206397.18460669479</v>
      </c>
      <c r="FA34" s="4">
        <f t="shared" ca="1" si="148"/>
        <v>17981.137872295676</v>
      </c>
      <c r="FB34" s="1">
        <f t="shared" ca="1" si="69"/>
        <v>9.1475059613279508E-2</v>
      </c>
      <c r="FC34" s="4">
        <f t="shared" ca="1" si="149"/>
        <v>3931.374944889425</v>
      </c>
      <c r="FD34" s="4">
        <f t="shared" ca="1" si="150"/>
        <v>4914.2186811117808</v>
      </c>
      <c r="FE34" s="4">
        <f t="shared" ca="1" si="70"/>
        <v>1356.3243559868515</v>
      </c>
      <c r="FF34" s="4">
        <f t="shared" ca="1" si="71"/>
        <v>203.7199182692251</v>
      </c>
      <c r="FG34" s="4">
        <f t="shared" ca="1" si="72"/>
        <v>135.63243559868516</v>
      </c>
      <c r="FH34" s="17">
        <f t="shared" ca="1" si="73"/>
        <v>0</v>
      </c>
      <c r="FI34" s="4">
        <f t="shared" ca="1" si="74"/>
        <v>0</v>
      </c>
      <c r="FJ34" s="4"/>
      <c r="FK34" s="4">
        <f t="shared" ca="1" si="75"/>
        <v>973892.51454853592</v>
      </c>
      <c r="FL34" s="4"/>
      <c r="FM34" s="4">
        <v>0</v>
      </c>
      <c r="FN34" s="4">
        <f t="shared" si="76"/>
        <v>0</v>
      </c>
      <c r="FO34" s="4">
        <f t="shared" si="77"/>
        <v>0</v>
      </c>
      <c r="FP34" s="4">
        <f t="shared" si="78"/>
        <v>0</v>
      </c>
      <c r="FQ34" s="4">
        <f t="shared" si="79"/>
        <v>0</v>
      </c>
      <c r="FR34" s="4">
        <f t="shared" si="80"/>
        <v>0</v>
      </c>
      <c r="FS34" s="4">
        <f t="shared" si="81"/>
        <v>0</v>
      </c>
      <c r="FT34" s="4">
        <f t="shared" ca="1" si="82"/>
        <v>10440.058326179729</v>
      </c>
      <c r="FU34" s="4"/>
      <c r="FV34" s="3">
        <f t="shared" si="83"/>
        <v>0.58586204395259411</v>
      </c>
      <c r="FW34" s="3">
        <f t="shared" si="84"/>
        <v>0.58586204395259411</v>
      </c>
      <c r="FX34" s="4">
        <f t="shared" si="151"/>
        <v>2044</v>
      </c>
      <c r="FY34" s="18">
        <f t="shared" si="85"/>
        <v>104.10951336102052</v>
      </c>
      <c r="FZ34" s="18">
        <f t="shared" si="86"/>
        <v>0</v>
      </c>
      <c r="GA34" s="18">
        <f t="shared" si="87"/>
        <v>0</v>
      </c>
      <c r="GB34" s="18">
        <f t="shared" si="88"/>
        <v>0</v>
      </c>
      <c r="GC34" s="18">
        <f t="shared" ca="1" si="89"/>
        <v>0</v>
      </c>
      <c r="GD34" s="18">
        <f t="shared" ca="1" si="90"/>
        <v>0</v>
      </c>
      <c r="GE34" s="18">
        <f t="shared" ca="1" si="91"/>
        <v>0</v>
      </c>
      <c r="GF34" s="18">
        <f t="shared" ca="1" si="92"/>
        <v>0</v>
      </c>
      <c r="GG34" s="18" t="e">
        <f t="shared" ca="1" si="93"/>
        <v>#NAME?</v>
      </c>
      <c r="GH34" s="18" t="e">
        <f t="shared" ca="1" si="94"/>
        <v>#NAME?</v>
      </c>
      <c r="GI34" s="4"/>
      <c r="GJ34" s="4">
        <f t="shared" si="95"/>
        <v>2044</v>
      </c>
      <c r="GK34" s="4">
        <f t="shared" ca="1" si="96"/>
        <v>218.26551908833665</v>
      </c>
      <c r="GL34" s="4">
        <f t="shared" ca="1" si="97"/>
        <v>0</v>
      </c>
      <c r="GM34" s="4">
        <f t="shared" ca="1" si="98"/>
        <v>209.96913112480399</v>
      </c>
      <c r="GN34" s="4">
        <f t="shared" ca="1" si="99"/>
        <v>115.16216803784675</v>
      </c>
      <c r="GO34" s="4"/>
      <c r="GP34" s="3">
        <f t="shared" ca="1" si="152"/>
        <v>0.40166874695891736</v>
      </c>
      <c r="GQ34" s="3">
        <f t="shared" ca="1" si="100"/>
        <v>0</v>
      </c>
      <c r="GR34" s="3">
        <f t="shared" ca="1" si="101"/>
        <v>0.21193014785864089</v>
      </c>
      <c r="GS34" s="3">
        <f t="shared" ca="1" si="102"/>
        <v>0.38640110518244181</v>
      </c>
      <c r="GT34" s="3">
        <f t="array" aca="1" ref="GT34" ca="1">SUM(GP34:GS34*$GU$6:$GX$6)</f>
        <v>1</v>
      </c>
      <c r="GU34" s="3">
        <f t="shared" ca="1" si="155"/>
        <v>0.40166874695891736</v>
      </c>
      <c r="GV34" s="3">
        <f t="shared" ca="1" si="156"/>
        <v>0</v>
      </c>
      <c r="GW34" s="3">
        <f t="shared" ca="1" si="157"/>
        <v>0.21193014785864089</v>
      </c>
      <c r="GX34" s="3">
        <f t="shared" ca="1" si="158"/>
        <v>0.38640110518244181</v>
      </c>
      <c r="GY34" s="11"/>
      <c r="GZ34" s="27">
        <v>76</v>
      </c>
      <c r="HA34" s="30">
        <v>5.9799999999999999E-2</v>
      </c>
      <c r="HB34" s="29">
        <f t="shared" ca="1" si="153"/>
        <v>0.1066</v>
      </c>
      <c r="HC34" s="29">
        <v>0.1066</v>
      </c>
      <c r="HD34" s="29">
        <v>9.8000000000000004E-2</v>
      </c>
      <c r="HE34" s="29">
        <v>8.72E-2</v>
      </c>
      <c r="HG34" s="27">
        <v>74</v>
      </c>
      <c r="HH34" s="30">
        <v>5.67E-2</v>
      </c>
      <c r="HJ34">
        <f t="shared" si="159"/>
        <v>2037</v>
      </c>
      <c r="HK34" s="28">
        <f t="shared" si="164"/>
        <v>33840</v>
      </c>
      <c r="HL34" s="27">
        <f t="shared" si="162"/>
        <v>8500</v>
      </c>
      <c r="HM34" s="28">
        <f t="shared" si="163"/>
        <v>8336.1648914385714</v>
      </c>
      <c r="HQ34" s="28">
        <v>900000</v>
      </c>
      <c r="HR34" s="28">
        <v>500000</v>
      </c>
      <c r="HS34" s="28">
        <v>500000</v>
      </c>
      <c r="HT34" s="28">
        <v>500000</v>
      </c>
      <c r="HU34" s="28">
        <v>500000</v>
      </c>
      <c r="HV34" s="28">
        <v>500000</v>
      </c>
      <c r="HW34" s="28">
        <v>500000</v>
      </c>
      <c r="HX34" s="28">
        <v>500000</v>
      </c>
      <c r="HY34" s="28">
        <v>500000</v>
      </c>
      <c r="HZ34" s="27">
        <v>500000</v>
      </c>
      <c r="IA34" s="27">
        <v>500000</v>
      </c>
      <c r="IB34" s="28">
        <v>900000</v>
      </c>
      <c r="IC34" s="28">
        <v>500000</v>
      </c>
      <c r="ID34" s="28">
        <v>500000</v>
      </c>
      <c r="IE34" s="28">
        <v>900000</v>
      </c>
      <c r="IF34" s="28">
        <v>900000</v>
      </c>
      <c r="IG34" s="28">
        <v>900000</v>
      </c>
    </row>
    <row r="35" spans="1:241" x14ac:dyDescent="0.25">
      <c r="A35" t="s">
        <v>63</v>
      </c>
      <c r="B35" s="62">
        <f>Inputs_Summary!AJ32</f>
        <v>30000</v>
      </c>
      <c r="D35">
        <f t="shared" si="107"/>
        <v>2045</v>
      </c>
      <c r="E35">
        <f t="shared" si="108"/>
        <v>50</v>
      </c>
      <c r="F35" s="8"/>
      <c r="G35" s="8"/>
      <c r="H35" s="9"/>
      <c r="I35" s="8"/>
      <c r="J35" s="92"/>
      <c r="K35" s="91"/>
      <c r="L35" s="91"/>
      <c r="N35" s="93">
        <f t="shared" si="109"/>
        <v>0.05</v>
      </c>
      <c r="O35" s="23">
        <f t="shared" si="110"/>
        <v>0.4</v>
      </c>
      <c r="P35" s="23">
        <f t="shared" si="111"/>
        <v>0.1</v>
      </c>
      <c r="Q35" s="4">
        <f t="shared" si="0"/>
        <v>0</v>
      </c>
      <c r="R35" s="4">
        <f t="shared" si="112"/>
        <v>0</v>
      </c>
      <c r="S35" s="4">
        <f t="shared" si="113"/>
        <v>0</v>
      </c>
      <c r="T35" s="4">
        <f t="shared" ca="1" si="114"/>
        <v>0</v>
      </c>
      <c r="V35" s="18" t="e">
        <f t="shared" ca="1" si="1"/>
        <v>#NAME?</v>
      </c>
      <c r="W35" s="18" t="e">
        <f t="shared" ca="1" si="2"/>
        <v>#NAME?</v>
      </c>
      <c r="X35" s="18">
        <f t="shared" si="3"/>
        <v>0</v>
      </c>
      <c r="Y35" s="18">
        <f t="shared" ca="1" si="4"/>
        <v>12.352797896585791</v>
      </c>
      <c r="Z35" s="18">
        <f t="shared" ca="1" si="5"/>
        <v>0</v>
      </c>
      <c r="AA35" s="18">
        <f t="shared" ca="1" si="6"/>
        <v>5.7437455289470005</v>
      </c>
      <c r="AB35" s="18">
        <f t="shared" ca="1" si="7"/>
        <v>11.384809671395136</v>
      </c>
      <c r="AC35" s="18">
        <f t="shared" ca="1" si="8"/>
        <v>230.68159701246415</v>
      </c>
      <c r="AD35" s="18">
        <f t="shared" ca="1" si="9"/>
        <v>0</v>
      </c>
      <c r="AE35" s="18">
        <f t="shared" ca="1" si="10"/>
        <v>221.60125205744495</v>
      </c>
      <c r="AF35" s="18">
        <f t="shared" ca="1" si="11"/>
        <v>129.45700479843569</v>
      </c>
      <c r="AG35" s="18">
        <f t="shared" ca="1" si="12"/>
        <v>581.73985386834477</v>
      </c>
      <c r="AI35">
        <f>Person2!E35</f>
        <v>50</v>
      </c>
      <c r="AJ35">
        <f>Person2!AZ35</f>
        <v>1</v>
      </c>
      <c r="AK35">
        <f>IF($AZ35&lt;&gt;3,Person2!FM35,0)</f>
        <v>0</v>
      </c>
      <c r="AL35" s="4">
        <f ca="1">IF($AZ35&lt;&gt;3,Person2!FN35+Person2!FT35,0)</f>
        <v>0</v>
      </c>
      <c r="AM35">
        <f>IF($AZ35&lt;&gt;3,Person2!FO35,0)</f>
        <v>0</v>
      </c>
      <c r="AN35">
        <f>IF($AZ35&lt;&gt;3,Person2!FP35,0)</f>
        <v>0</v>
      </c>
      <c r="AO35">
        <f>IF($AZ35&lt;&gt;3,Person2!FQ35,0)</f>
        <v>0</v>
      </c>
      <c r="AP35">
        <f>IF($AZ35&lt;&gt;3,Person2!FR35,0)</f>
        <v>0</v>
      </c>
      <c r="AQ35">
        <v>0</v>
      </c>
      <c r="AR35" s="4">
        <f>Person2!FS35</f>
        <v>0</v>
      </c>
      <c r="AS35" s="4">
        <v>0</v>
      </c>
      <c r="AT35" s="4">
        <v>0</v>
      </c>
      <c r="AV35">
        <f t="shared" si="161"/>
        <v>2045</v>
      </c>
      <c r="AW35">
        <f t="shared" si="116"/>
        <v>50</v>
      </c>
      <c r="AX35">
        <f t="shared" si="117"/>
        <v>1.7410242061739281</v>
      </c>
      <c r="AY35">
        <f t="shared" si="118"/>
        <v>0.57437455289470007</v>
      </c>
      <c r="AZ35">
        <f t="shared" si="119"/>
        <v>1</v>
      </c>
      <c r="BB35" s="4">
        <f t="shared" si="13"/>
        <v>183034.21405898081</v>
      </c>
      <c r="BC35">
        <f t="shared" si="14"/>
        <v>0</v>
      </c>
      <c r="BD35" s="4">
        <f t="shared" si="15"/>
        <v>0</v>
      </c>
      <c r="BE35" s="4">
        <f t="shared" si="120"/>
        <v>0</v>
      </c>
      <c r="BF35" s="4">
        <f t="shared" si="121"/>
        <v>0</v>
      </c>
      <c r="BG35" s="4">
        <f t="shared" si="122"/>
        <v>0</v>
      </c>
      <c r="BH35" s="4">
        <f t="shared" si="16"/>
        <v>0</v>
      </c>
      <c r="BI35" s="4">
        <f t="shared" si="123"/>
        <v>183034.21405898081</v>
      </c>
      <c r="BJ35" s="4"/>
      <c r="BK35" s="4">
        <f t="shared" si="17"/>
        <v>87051.210308696405</v>
      </c>
      <c r="BL35" s="4">
        <f t="shared" si="124"/>
        <v>0</v>
      </c>
      <c r="BM35" s="4">
        <f t="shared" si="125"/>
        <v>87051.210308696405</v>
      </c>
      <c r="BN35" s="4">
        <v>44655.254377772195</v>
      </c>
      <c r="BO35" s="4">
        <f t="shared" si="126"/>
        <v>131706.46468646859</v>
      </c>
      <c r="BP35" s="4">
        <f t="shared" si="127"/>
        <v>51327.749372512219</v>
      </c>
      <c r="BQ35" s="4"/>
      <c r="BR35" s="4">
        <v>0</v>
      </c>
      <c r="BS35" s="4">
        <f t="shared" ca="1" si="18"/>
        <v>21506.520151930243</v>
      </c>
      <c r="BT35" s="4">
        <f t="shared" ca="1" si="19"/>
        <v>10000</v>
      </c>
      <c r="BU35" s="4">
        <f t="shared" si="20"/>
        <v>0</v>
      </c>
      <c r="BV35" s="4">
        <f t="shared" si="21"/>
        <v>1</v>
      </c>
      <c r="BW35" s="4">
        <f t="shared" ca="1" si="22"/>
        <v>0</v>
      </c>
      <c r="BX35" s="4">
        <f t="shared" ca="1" si="23"/>
        <v>0</v>
      </c>
      <c r="BY35" s="4">
        <f t="shared" ca="1" si="24"/>
        <v>0</v>
      </c>
      <c r="BZ35" s="4">
        <f t="shared" ca="1" si="25"/>
        <v>0</v>
      </c>
      <c r="CA35" s="4">
        <f t="shared" ca="1" si="26"/>
        <v>0</v>
      </c>
      <c r="CB35" s="4">
        <f t="shared" ca="1" si="160"/>
        <v>0</v>
      </c>
      <c r="CC35" s="4"/>
      <c r="CD35" s="4">
        <f t="shared" ca="1" si="27"/>
        <v>183034.21405898081</v>
      </c>
      <c r="CE35" s="4">
        <f t="shared" ca="1" si="128"/>
        <v>162797.75096196996</v>
      </c>
      <c r="CF35" s="16">
        <f t="shared" si="28"/>
        <v>0</v>
      </c>
      <c r="CG35" s="4">
        <f t="shared" si="129"/>
        <v>5919.8130955905281</v>
      </c>
      <c r="CH35" s="4" t="e">
        <f t="shared" ca="1" si="29"/>
        <v>#NAME?</v>
      </c>
      <c r="CI35" s="4" t="e">
        <f t="shared" ca="1" si="30"/>
        <v>#NAME?</v>
      </c>
      <c r="CJ35" s="4" t="e">
        <f t="shared" ca="1" si="130"/>
        <v>#NAME?</v>
      </c>
      <c r="CK35" s="4" t="e">
        <f t="shared" ca="1" si="31"/>
        <v>#NAME?</v>
      </c>
      <c r="CL35" s="4" t="e">
        <f t="shared" ca="1" si="32"/>
        <v>#NAME?</v>
      </c>
      <c r="CM35" s="16"/>
      <c r="CN35" s="4">
        <f t="shared" si="33"/>
        <v>0</v>
      </c>
      <c r="CO35" s="4">
        <f t="shared" si="131"/>
        <v>0</v>
      </c>
      <c r="CP35" s="4">
        <f t="shared" ca="1" si="34"/>
        <v>1012823.1672808718</v>
      </c>
      <c r="CQ35" s="4"/>
      <c r="CR35" s="4">
        <f t="shared" ca="1" si="35"/>
        <v>51327.749372512219</v>
      </c>
      <c r="CS35" s="4">
        <f t="shared" ca="1" si="36"/>
        <v>39650</v>
      </c>
      <c r="CT35" s="4">
        <f t="shared" ca="1" si="37"/>
        <v>32946.158530616543</v>
      </c>
      <c r="CU35" s="4"/>
      <c r="CV35" s="4">
        <f t="shared" ca="1" si="132"/>
        <v>51327.749372512219</v>
      </c>
      <c r="CW35" s="4">
        <f t="shared" ca="1" si="38"/>
        <v>0</v>
      </c>
      <c r="CX35" s="4">
        <f t="shared" ca="1" si="39"/>
        <v>0</v>
      </c>
      <c r="CY35" s="4">
        <f t="shared" ca="1" si="133"/>
        <v>51327.749372512219</v>
      </c>
      <c r="CZ35" s="4"/>
      <c r="DA35" s="4">
        <f t="shared" ca="1" si="40"/>
        <v>51327.749372512219</v>
      </c>
      <c r="DB35" s="4">
        <f t="shared" si="41"/>
        <v>11439.638378686301</v>
      </c>
      <c r="DC35" s="4">
        <f t="shared" ca="1" si="134"/>
        <v>0</v>
      </c>
      <c r="DD35" s="4">
        <f t="shared" ca="1" si="42"/>
        <v>21506.520151930243</v>
      </c>
      <c r="DE35" s="4">
        <f t="shared" ca="1" si="43"/>
        <v>21506.520151930243</v>
      </c>
      <c r="DF35" s="4">
        <f t="shared" ca="1" si="135"/>
        <v>0</v>
      </c>
      <c r="DG35" s="4">
        <f t="shared" ca="1" si="136"/>
        <v>10753.260075965121</v>
      </c>
      <c r="DH35" s="4">
        <f t="shared" ca="1" si="44"/>
        <v>10753.260075965121</v>
      </c>
      <c r="DI35" s="4"/>
      <c r="DJ35" s="4">
        <f t="shared" ca="1" si="45"/>
        <v>29821.229220581976</v>
      </c>
      <c r="DK35" s="4">
        <f t="shared" ca="1" si="46"/>
        <v>10000</v>
      </c>
      <c r="DL35" s="4">
        <f t="shared" ca="1" si="47"/>
        <v>10000</v>
      </c>
      <c r="DM35" s="4">
        <f t="shared" ca="1" si="48"/>
        <v>10000</v>
      </c>
      <c r="DN35" s="4">
        <f t="shared" ca="1" si="49"/>
        <v>10000</v>
      </c>
      <c r="DO35" s="4">
        <f t="shared" ca="1" si="50"/>
        <v>0</v>
      </c>
      <c r="DP35" s="4"/>
      <c r="DQ35" s="4">
        <f t="shared" ca="1" si="51"/>
        <v>19821.229220581976</v>
      </c>
      <c r="DR35" s="4"/>
      <c r="DS35" s="4">
        <f t="shared" si="137"/>
        <v>0</v>
      </c>
      <c r="DT35" s="4">
        <f t="shared" si="52"/>
        <v>0</v>
      </c>
      <c r="DU35" s="4">
        <f t="shared" si="53"/>
        <v>0</v>
      </c>
      <c r="DV35" s="4"/>
      <c r="DW35" s="4">
        <f t="shared" ca="1" si="138"/>
        <v>401622.24431755935</v>
      </c>
      <c r="DX35" s="4">
        <f t="shared" ca="1" si="54"/>
        <v>10753.260075965121</v>
      </c>
      <c r="DY35" s="4">
        <f t="shared" ca="1" si="139"/>
        <v>20081.112215877969</v>
      </c>
      <c r="DZ35" s="4">
        <f t="shared" ca="1" si="55"/>
        <v>0</v>
      </c>
      <c r="EA35" s="4">
        <f t="shared" ca="1" si="56"/>
        <v>0</v>
      </c>
      <c r="EB35" s="4">
        <f t="shared" ca="1" si="57"/>
        <v>421703.35653343733</v>
      </c>
      <c r="EC35" s="4">
        <f t="shared" si="58"/>
        <v>1</v>
      </c>
      <c r="ED35" s="4"/>
      <c r="EE35" s="4">
        <f t="shared" ca="1" si="140"/>
        <v>0</v>
      </c>
      <c r="EF35" s="4">
        <f t="shared" ca="1" si="59"/>
        <v>0</v>
      </c>
      <c r="EG35" s="4">
        <f t="shared" ca="1" si="141"/>
        <v>0</v>
      </c>
      <c r="EH35" s="4">
        <f t="shared" ca="1" si="60"/>
        <v>0</v>
      </c>
      <c r="EI35" s="4">
        <f t="shared" ca="1" si="61"/>
        <v>0</v>
      </c>
      <c r="EJ35" s="4">
        <f t="shared" ca="1" si="62"/>
        <v>0</v>
      </c>
      <c r="EK35" s="4">
        <f t="shared" si="63"/>
        <v>1</v>
      </c>
      <c r="EL35" s="4">
        <f t="shared" si="64"/>
        <v>0</v>
      </c>
      <c r="EM35" s="4"/>
      <c r="EN35" s="4">
        <f t="shared" ca="1" si="142"/>
        <v>385813.14395046158</v>
      </c>
      <c r="EO35" s="4">
        <f t="shared" ca="1" si="65"/>
        <v>10000</v>
      </c>
      <c r="EP35" s="4">
        <f t="shared" ca="1" si="143"/>
        <v>19290.65719752308</v>
      </c>
      <c r="EQ35" s="4">
        <f t="shared" ca="1" si="66"/>
        <v>0</v>
      </c>
      <c r="ER35" s="4">
        <v>0</v>
      </c>
      <c r="ES35" s="4">
        <f t="shared" ca="1" si="144"/>
        <v>405103.80114798469</v>
      </c>
      <c r="ET35" s="4"/>
      <c r="EU35" s="4">
        <f t="shared" ca="1" si="145"/>
        <v>225387.77901285086</v>
      </c>
      <c r="EV35" s="4">
        <f t="shared" ca="1" si="67"/>
        <v>19821.229220581976</v>
      </c>
      <c r="EW35" s="4">
        <f t="shared" ca="1" si="146"/>
        <v>11269.388950642544</v>
      </c>
      <c r="EX35" s="4">
        <f t="shared" ca="1" si="68"/>
        <v>0</v>
      </c>
      <c r="EY35" s="4">
        <v>0</v>
      </c>
      <c r="EZ35" s="4">
        <f t="shared" ca="1" si="147"/>
        <v>236657.16796349341</v>
      </c>
      <c r="FA35" s="4">
        <f t="shared" ca="1" si="148"/>
        <v>21912.512817185103</v>
      </c>
      <c r="FB35" s="1">
        <f t="shared" ca="1" si="69"/>
        <v>9.7221388458403168E-2</v>
      </c>
      <c r="FC35" s="4">
        <f t="shared" ca="1" si="149"/>
        <v>4507.7555802570178</v>
      </c>
      <c r="FD35" s="4">
        <f t="shared" ca="1" si="150"/>
        <v>5634.694475321272</v>
      </c>
      <c r="FE35" s="4">
        <f t="shared" ca="1" si="70"/>
        <v>1555.175675188671</v>
      </c>
      <c r="FF35" s="4">
        <f t="shared" ca="1" si="71"/>
        <v>233.58738641333838</v>
      </c>
      <c r="FG35" s="4">
        <f t="shared" ca="1" si="72"/>
        <v>155.51756751886711</v>
      </c>
      <c r="FH35" s="17">
        <f t="shared" ca="1" si="73"/>
        <v>0</v>
      </c>
      <c r="FI35" s="4">
        <f t="shared" ca="1" si="74"/>
        <v>0</v>
      </c>
      <c r="FJ35" s="4"/>
      <c r="FK35" s="4">
        <f t="shared" ca="1" si="75"/>
        <v>1063464.3256449155</v>
      </c>
      <c r="FL35" s="4"/>
      <c r="FM35" s="4">
        <v>0</v>
      </c>
      <c r="FN35" s="4">
        <f t="shared" si="76"/>
        <v>0</v>
      </c>
      <c r="FO35" s="4">
        <f t="shared" si="77"/>
        <v>0</v>
      </c>
      <c r="FP35" s="4">
        <f t="shared" si="78"/>
        <v>0</v>
      </c>
      <c r="FQ35" s="4">
        <f t="shared" si="79"/>
        <v>0</v>
      </c>
      <c r="FR35" s="4">
        <f t="shared" si="80"/>
        <v>0</v>
      </c>
      <c r="FS35" s="4">
        <f t="shared" si="81"/>
        <v>0</v>
      </c>
      <c r="FT35" s="4">
        <f t="shared" ca="1" si="82"/>
        <v>10753.260075965121</v>
      </c>
      <c r="FU35" s="4"/>
      <c r="FV35" s="3">
        <f t="shared" si="83"/>
        <v>0.57437455289470007</v>
      </c>
      <c r="FW35" s="3">
        <f t="shared" si="84"/>
        <v>0.57437455289470007</v>
      </c>
      <c r="FX35" s="4">
        <f t="shared" si="151"/>
        <v>2045</v>
      </c>
      <c r="FY35" s="18">
        <f t="shared" si="85"/>
        <v>105.13019486455994</v>
      </c>
      <c r="FZ35" s="18">
        <f t="shared" si="86"/>
        <v>0</v>
      </c>
      <c r="GA35" s="18">
        <f t="shared" si="87"/>
        <v>0</v>
      </c>
      <c r="GB35" s="18">
        <f t="shared" si="88"/>
        <v>0</v>
      </c>
      <c r="GC35" s="18">
        <f t="shared" ca="1" si="89"/>
        <v>0</v>
      </c>
      <c r="GD35" s="18">
        <f t="shared" ca="1" si="90"/>
        <v>0</v>
      </c>
      <c r="GE35" s="18">
        <f t="shared" ca="1" si="91"/>
        <v>0</v>
      </c>
      <c r="GF35" s="18">
        <f t="shared" ca="1" si="92"/>
        <v>0</v>
      </c>
      <c r="GG35" s="18" t="e">
        <f t="shared" ca="1" si="93"/>
        <v>#NAME?</v>
      </c>
      <c r="GH35" s="18" t="e">
        <f t="shared" ca="1" si="94"/>
        <v>#NAME?</v>
      </c>
      <c r="GI35" s="4"/>
      <c r="GJ35" s="4">
        <f t="shared" si="95"/>
        <v>2045</v>
      </c>
      <c r="GK35" s="4">
        <f t="shared" ca="1" si="96"/>
        <v>230.68159701246415</v>
      </c>
      <c r="GL35" s="4">
        <f t="shared" ca="1" si="97"/>
        <v>0</v>
      </c>
      <c r="GM35" s="4">
        <f t="shared" ca="1" si="98"/>
        <v>221.60125205744495</v>
      </c>
      <c r="GN35" s="4">
        <f t="shared" ca="1" si="99"/>
        <v>129.45700479843569</v>
      </c>
      <c r="GO35" s="4"/>
      <c r="GP35" s="3">
        <f t="shared" ca="1" si="152"/>
        <v>0.39653737917132692</v>
      </c>
      <c r="GQ35" s="3">
        <f t="shared" ca="1" si="100"/>
        <v>0</v>
      </c>
      <c r="GR35" s="3">
        <f t="shared" ca="1" si="101"/>
        <v>0.22253418592107232</v>
      </c>
      <c r="GS35" s="3">
        <f t="shared" ca="1" si="102"/>
        <v>0.38092843490760075</v>
      </c>
      <c r="GT35" s="3">
        <f t="array" aca="1" ref="GT35" ca="1">SUM(GP35:GS35*$GU$6:$GX$6)</f>
        <v>1</v>
      </c>
      <c r="GU35" s="3">
        <f t="shared" ca="1" si="155"/>
        <v>0.39653737917132692</v>
      </c>
      <c r="GV35" s="3">
        <f t="shared" ca="1" si="156"/>
        <v>0</v>
      </c>
      <c r="GW35" s="3">
        <f t="shared" ca="1" si="157"/>
        <v>0.22253418592107232</v>
      </c>
      <c r="GX35" s="3">
        <f t="shared" ca="1" si="158"/>
        <v>0.38092843490760075</v>
      </c>
      <c r="GY35" s="11"/>
      <c r="GZ35" s="27">
        <v>77</v>
      </c>
      <c r="HA35" s="30">
        <v>6.1699999999999998E-2</v>
      </c>
      <c r="HB35" s="29">
        <f t="shared" ca="1" si="153"/>
        <v>0.1125</v>
      </c>
      <c r="HC35" s="29">
        <v>0.1125</v>
      </c>
      <c r="HD35" s="29">
        <v>0.10299999999999999</v>
      </c>
      <c r="HE35" s="29">
        <v>9.35E-2</v>
      </c>
      <c r="HG35" s="27">
        <v>75</v>
      </c>
      <c r="HH35" s="30">
        <v>5.8200000000000002E-2</v>
      </c>
      <c r="HJ35">
        <f t="shared" si="159"/>
        <v>2038</v>
      </c>
      <c r="HK35" s="28">
        <f t="shared" si="164"/>
        <v>34520</v>
      </c>
      <c r="HL35" s="27">
        <f t="shared" si="162"/>
        <v>8500</v>
      </c>
      <c r="HM35" s="28">
        <f t="shared" si="163"/>
        <v>8502.8881892673435</v>
      </c>
      <c r="HQ35" s="28">
        <v>1000000</v>
      </c>
      <c r="HR35" s="27">
        <v>1000000</v>
      </c>
      <c r="HS35" s="27">
        <v>1000000</v>
      </c>
      <c r="HT35" s="27">
        <v>1000000</v>
      </c>
      <c r="HU35" s="27">
        <v>1000000</v>
      </c>
      <c r="HV35" s="27">
        <v>1000000</v>
      </c>
      <c r="HW35" s="27">
        <v>1000000</v>
      </c>
      <c r="HX35" s="27">
        <v>1000000</v>
      </c>
      <c r="HY35" s="27">
        <v>1000000</v>
      </c>
      <c r="HZ35" s="28">
        <v>1000000</v>
      </c>
      <c r="IA35" s="27">
        <v>1000000</v>
      </c>
      <c r="IB35" s="27">
        <v>1000000</v>
      </c>
      <c r="IC35" s="27">
        <v>1000000</v>
      </c>
      <c r="ID35" s="27">
        <v>1000000</v>
      </c>
      <c r="IE35" s="28">
        <v>1000000</v>
      </c>
      <c r="IF35" s="28">
        <v>1000000</v>
      </c>
      <c r="IG35" s="28">
        <v>1000000</v>
      </c>
    </row>
    <row r="36" spans="1:241" x14ac:dyDescent="0.25">
      <c r="A36" t="s">
        <v>64</v>
      </c>
      <c r="B36" s="62">
        <f>Inputs_Summary!AJ33</f>
        <v>60</v>
      </c>
      <c r="D36">
        <f t="shared" si="107"/>
        <v>2046</v>
      </c>
      <c r="E36">
        <f t="shared" si="108"/>
        <v>51</v>
      </c>
      <c r="F36" s="8"/>
      <c r="G36" s="8"/>
      <c r="H36" s="9"/>
      <c r="I36" s="8"/>
      <c r="J36" s="92"/>
      <c r="K36" s="91"/>
      <c r="L36" s="91"/>
      <c r="N36" s="93">
        <f t="shared" si="109"/>
        <v>0.05</v>
      </c>
      <c r="O36" s="23">
        <f t="shared" si="110"/>
        <v>0.4</v>
      </c>
      <c r="P36" s="23">
        <f t="shared" si="111"/>
        <v>0.1</v>
      </c>
      <c r="Q36" s="4">
        <f t="shared" si="0"/>
        <v>0</v>
      </c>
      <c r="R36" s="4">
        <f t="shared" si="112"/>
        <v>0</v>
      </c>
      <c r="S36" s="4">
        <f t="shared" si="113"/>
        <v>0</v>
      </c>
      <c r="T36" s="4">
        <f t="shared" ca="1" si="114"/>
        <v>0</v>
      </c>
      <c r="V36" s="18" t="e">
        <f t="shared" ca="1" si="1"/>
        <v>#NAME?</v>
      </c>
      <c r="W36" s="18" t="e">
        <f t="shared" ca="1" si="2"/>
        <v>#NAME?</v>
      </c>
      <c r="X36" s="18">
        <f t="shared" si="3"/>
        <v>0</v>
      </c>
      <c r="Y36" s="18">
        <f t="shared" ca="1" si="4"/>
        <v>12.473903758317023</v>
      </c>
      <c r="Z36" s="18">
        <f t="shared" ca="1" si="5"/>
        <v>0</v>
      </c>
      <c r="AA36" s="18">
        <f t="shared" ca="1" si="6"/>
        <v>5.6311230675950981</v>
      </c>
      <c r="AB36" s="18">
        <f t="shared" ca="1" si="7"/>
        <v>11.933501668310168</v>
      </c>
      <c r="AC36" s="18">
        <f t="shared" ca="1" si="8"/>
        <v>243.52164295233359</v>
      </c>
      <c r="AD36" s="18">
        <f t="shared" ca="1" si="9"/>
        <v>0</v>
      </c>
      <c r="AE36" s="18">
        <f t="shared" ca="1" si="10"/>
        <v>233.75005900908252</v>
      </c>
      <c r="AF36" s="18">
        <f t="shared" ca="1" si="11"/>
        <v>144.42614187230646</v>
      </c>
      <c r="AG36" s="18">
        <f t="shared" ca="1" si="12"/>
        <v>621.69784383372269</v>
      </c>
      <c r="AI36">
        <f>Person2!E36</f>
        <v>51</v>
      </c>
      <c r="AJ36">
        <f>Person2!AZ36</f>
        <v>1</v>
      </c>
      <c r="AK36">
        <f>IF($AZ36&lt;&gt;3,Person2!FM36,0)</f>
        <v>0</v>
      </c>
      <c r="AL36" s="4">
        <f ca="1">IF($AZ36&lt;&gt;3,Person2!FN36+Person2!FT36,0)</f>
        <v>0</v>
      </c>
      <c r="AM36">
        <f>IF($AZ36&lt;&gt;3,Person2!FO36,0)</f>
        <v>0</v>
      </c>
      <c r="AN36">
        <f>IF($AZ36&lt;&gt;3,Person2!FP36,0)</f>
        <v>0</v>
      </c>
      <c r="AO36">
        <f>IF($AZ36&lt;&gt;3,Person2!FQ36,0)</f>
        <v>0</v>
      </c>
      <c r="AP36">
        <f>IF($AZ36&lt;&gt;3,Person2!FR36,0)</f>
        <v>0</v>
      </c>
      <c r="AQ36">
        <v>0</v>
      </c>
      <c r="AR36" s="4">
        <f>Person2!FS36</f>
        <v>0</v>
      </c>
      <c r="AS36" s="4">
        <v>0</v>
      </c>
      <c r="AT36" s="4">
        <v>0</v>
      </c>
      <c r="AV36">
        <f t="shared" si="161"/>
        <v>2046</v>
      </c>
      <c r="AW36">
        <f t="shared" si="116"/>
        <v>51</v>
      </c>
      <c r="AX36">
        <f t="shared" si="117"/>
        <v>1.7758446902974065</v>
      </c>
      <c r="AY36">
        <f t="shared" si="118"/>
        <v>0.56311230675950985</v>
      </c>
      <c r="AZ36">
        <f t="shared" si="119"/>
        <v>1</v>
      </c>
      <c r="BB36" s="4">
        <f t="shared" si="13"/>
        <v>188525.24048075022</v>
      </c>
      <c r="BC36">
        <f t="shared" si="14"/>
        <v>0</v>
      </c>
      <c r="BD36" s="4">
        <f t="shared" si="15"/>
        <v>0</v>
      </c>
      <c r="BE36" s="4">
        <f t="shared" si="120"/>
        <v>0</v>
      </c>
      <c r="BF36" s="4">
        <f t="shared" si="121"/>
        <v>0</v>
      </c>
      <c r="BG36" s="4">
        <f t="shared" si="122"/>
        <v>0</v>
      </c>
      <c r="BH36" s="4">
        <f t="shared" si="16"/>
        <v>0</v>
      </c>
      <c r="BI36" s="4">
        <f t="shared" si="123"/>
        <v>188525.24048075022</v>
      </c>
      <c r="BJ36" s="4"/>
      <c r="BK36" s="4">
        <f t="shared" si="17"/>
        <v>88792.234514870332</v>
      </c>
      <c r="BL36" s="4">
        <f t="shared" si="124"/>
        <v>0</v>
      </c>
      <c r="BM36" s="4">
        <f t="shared" si="125"/>
        <v>88792.234514870332</v>
      </c>
      <c r="BN36" s="4">
        <v>46389.244635067873</v>
      </c>
      <c r="BO36" s="4">
        <f t="shared" si="126"/>
        <v>135181.47914993821</v>
      </c>
      <c r="BP36" s="4">
        <f t="shared" si="127"/>
        <v>53343.761330812005</v>
      </c>
      <c r="BQ36" s="4"/>
      <c r="BR36" s="4">
        <v>0</v>
      </c>
      <c r="BS36" s="4">
        <f t="shared" ca="1" si="18"/>
        <v>22151.715756488149</v>
      </c>
      <c r="BT36" s="4">
        <f t="shared" ca="1" si="19"/>
        <v>10000</v>
      </c>
      <c r="BU36" s="4">
        <f t="shared" si="20"/>
        <v>0</v>
      </c>
      <c r="BV36" s="4">
        <f t="shared" si="21"/>
        <v>1</v>
      </c>
      <c r="BW36" s="4">
        <f t="shared" ca="1" si="22"/>
        <v>0</v>
      </c>
      <c r="BX36" s="4">
        <f t="shared" ca="1" si="23"/>
        <v>0</v>
      </c>
      <c r="BY36" s="4">
        <f t="shared" ca="1" si="24"/>
        <v>0</v>
      </c>
      <c r="BZ36" s="4">
        <f t="shared" ca="1" si="25"/>
        <v>0</v>
      </c>
      <c r="CA36" s="4">
        <f t="shared" ca="1" si="26"/>
        <v>0</v>
      </c>
      <c r="CB36" s="4">
        <f t="shared" ca="1" si="160"/>
        <v>0</v>
      </c>
      <c r="CC36" s="4"/>
      <c r="CD36" s="4">
        <f t="shared" ca="1" si="27"/>
        <v>188525.24048075022</v>
      </c>
      <c r="CE36" s="4">
        <f t="shared" ca="1" si="128"/>
        <v>168516.97623693172</v>
      </c>
      <c r="CF36" s="16">
        <f t="shared" si="28"/>
        <v>0</v>
      </c>
      <c r="CG36" s="4">
        <f t="shared" si="129"/>
        <v>6038.2093575023391</v>
      </c>
      <c r="CH36" s="4" t="e">
        <f t="shared" ca="1" si="29"/>
        <v>#NAME?</v>
      </c>
      <c r="CI36" s="4" t="e">
        <f t="shared" ca="1" si="30"/>
        <v>#NAME?</v>
      </c>
      <c r="CJ36" s="4" t="e">
        <f t="shared" ca="1" si="130"/>
        <v>#NAME?</v>
      </c>
      <c r="CK36" s="4" t="e">
        <f t="shared" ca="1" si="31"/>
        <v>#NAME?</v>
      </c>
      <c r="CL36" s="4" t="e">
        <f t="shared" ca="1" si="32"/>
        <v>#NAME?</v>
      </c>
      <c r="CM36" s="16"/>
      <c r="CN36" s="4">
        <f t="shared" si="33"/>
        <v>0</v>
      </c>
      <c r="CO36" s="4">
        <f t="shared" si="131"/>
        <v>0</v>
      </c>
      <c r="CP36" s="4">
        <f t="shared" ca="1" si="34"/>
        <v>1104038.8149414626</v>
      </c>
      <c r="CQ36" s="4"/>
      <c r="CR36" s="4">
        <f t="shared" ca="1" si="35"/>
        <v>53343.761330812005</v>
      </c>
      <c r="CS36" s="4">
        <f t="shared" ca="1" si="36"/>
        <v>40440</v>
      </c>
      <c r="CT36" s="4">
        <f t="shared" ca="1" si="37"/>
        <v>33934.543286535038</v>
      </c>
      <c r="CU36" s="4"/>
      <c r="CV36" s="4">
        <f t="shared" ca="1" si="132"/>
        <v>53343.761330812005</v>
      </c>
      <c r="CW36" s="4">
        <f t="shared" ca="1" si="38"/>
        <v>0</v>
      </c>
      <c r="CX36" s="4">
        <f t="shared" ca="1" si="39"/>
        <v>0</v>
      </c>
      <c r="CY36" s="4">
        <f t="shared" ca="1" si="133"/>
        <v>53343.761330812005</v>
      </c>
      <c r="CZ36" s="4"/>
      <c r="DA36" s="4">
        <f t="shared" ca="1" si="40"/>
        <v>53343.761330812005</v>
      </c>
      <c r="DB36" s="4">
        <f t="shared" si="41"/>
        <v>11782.827530046889</v>
      </c>
      <c r="DC36" s="4">
        <f t="shared" ca="1" si="134"/>
        <v>0</v>
      </c>
      <c r="DD36" s="4">
        <f t="shared" ca="1" si="42"/>
        <v>22151.715756488149</v>
      </c>
      <c r="DE36" s="4">
        <f t="shared" ca="1" si="43"/>
        <v>22151.715756488149</v>
      </c>
      <c r="DF36" s="4">
        <f t="shared" ca="1" si="135"/>
        <v>0</v>
      </c>
      <c r="DG36" s="4">
        <f t="shared" ca="1" si="136"/>
        <v>11075.857878244075</v>
      </c>
      <c r="DH36" s="4">
        <f t="shared" ca="1" si="44"/>
        <v>11075.857878244075</v>
      </c>
      <c r="DI36" s="4"/>
      <c r="DJ36" s="4">
        <f t="shared" ca="1" si="45"/>
        <v>31192.045574323856</v>
      </c>
      <c r="DK36" s="4">
        <f t="shared" ca="1" si="46"/>
        <v>10000</v>
      </c>
      <c r="DL36" s="4">
        <f t="shared" ca="1" si="47"/>
        <v>10000</v>
      </c>
      <c r="DM36" s="4">
        <f t="shared" ca="1" si="48"/>
        <v>10000</v>
      </c>
      <c r="DN36" s="4">
        <f t="shared" ca="1" si="49"/>
        <v>10000</v>
      </c>
      <c r="DO36" s="4">
        <f t="shared" ca="1" si="50"/>
        <v>0</v>
      </c>
      <c r="DP36" s="4"/>
      <c r="DQ36" s="4">
        <f t="shared" ca="1" si="51"/>
        <v>21192.045574323856</v>
      </c>
      <c r="DR36" s="4"/>
      <c r="DS36" s="4">
        <f t="shared" si="137"/>
        <v>0</v>
      </c>
      <c r="DT36" s="4">
        <f t="shared" si="52"/>
        <v>0</v>
      </c>
      <c r="DU36" s="4">
        <f t="shared" si="53"/>
        <v>0</v>
      </c>
      <c r="DV36" s="4"/>
      <c r="DW36" s="4">
        <f t="shared" ca="1" si="138"/>
        <v>432456.61660940247</v>
      </c>
      <c r="DX36" s="4">
        <f t="shared" ca="1" si="54"/>
        <v>11075.857878244075</v>
      </c>
      <c r="DY36" s="4">
        <f t="shared" ca="1" si="139"/>
        <v>21622.830830470124</v>
      </c>
      <c r="DZ36" s="4">
        <f t="shared" ca="1" si="55"/>
        <v>0</v>
      </c>
      <c r="EA36" s="4">
        <f t="shared" ca="1" si="56"/>
        <v>0</v>
      </c>
      <c r="EB36" s="4">
        <f t="shared" ca="1" si="57"/>
        <v>454079.4474398726</v>
      </c>
      <c r="EC36" s="4">
        <f t="shared" si="58"/>
        <v>1</v>
      </c>
      <c r="ED36" s="4"/>
      <c r="EE36" s="4">
        <f t="shared" ca="1" si="140"/>
        <v>0</v>
      </c>
      <c r="EF36" s="4">
        <f t="shared" ca="1" si="59"/>
        <v>0</v>
      </c>
      <c r="EG36" s="4">
        <f t="shared" ca="1" si="141"/>
        <v>0</v>
      </c>
      <c r="EH36" s="4">
        <f t="shared" ca="1" si="60"/>
        <v>0</v>
      </c>
      <c r="EI36" s="4">
        <f t="shared" ca="1" si="61"/>
        <v>0</v>
      </c>
      <c r="EJ36" s="4">
        <f t="shared" ca="1" si="62"/>
        <v>0</v>
      </c>
      <c r="EK36" s="4">
        <f t="shared" si="63"/>
        <v>1</v>
      </c>
      <c r="EL36" s="4">
        <f t="shared" si="64"/>
        <v>0</v>
      </c>
      <c r="EM36" s="4"/>
      <c r="EN36" s="4">
        <f t="shared" ca="1" si="142"/>
        <v>415103.80114798469</v>
      </c>
      <c r="EO36" s="4">
        <f t="shared" ca="1" si="65"/>
        <v>10000</v>
      </c>
      <c r="EP36" s="4">
        <f t="shared" ca="1" si="143"/>
        <v>20755.190057399235</v>
      </c>
      <c r="EQ36" s="4">
        <f t="shared" ca="1" si="66"/>
        <v>0</v>
      </c>
      <c r="ER36" s="4">
        <v>0</v>
      </c>
      <c r="ES36" s="4">
        <f t="shared" ca="1" si="144"/>
        <v>435858.99120538391</v>
      </c>
      <c r="ET36" s="4"/>
      <c r="EU36" s="4">
        <f t="shared" ca="1" si="145"/>
        <v>256478.39718407538</v>
      </c>
      <c r="EV36" s="4">
        <f t="shared" ca="1" si="67"/>
        <v>21192.045574323856</v>
      </c>
      <c r="EW36" s="4">
        <f t="shared" ca="1" si="146"/>
        <v>12823.91985920377</v>
      </c>
      <c r="EX36" s="4">
        <f t="shared" ca="1" si="68"/>
        <v>0</v>
      </c>
      <c r="EY36" s="4">
        <v>0</v>
      </c>
      <c r="EZ36" s="4">
        <f t="shared" ca="1" si="147"/>
        <v>269302.31704327912</v>
      </c>
      <c r="FA36" s="4">
        <f t="shared" ca="1" si="148"/>
        <v>26420.26839744212</v>
      </c>
      <c r="FB36" s="1">
        <f t="shared" ca="1" si="69"/>
        <v>0.10301167149949166</v>
      </c>
      <c r="FC36" s="4">
        <f t="shared" ca="1" si="149"/>
        <v>5129.567943681508</v>
      </c>
      <c r="FD36" s="4">
        <f t="shared" ca="1" si="150"/>
        <v>6411.9599296018851</v>
      </c>
      <c r="FE36" s="4">
        <f t="shared" ca="1" si="70"/>
        <v>1769.7009405701201</v>
      </c>
      <c r="FF36" s="4">
        <f t="shared" ca="1" si="71"/>
        <v>265.80908127363205</v>
      </c>
      <c r="FG36" s="4">
        <f t="shared" ca="1" si="72"/>
        <v>176.97009405701203</v>
      </c>
      <c r="FH36" s="17">
        <f t="shared" ca="1" si="73"/>
        <v>0</v>
      </c>
      <c r="FI36" s="4">
        <f t="shared" ca="1" si="74"/>
        <v>0</v>
      </c>
      <c r="FJ36" s="4"/>
      <c r="FK36" s="4">
        <f t="shared" ca="1" si="75"/>
        <v>1159240.7556885355</v>
      </c>
      <c r="FL36" s="4"/>
      <c r="FM36" s="4">
        <v>0</v>
      </c>
      <c r="FN36" s="4">
        <f t="shared" si="76"/>
        <v>0</v>
      </c>
      <c r="FO36" s="4">
        <f t="shared" si="77"/>
        <v>0</v>
      </c>
      <c r="FP36" s="4">
        <f t="shared" si="78"/>
        <v>0</v>
      </c>
      <c r="FQ36" s="4">
        <f t="shared" si="79"/>
        <v>0</v>
      </c>
      <c r="FR36" s="4">
        <f t="shared" si="80"/>
        <v>0</v>
      </c>
      <c r="FS36" s="4">
        <f t="shared" si="81"/>
        <v>0</v>
      </c>
      <c r="FT36" s="4">
        <f t="shared" ca="1" si="82"/>
        <v>11075.857878244075</v>
      </c>
      <c r="FU36" s="4"/>
      <c r="FV36" s="3">
        <f t="shared" si="83"/>
        <v>0.56311230675950985</v>
      </c>
      <c r="FW36" s="3">
        <f t="shared" si="84"/>
        <v>0.56311230675950985</v>
      </c>
      <c r="FX36" s="4">
        <f t="shared" si="151"/>
        <v>2046</v>
      </c>
      <c r="FY36" s="18">
        <f t="shared" si="85"/>
        <v>106.16088304950658</v>
      </c>
      <c r="FZ36" s="18">
        <f t="shared" si="86"/>
        <v>0</v>
      </c>
      <c r="GA36" s="18">
        <f t="shared" si="87"/>
        <v>0</v>
      </c>
      <c r="GB36" s="18">
        <f t="shared" si="88"/>
        <v>0</v>
      </c>
      <c r="GC36" s="18">
        <f t="shared" ca="1" si="89"/>
        <v>0</v>
      </c>
      <c r="GD36" s="18">
        <f t="shared" ca="1" si="90"/>
        <v>0</v>
      </c>
      <c r="GE36" s="18">
        <f t="shared" ca="1" si="91"/>
        <v>0</v>
      </c>
      <c r="GF36" s="18">
        <f t="shared" ca="1" si="92"/>
        <v>0</v>
      </c>
      <c r="GG36" s="18" t="e">
        <f t="shared" ca="1" si="93"/>
        <v>#NAME?</v>
      </c>
      <c r="GH36" s="18" t="e">
        <f t="shared" ca="1" si="94"/>
        <v>#NAME?</v>
      </c>
      <c r="GI36" s="4"/>
      <c r="GJ36" s="4">
        <f t="shared" si="95"/>
        <v>2046</v>
      </c>
      <c r="GK36" s="4">
        <f t="shared" ca="1" si="96"/>
        <v>243.52164295233359</v>
      </c>
      <c r="GL36" s="4">
        <f t="shared" ca="1" si="97"/>
        <v>0</v>
      </c>
      <c r="GM36" s="4">
        <f t="shared" ca="1" si="98"/>
        <v>233.75005900908252</v>
      </c>
      <c r="GN36" s="4">
        <f t="shared" ca="1" si="99"/>
        <v>144.42614187230646</v>
      </c>
      <c r="GO36" s="4"/>
      <c r="GP36" s="3">
        <f t="shared" ca="1" si="152"/>
        <v>0.39170417811110375</v>
      </c>
      <c r="GQ36" s="3">
        <f t="shared" ca="1" si="100"/>
        <v>0</v>
      </c>
      <c r="GR36" s="3">
        <f t="shared" ca="1" si="101"/>
        <v>0.23230922111889171</v>
      </c>
      <c r="GS36" s="3">
        <f t="shared" ca="1" si="102"/>
        <v>0.37598660077000468</v>
      </c>
      <c r="GT36" s="3">
        <f t="array" aca="1" ref="GT36" ca="1">SUM(GP36:GS36*$GU$6:$GX$6)</f>
        <v>1</v>
      </c>
      <c r="GU36" s="3">
        <f t="shared" ca="1" si="155"/>
        <v>0.39170417811110375</v>
      </c>
      <c r="GV36" s="3">
        <f t="shared" ca="1" si="156"/>
        <v>0</v>
      </c>
      <c r="GW36" s="3">
        <f t="shared" ca="1" si="157"/>
        <v>0.23230922111889171</v>
      </c>
      <c r="GX36" s="3">
        <f t="shared" ca="1" si="158"/>
        <v>0.37598660077000468</v>
      </c>
      <c r="GY36" s="11"/>
      <c r="GZ36" s="27">
        <v>78</v>
      </c>
      <c r="HA36" s="30">
        <v>6.3600000000000004E-2</v>
      </c>
      <c r="HB36" s="29">
        <f t="shared" ca="1" si="153"/>
        <v>0.1196</v>
      </c>
      <c r="HC36" s="29">
        <v>0.1196</v>
      </c>
      <c r="HD36" s="29">
        <v>0.108</v>
      </c>
      <c r="HE36" s="29">
        <v>0.10100000000000001</v>
      </c>
      <c r="HG36" s="27">
        <v>76</v>
      </c>
      <c r="HH36" s="30">
        <v>5.9799999999999999E-2</v>
      </c>
      <c r="HJ36">
        <f t="shared" si="159"/>
        <v>2039</v>
      </c>
      <c r="HK36" s="28">
        <f t="shared" si="164"/>
        <v>35210</v>
      </c>
      <c r="HL36" s="27">
        <f t="shared" si="162"/>
        <v>8500</v>
      </c>
      <c r="HM36" s="28">
        <f t="shared" si="163"/>
        <v>8672.945953052691</v>
      </c>
    </row>
    <row r="37" spans="1:241" x14ac:dyDescent="0.25">
      <c r="A37" t="s">
        <v>200</v>
      </c>
      <c r="B37" s="63">
        <f>Inputs_Summary!AJ34</f>
        <v>0.02</v>
      </c>
      <c r="D37">
        <f t="shared" si="107"/>
        <v>2047</v>
      </c>
      <c r="E37">
        <f t="shared" si="108"/>
        <v>52</v>
      </c>
      <c r="F37" s="8"/>
      <c r="G37" s="8"/>
      <c r="H37" s="9"/>
      <c r="I37" s="8"/>
      <c r="J37" s="92"/>
      <c r="K37" s="91"/>
      <c r="L37" s="91"/>
      <c r="N37" s="93">
        <f t="shared" si="109"/>
        <v>0.05</v>
      </c>
      <c r="O37" s="23">
        <f t="shared" si="110"/>
        <v>0.4</v>
      </c>
      <c r="P37" s="23">
        <f t="shared" si="111"/>
        <v>0.1</v>
      </c>
      <c r="Q37" s="4">
        <f t="shared" si="0"/>
        <v>0</v>
      </c>
      <c r="R37" s="4">
        <f t="shared" si="112"/>
        <v>0</v>
      </c>
      <c r="S37" s="4">
        <f t="shared" si="113"/>
        <v>0</v>
      </c>
      <c r="T37" s="4">
        <f t="shared" ca="1" si="114"/>
        <v>0</v>
      </c>
      <c r="V37" s="18" t="e">
        <f t="shared" ca="1" si="1"/>
        <v>#NAME?</v>
      </c>
      <c r="W37" s="18" t="e">
        <f t="shared" ca="1" si="2"/>
        <v>#NAME?</v>
      </c>
      <c r="X37" s="18">
        <f t="shared" si="3"/>
        <v>0</v>
      </c>
      <c r="Y37" s="18">
        <f t="shared" ca="1" si="4"/>
        <v>12.59619693241817</v>
      </c>
      <c r="Z37" s="18">
        <f t="shared" ca="1" si="5"/>
        <v>0</v>
      </c>
      <c r="AA37" s="18">
        <f t="shared" ca="1" si="6"/>
        <v>5.5207088897991161</v>
      </c>
      <c r="AB37" s="18">
        <f t="shared" ca="1" si="7"/>
        <v>12.476147640813201</v>
      </c>
      <c r="AC37" s="18">
        <f t="shared" ca="1" si="8"/>
        <v>256.79870292069489</v>
      </c>
      <c r="AD37" s="18">
        <f t="shared" ca="1" si="9"/>
        <v>0</v>
      </c>
      <c r="AE37" s="18">
        <f t="shared" ca="1" si="10"/>
        <v>246.1457696344429</v>
      </c>
      <c r="AF37" s="18">
        <f t="shared" ca="1" si="11"/>
        <v>160.3734810139529</v>
      </c>
      <c r="AG37" s="18">
        <f t="shared" ca="1" si="12"/>
        <v>663.31795356909072</v>
      </c>
      <c r="AI37">
        <f>Person2!E37</f>
        <v>52</v>
      </c>
      <c r="AJ37">
        <f>Person2!AZ37</f>
        <v>1</v>
      </c>
      <c r="AK37">
        <f>IF($AZ37&lt;&gt;3,Person2!FM37,0)</f>
        <v>0</v>
      </c>
      <c r="AL37" s="4">
        <f ca="1">IF($AZ37&lt;&gt;3,Person2!FN37+Person2!FT37,0)</f>
        <v>0</v>
      </c>
      <c r="AM37">
        <f>IF($AZ37&lt;&gt;3,Person2!FO37,0)</f>
        <v>0</v>
      </c>
      <c r="AN37">
        <f>IF($AZ37&lt;&gt;3,Person2!FP37,0)</f>
        <v>0</v>
      </c>
      <c r="AO37">
        <f>IF($AZ37&lt;&gt;3,Person2!FQ37,0)</f>
        <v>0</v>
      </c>
      <c r="AP37">
        <f>IF($AZ37&lt;&gt;3,Person2!FR37,0)</f>
        <v>0</v>
      </c>
      <c r="AQ37">
        <v>0</v>
      </c>
      <c r="AR37" s="4">
        <f>Person2!FS37</f>
        <v>0</v>
      </c>
      <c r="AS37" s="4">
        <v>0</v>
      </c>
      <c r="AT37" s="4">
        <v>0</v>
      </c>
      <c r="AV37">
        <f t="shared" si="161"/>
        <v>2047</v>
      </c>
      <c r="AW37">
        <f t="shared" si="116"/>
        <v>52</v>
      </c>
      <c r="AX37">
        <f t="shared" si="117"/>
        <v>1.8113615841033548</v>
      </c>
      <c r="AY37">
        <f t="shared" si="118"/>
        <v>0.55207088897991163</v>
      </c>
      <c r="AZ37">
        <f t="shared" si="119"/>
        <v>1</v>
      </c>
      <c r="BB37" s="4">
        <f t="shared" si="13"/>
        <v>194180.99769517273</v>
      </c>
      <c r="BC37">
        <f t="shared" si="14"/>
        <v>0</v>
      </c>
      <c r="BD37" s="4">
        <f t="shared" si="15"/>
        <v>0</v>
      </c>
      <c r="BE37" s="4">
        <f t="shared" si="120"/>
        <v>0</v>
      </c>
      <c r="BF37" s="4">
        <f t="shared" si="121"/>
        <v>0</v>
      </c>
      <c r="BG37" s="4">
        <f t="shared" si="122"/>
        <v>0</v>
      </c>
      <c r="BH37" s="4">
        <f t="shared" si="16"/>
        <v>0</v>
      </c>
      <c r="BI37" s="4">
        <f t="shared" si="123"/>
        <v>194180.99769517273</v>
      </c>
      <c r="BJ37" s="4"/>
      <c r="BK37" s="4">
        <f t="shared" si="17"/>
        <v>90568.079205167742</v>
      </c>
      <c r="BL37" s="4">
        <f t="shared" si="124"/>
        <v>0</v>
      </c>
      <c r="BM37" s="4">
        <f t="shared" si="125"/>
        <v>90568.079205167742</v>
      </c>
      <c r="BN37" s="4">
        <v>48197.836706651447</v>
      </c>
      <c r="BO37" s="4">
        <f t="shared" si="126"/>
        <v>138765.9159118192</v>
      </c>
      <c r="BP37" s="4">
        <f t="shared" si="127"/>
        <v>55415.081783353526</v>
      </c>
      <c r="BQ37" s="4"/>
      <c r="BR37" s="4">
        <v>0</v>
      </c>
      <c r="BS37" s="4">
        <f t="shared" ca="1" si="18"/>
        <v>22816.267229182795</v>
      </c>
      <c r="BT37" s="4">
        <f t="shared" ca="1" si="19"/>
        <v>10000</v>
      </c>
      <c r="BU37" s="4">
        <f t="shared" si="20"/>
        <v>0</v>
      </c>
      <c r="BV37" s="4">
        <f t="shared" si="21"/>
        <v>1</v>
      </c>
      <c r="BW37" s="4">
        <f t="shared" ca="1" si="22"/>
        <v>0</v>
      </c>
      <c r="BX37" s="4">
        <f t="shared" ca="1" si="23"/>
        <v>0</v>
      </c>
      <c r="BY37" s="4">
        <f t="shared" ca="1" si="24"/>
        <v>0</v>
      </c>
      <c r="BZ37" s="4">
        <f t="shared" ca="1" si="25"/>
        <v>0</v>
      </c>
      <c r="CA37" s="4">
        <f t="shared" ca="1" si="26"/>
        <v>0</v>
      </c>
      <c r="CB37" s="4">
        <f t="shared" ca="1" si="160"/>
        <v>0</v>
      </c>
      <c r="CC37" s="4"/>
      <c r="CD37" s="4">
        <f t="shared" ca="1" si="27"/>
        <v>194180.99769517273</v>
      </c>
      <c r="CE37" s="4">
        <f t="shared" ca="1" si="128"/>
        <v>174472.52708883907</v>
      </c>
      <c r="CF37" s="16">
        <f t="shared" si="28"/>
        <v>0</v>
      </c>
      <c r="CG37" s="4">
        <f t="shared" si="129"/>
        <v>6158.9735446523864</v>
      </c>
      <c r="CH37" s="4" t="e">
        <f t="shared" ca="1" si="29"/>
        <v>#NAME?</v>
      </c>
      <c r="CI37" s="4" t="e">
        <f t="shared" ca="1" si="30"/>
        <v>#NAME?</v>
      </c>
      <c r="CJ37" s="4" t="e">
        <f t="shared" ca="1" si="130"/>
        <v>#NAME?</v>
      </c>
      <c r="CK37" s="4" t="e">
        <f t="shared" ca="1" si="31"/>
        <v>#NAME?</v>
      </c>
      <c r="CL37" s="4" t="e">
        <f t="shared" ca="1" si="32"/>
        <v>#NAME?</v>
      </c>
      <c r="CM37" s="16"/>
      <c r="CN37" s="4">
        <f t="shared" si="33"/>
        <v>0</v>
      </c>
      <c r="CO37" s="4">
        <f t="shared" si="131"/>
        <v>0</v>
      </c>
      <c r="CP37" s="4">
        <f t="shared" ca="1" si="34"/>
        <v>1201508.6591411035</v>
      </c>
      <c r="CQ37" s="4"/>
      <c r="CR37" s="4">
        <f t="shared" ca="1" si="35"/>
        <v>55415.081783353526</v>
      </c>
      <c r="CS37" s="4">
        <f t="shared" ca="1" si="36"/>
        <v>41250</v>
      </c>
      <c r="CT37" s="4">
        <f t="shared" ca="1" si="37"/>
        <v>34952.57958513109</v>
      </c>
      <c r="CU37" s="4"/>
      <c r="CV37" s="4">
        <f t="shared" ca="1" si="132"/>
        <v>55415.081783353526</v>
      </c>
      <c r="CW37" s="4">
        <f t="shared" ca="1" si="38"/>
        <v>0</v>
      </c>
      <c r="CX37" s="4">
        <f t="shared" ca="1" si="39"/>
        <v>0</v>
      </c>
      <c r="CY37" s="4">
        <f t="shared" ca="1" si="133"/>
        <v>55415.081783353526</v>
      </c>
      <c r="CZ37" s="4"/>
      <c r="DA37" s="4">
        <f t="shared" ca="1" si="40"/>
        <v>55415.081783353526</v>
      </c>
      <c r="DB37" s="4">
        <f t="shared" si="41"/>
        <v>12136.312355948296</v>
      </c>
      <c r="DC37" s="4">
        <f t="shared" ca="1" si="134"/>
        <v>0</v>
      </c>
      <c r="DD37" s="4">
        <f t="shared" ca="1" si="42"/>
        <v>22816.267229182795</v>
      </c>
      <c r="DE37" s="4">
        <f t="shared" ca="1" si="43"/>
        <v>22816.267229182795</v>
      </c>
      <c r="DF37" s="4">
        <f t="shared" ca="1" si="135"/>
        <v>0</v>
      </c>
      <c r="DG37" s="4">
        <f t="shared" ca="1" si="136"/>
        <v>11408.133614591397</v>
      </c>
      <c r="DH37" s="4">
        <f t="shared" ca="1" si="44"/>
        <v>11408.133614591397</v>
      </c>
      <c r="DI37" s="4"/>
      <c r="DJ37" s="4">
        <f t="shared" ca="1" si="45"/>
        <v>32598.814554170731</v>
      </c>
      <c r="DK37" s="4">
        <f t="shared" ca="1" si="46"/>
        <v>10000</v>
      </c>
      <c r="DL37" s="4">
        <f t="shared" ca="1" si="47"/>
        <v>10000</v>
      </c>
      <c r="DM37" s="4">
        <f t="shared" ca="1" si="48"/>
        <v>10000</v>
      </c>
      <c r="DN37" s="4">
        <f t="shared" ca="1" si="49"/>
        <v>10000</v>
      </c>
      <c r="DO37" s="4">
        <f t="shared" ca="1" si="50"/>
        <v>0</v>
      </c>
      <c r="DP37" s="4"/>
      <c r="DQ37" s="4">
        <f t="shared" ca="1" si="51"/>
        <v>22598.814554170731</v>
      </c>
      <c r="DR37" s="4"/>
      <c r="DS37" s="4">
        <f t="shared" si="137"/>
        <v>0</v>
      </c>
      <c r="DT37" s="4">
        <f t="shared" si="52"/>
        <v>0</v>
      </c>
      <c r="DU37" s="4">
        <f t="shared" si="53"/>
        <v>0</v>
      </c>
      <c r="DV37" s="4"/>
      <c r="DW37" s="4">
        <f t="shared" ca="1" si="138"/>
        <v>465155.30531811668</v>
      </c>
      <c r="DX37" s="4">
        <f t="shared" ca="1" si="54"/>
        <v>11408.133614591397</v>
      </c>
      <c r="DY37" s="4">
        <f t="shared" ca="1" si="139"/>
        <v>23257.765265905837</v>
      </c>
      <c r="DZ37" s="4">
        <f t="shared" ca="1" si="55"/>
        <v>0</v>
      </c>
      <c r="EA37" s="4">
        <f t="shared" ca="1" si="56"/>
        <v>0</v>
      </c>
      <c r="EB37" s="4">
        <f t="shared" ca="1" si="57"/>
        <v>488413.0705840225</v>
      </c>
      <c r="EC37" s="4">
        <f t="shared" si="58"/>
        <v>1</v>
      </c>
      <c r="ED37" s="4"/>
      <c r="EE37" s="4">
        <f t="shared" ca="1" si="140"/>
        <v>0</v>
      </c>
      <c r="EF37" s="4">
        <f t="shared" ca="1" si="59"/>
        <v>0</v>
      </c>
      <c r="EG37" s="4">
        <f t="shared" ca="1" si="141"/>
        <v>0</v>
      </c>
      <c r="EH37" s="4">
        <f t="shared" ca="1" si="60"/>
        <v>0</v>
      </c>
      <c r="EI37" s="4">
        <f t="shared" ca="1" si="61"/>
        <v>0</v>
      </c>
      <c r="EJ37" s="4">
        <f t="shared" ca="1" si="62"/>
        <v>0</v>
      </c>
      <c r="EK37" s="4">
        <f t="shared" si="63"/>
        <v>1</v>
      </c>
      <c r="EL37" s="4">
        <f t="shared" si="64"/>
        <v>0</v>
      </c>
      <c r="EM37" s="4"/>
      <c r="EN37" s="4">
        <f t="shared" ca="1" si="142"/>
        <v>445858.99120538391</v>
      </c>
      <c r="EO37" s="4">
        <f t="shared" ca="1" si="65"/>
        <v>10000</v>
      </c>
      <c r="EP37" s="4">
        <f t="shared" ca="1" si="143"/>
        <v>22292.949560269197</v>
      </c>
      <c r="EQ37" s="4">
        <f t="shared" ca="1" si="66"/>
        <v>0</v>
      </c>
      <c r="ER37" s="4">
        <v>0</v>
      </c>
      <c r="ES37" s="4">
        <f t="shared" ca="1" si="144"/>
        <v>468151.9407656531</v>
      </c>
      <c r="ET37" s="4"/>
      <c r="EU37" s="4">
        <f t="shared" ca="1" si="145"/>
        <v>290494.36261760298</v>
      </c>
      <c r="EV37" s="4">
        <f t="shared" ca="1" si="67"/>
        <v>22598.814554170731</v>
      </c>
      <c r="EW37" s="4">
        <f t="shared" ca="1" si="146"/>
        <v>14524.71813088015</v>
      </c>
      <c r="EX37" s="4">
        <f t="shared" ca="1" si="68"/>
        <v>0</v>
      </c>
      <c r="EY37" s="4">
        <v>0</v>
      </c>
      <c r="EZ37" s="4">
        <f t="shared" ca="1" si="147"/>
        <v>305019.08074848313</v>
      </c>
      <c r="FA37" s="4">
        <f t="shared" ca="1" si="148"/>
        <v>31549.836341123628</v>
      </c>
      <c r="FB37" s="1">
        <f t="shared" ca="1" si="69"/>
        <v>0.10860739622219373</v>
      </c>
      <c r="FC37" s="4">
        <f t="shared" ca="1" si="149"/>
        <v>5809.8872523520604</v>
      </c>
      <c r="FD37" s="4">
        <f t="shared" ca="1" si="150"/>
        <v>7262.359065440075</v>
      </c>
      <c r="FE37" s="4">
        <f t="shared" ca="1" si="70"/>
        <v>2004.4111020614607</v>
      </c>
      <c r="FF37" s="4">
        <f t="shared" ca="1" si="71"/>
        <v>301.06254752963139</v>
      </c>
      <c r="FG37" s="4">
        <f t="shared" ca="1" si="72"/>
        <v>200.44111020614608</v>
      </c>
      <c r="FH37" s="17">
        <f t="shared" ca="1" si="73"/>
        <v>0</v>
      </c>
      <c r="FI37" s="4">
        <f t="shared" ca="1" si="74"/>
        <v>0</v>
      </c>
      <c r="FJ37" s="4"/>
      <c r="FK37" s="4">
        <f t="shared" ca="1" si="75"/>
        <v>1261584.0920981588</v>
      </c>
      <c r="FL37" s="4"/>
      <c r="FM37" s="4">
        <v>0</v>
      </c>
      <c r="FN37" s="4">
        <f t="shared" si="76"/>
        <v>0</v>
      </c>
      <c r="FO37" s="4">
        <f t="shared" si="77"/>
        <v>0</v>
      </c>
      <c r="FP37" s="4">
        <f t="shared" si="78"/>
        <v>0</v>
      </c>
      <c r="FQ37" s="4">
        <f t="shared" si="79"/>
        <v>0</v>
      </c>
      <c r="FR37" s="4">
        <f t="shared" si="80"/>
        <v>0</v>
      </c>
      <c r="FS37" s="4">
        <f t="shared" si="81"/>
        <v>0</v>
      </c>
      <c r="FT37" s="4">
        <f t="shared" ca="1" si="82"/>
        <v>11408.133614591397</v>
      </c>
      <c r="FU37" s="4"/>
      <c r="FV37" s="3">
        <f t="shared" si="83"/>
        <v>0.55207088897991163</v>
      </c>
      <c r="FW37" s="3">
        <f t="shared" si="84"/>
        <v>0.55207088897991163</v>
      </c>
      <c r="FX37" s="4">
        <f t="shared" si="151"/>
        <v>2047</v>
      </c>
      <c r="FY37" s="18">
        <f t="shared" si="85"/>
        <v>107.20167602058018</v>
      </c>
      <c r="FZ37" s="18">
        <f t="shared" si="86"/>
        <v>0</v>
      </c>
      <c r="GA37" s="18">
        <f t="shared" si="87"/>
        <v>0</v>
      </c>
      <c r="GB37" s="18">
        <f t="shared" si="88"/>
        <v>0</v>
      </c>
      <c r="GC37" s="18">
        <f t="shared" ca="1" si="89"/>
        <v>0</v>
      </c>
      <c r="GD37" s="18">
        <f t="shared" ca="1" si="90"/>
        <v>0</v>
      </c>
      <c r="GE37" s="18">
        <f t="shared" ca="1" si="91"/>
        <v>0</v>
      </c>
      <c r="GF37" s="18">
        <f t="shared" ca="1" si="92"/>
        <v>0</v>
      </c>
      <c r="GG37" s="18" t="e">
        <f t="shared" ca="1" si="93"/>
        <v>#NAME?</v>
      </c>
      <c r="GH37" s="18" t="e">
        <f t="shared" ca="1" si="94"/>
        <v>#NAME?</v>
      </c>
      <c r="GI37" s="4"/>
      <c r="GJ37" s="4">
        <f t="shared" si="95"/>
        <v>2047</v>
      </c>
      <c r="GK37" s="4">
        <f t="shared" ca="1" si="96"/>
        <v>256.79870292069489</v>
      </c>
      <c r="GL37" s="4">
        <f t="shared" ca="1" si="97"/>
        <v>0</v>
      </c>
      <c r="GM37" s="4">
        <f t="shared" ca="1" si="98"/>
        <v>246.1457696344429</v>
      </c>
      <c r="GN37" s="4">
        <f t="shared" ca="1" si="99"/>
        <v>160.3734810139529</v>
      </c>
      <c r="GO37" s="4"/>
      <c r="GP37" s="3">
        <f t="shared" ca="1" si="152"/>
        <v>0.38714269912181254</v>
      </c>
      <c r="GQ37" s="3">
        <f t="shared" ca="1" si="100"/>
        <v>0</v>
      </c>
      <c r="GR37" s="3">
        <f t="shared" ca="1" si="101"/>
        <v>0.24177467253982371</v>
      </c>
      <c r="GS37" s="3">
        <f t="shared" ca="1" si="102"/>
        <v>0.37108262833836375</v>
      </c>
      <c r="GT37" s="3">
        <f t="array" aca="1" ref="GT37" ca="1">SUM(GP37:GS37*$GU$6:$GX$6)</f>
        <v>1</v>
      </c>
      <c r="GU37" s="3">
        <f t="shared" ca="1" si="155"/>
        <v>0.38714269912181254</v>
      </c>
      <c r="GV37" s="3">
        <f t="shared" ca="1" si="156"/>
        <v>0</v>
      </c>
      <c r="GW37" s="3">
        <f t="shared" ca="1" si="157"/>
        <v>0.24177467253982371</v>
      </c>
      <c r="GX37" s="3">
        <f t="shared" ca="1" si="158"/>
        <v>0.37108262833836375</v>
      </c>
      <c r="GY37" s="11"/>
      <c r="GZ37" s="27">
        <v>79</v>
      </c>
      <c r="HA37" s="30">
        <v>6.5799999999999997E-2</v>
      </c>
      <c r="HB37" s="29">
        <f t="shared" ca="1" si="153"/>
        <v>0.12820000000000001</v>
      </c>
      <c r="HC37" s="29">
        <v>0.12820000000000001</v>
      </c>
      <c r="HD37" s="29">
        <v>0.115</v>
      </c>
      <c r="HE37" s="29">
        <v>0.1099</v>
      </c>
      <c r="HG37" s="27">
        <v>77</v>
      </c>
      <c r="HH37" s="30">
        <v>6.1699999999999998E-2</v>
      </c>
      <c r="HJ37">
        <f t="shared" si="159"/>
        <v>2040</v>
      </c>
      <c r="HK37" s="28">
        <f t="shared" si="164"/>
        <v>35910</v>
      </c>
      <c r="HL37" s="27">
        <f t="shared" si="162"/>
        <v>9000</v>
      </c>
      <c r="HM37" s="28">
        <f t="shared" si="163"/>
        <v>8846.4048721137442</v>
      </c>
      <c r="HO37" t="s">
        <v>169</v>
      </c>
      <c r="HQ37" s="27">
        <v>0</v>
      </c>
      <c r="HR37" s="27">
        <v>0</v>
      </c>
      <c r="HS37" s="27">
        <v>0</v>
      </c>
      <c r="HT37" s="27">
        <v>0</v>
      </c>
      <c r="HU37" s="27">
        <v>0</v>
      </c>
      <c r="HV37" s="27">
        <v>0</v>
      </c>
      <c r="HW37" s="27">
        <v>0</v>
      </c>
      <c r="HX37" s="27">
        <v>0</v>
      </c>
      <c r="HY37" s="27">
        <v>0</v>
      </c>
      <c r="HZ37" s="27">
        <v>0</v>
      </c>
      <c r="IA37" s="27">
        <v>0</v>
      </c>
      <c r="IB37" s="27">
        <v>0</v>
      </c>
      <c r="IC37" s="27">
        <v>0</v>
      </c>
      <c r="ID37" s="27">
        <v>0</v>
      </c>
      <c r="IE37" s="27">
        <v>0</v>
      </c>
      <c r="IF37" s="27">
        <v>0</v>
      </c>
      <c r="IG37" s="27">
        <v>0</v>
      </c>
    </row>
    <row r="38" spans="1:241" x14ac:dyDescent="0.25">
      <c r="A38" t="s">
        <v>167</v>
      </c>
      <c r="B38" s="63">
        <f>Inputs_Summary!AJ35</f>
        <v>5.0000000000000001E-3</v>
      </c>
      <c r="D38">
        <f t="shared" si="107"/>
        <v>2048</v>
      </c>
      <c r="E38">
        <f t="shared" si="108"/>
        <v>53</v>
      </c>
      <c r="F38" s="8"/>
      <c r="G38" s="8"/>
      <c r="H38" s="9"/>
      <c r="I38" s="8"/>
      <c r="J38" s="92"/>
      <c r="K38" s="91"/>
      <c r="L38" s="91"/>
      <c r="N38" s="93">
        <f t="shared" si="109"/>
        <v>0.05</v>
      </c>
      <c r="O38" s="23">
        <f t="shared" si="110"/>
        <v>0.4</v>
      </c>
      <c r="P38" s="23">
        <f t="shared" si="111"/>
        <v>0.1</v>
      </c>
      <c r="Q38" s="4">
        <f t="shared" si="0"/>
        <v>0</v>
      </c>
      <c r="R38" s="4">
        <f t="shared" si="112"/>
        <v>0</v>
      </c>
      <c r="S38" s="4">
        <f t="shared" si="113"/>
        <v>0</v>
      </c>
      <c r="T38" s="4">
        <f t="shared" ca="1" si="114"/>
        <v>0</v>
      </c>
      <c r="V38" s="18" t="e">
        <f t="shared" ca="1" si="1"/>
        <v>#NAME?</v>
      </c>
      <c r="W38" s="18" t="e">
        <f t="shared" ca="1" si="2"/>
        <v>#NAME?</v>
      </c>
      <c r="X38" s="18">
        <f t="shared" si="3"/>
        <v>0</v>
      </c>
      <c r="Y38" s="18">
        <f t="shared" ca="1" si="4"/>
        <v>12.719689059206585</v>
      </c>
      <c r="Z38" s="18">
        <f t="shared" ca="1" si="5"/>
        <v>0</v>
      </c>
      <c r="AA38" s="18">
        <f t="shared" ca="1" si="6"/>
        <v>5.6830826806755601</v>
      </c>
      <c r="AB38" s="18">
        <f t="shared" ca="1" si="7"/>
        <v>12.742000961551408</v>
      </c>
      <c r="AC38" s="18">
        <f t="shared" ca="1" si="8"/>
        <v>270.52621228719477</v>
      </c>
      <c r="AD38" s="18">
        <f t="shared" ca="1" si="9"/>
        <v>0</v>
      </c>
      <c r="AE38" s="18">
        <f t="shared" ca="1" si="10"/>
        <v>258.79781079016095</v>
      </c>
      <c r="AF38" s="18">
        <f t="shared" ca="1" si="11"/>
        <v>177.32186539751345</v>
      </c>
      <c r="AG38" s="18">
        <f t="shared" ca="1" si="12"/>
        <v>706.64588847486914</v>
      </c>
      <c r="AI38">
        <f>Person2!E38</f>
        <v>53</v>
      </c>
      <c r="AJ38">
        <f>Person2!AZ38</f>
        <v>1</v>
      </c>
      <c r="AK38">
        <f>IF($AZ38&lt;&gt;3,Person2!FM38,0)</f>
        <v>0</v>
      </c>
      <c r="AL38" s="4">
        <f ca="1">IF($AZ38&lt;&gt;3,Person2!FN38+Person2!FT38,0)</f>
        <v>0</v>
      </c>
      <c r="AM38">
        <f>IF($AZ38&lt;&gt;3,Person2!FO38,0)</f>
        <v>0</v>
      </c>
      <c r="AN38">
        <f>IF($AZ38&lt;&gt;3,Person2!FP38,0)</f>
        <v>0</v>
      </c>
      <c r="AO38">
        <f>IF($AZ38&lt;&gt;3,Person2!FQ38,0)</f>
        <v>0</v>
      </c>
      <c r="AP38">
        <f>IF($AZ38&lt;&gt;3,Person2!FR38,0)</f>
        <v>0</v>
      </c>
      <c r="AQ38">
        <v>0</v>
      </c>
      <c r="AR38" s="4">
        <f>Person2!FS38</f>
        <v>0</v>
      </c>
      <c r="AS38" s="4">
        <v>0</v>
      </c>
      <c r="AT38" s="4">
        <v>0</v>
      </c>
      <c r="AV38">
        <f t="shared" si="161"/>
        <v>2048</v>
      </c>
      <c r="AW38">
        <f t="shared" si="116"/>
        <v>53</v>
      </c>
      <c r="AX38">
        <f t="shared" si="117"/>
        <v>1.8475888157854219</v>
      </c>
      <c r="AY38">
        <f t="shared" si="118"/>
        <v>0.54124596958814863</v>
      </c>
      <c r="AZ38">
        <f t="shared" si="119"/>
        <v>1</v>
      </c>
      <c r="BB38" s="4">
        <f t="shared" si="13"/>
        <v>200006.42762602793</v>
      </c>
      <c r="BC38">
        <f t="shared" si="14"/>
        <v>0</v>
      </c>
      <c r="BD38" s="4">
        <f t="shared" si="15"/>
        <v>0</v>
      </c>
      <c r="BE38" s="4">
        <f t="shared" si="120"/>
        <v>0</v>
      </c>
      <c r="BF38" s="4">
        <f t="shared" si="121"/>
        <v>0</v>
      </c>
      <c r="BG38" s="4">
        <f t="shared" si="122"/>
        <v>0</v>
      </c>
      <c r="BH38" s="4">
        <f t="shared" si="16"/>
        <v>0</v>
      </c>
      <c r="BI38" s="4">
        <f t="shared" si="123"/>
        <v>200006.42762602793</v>
      </c>
      <c r="BJ38" s="4"/>
      <c r="BK38" s="4">
        <f t="shared" si="17"/>
        <v>92379.440789271088</v>
      </c>
      <c r="BL38" s="4">
        <f t="shared" si="124"/>
        <v>0</v>
      </c>
      <c r="BM38" s="4">
        <f t="shared" si="125"/>
        <v>92379.440789271088</v>
      </c>
      <c r="BN38" s="4">
        <v>50084.253123409086</v>
      </c>
      <c r="BO38" s="4">
        <f t="shared" si="126"/>
        <v>142463.69391268017</v>
      </c>
      <c r="BP38" s="4">
        <f t="shared" si="127"/>
        <v>57542.733713347756</v>
      </c>
      <c r="BQ38" s="4"/>
      <c r="BR38" s="4">
        <v>0</v>
      </c>
      <c r="BS38" s="4">
        <f t="shared" ca="1" si="18"/>
        <v>23500.755246058281</v>
      </c>
      <c r="BT38" s="4">
        <f t="shared" ca="1" si="19"/>
        <v>10500</v>
      </c>
      <c r="BU38" s="4">
        <f t="shared" si="20"/>
        <v>0</v>
      </c>
      <c r="BV38" s="4">
        <f t="shared" si="21"/>
        <v>1</v>
      </c>
      <c r="BW38" s="4">
        <f t="shared" ca="1" si="22"/>
        <v>0</v>
      </c>
      <c r="BX38" s="4">
        <f t="shared" ca="1" si="23"/>
        <v>0</v>
      </c>
      <c r="BY38" s="4">
        <f t="shared" ca="1" si="24"/>
        <v>0</v>
      </c>
      <c r="BZ38" s="4">
        <f t="shared" ca="1" si="25"/>
        <v>0</v>
      </c>
      <c r="CA38" s="4">
        <f t="shared" ca="1" si="26"/>
        <v>0</v>
      </c>
      <c r="CB38" s="4">
        <f t="shared" ca="1" si="160"/>
        <v>0</v>
      </c>
      <c r="CC38" s="4"/>
      <c r="CD38" s="4">
        <f t="shared" ca="1" si="27"/>
        <v>200006.42762602793</v>
      </c>
      <c r="CE38" s="4">
        <f t="shared" ca="1" si="128"/>
        <v>180674.53022457889</v>
      </c>
      <c r="CF38" s="16">
        <f t="shared" si="28"/>
        <v>0</v>
      </c>
      <c r="CG38" s="4">
        <f t="shared" si="129"/>
        <v>6282.1530155454338</v>
      </c>
      <c r="CH38" s="4" t="e">
        <f t="shared" ca="1" si="29"/>
        <v>#NAME?</v>
      </c>
      <c r="CI38" s="4" t="e">
        <f t="shared" ca="1" si="30"/>
        <v>#NAME?</v>
      </c>
      <c r="CJ38" s="4" t="e">
        <f t="shared" ca="1" si="130"/>
        <v>#NAME?</v>
      </c>
      <c r="CK38" s="4" t="e">
        <f t="shared" ca="1" si="31"/>
        <v>#NAME?</v>
      </c>
      <c r="CL38" s="4" t="e">
        <f t="shared" ca="1" si="32"/>
        <v>#NAME?</v>
      </c>
      <c r="CM38" s="16"/>
      <c r="CN38" s="4">
        <f t="shared" si="33"/>
        <v>0</v>
      </c>
      <c r="CO38" s="4">
        <f t="shared" si="131"/>
        <v>0</v>
      </c>
      <c r="CP38" s="4">
        <f t="shared" ca="1" si="34"/>
        <v>1305591.0402669208</v>
      </c>
      <c r="CQ38" s="4"/>
      <c r="CR38" s="4">
        <f t="shared" ca="1" si="35"/>
        <v>57542.733713347756</v>
      </c>
      <c r="CS38" s="4">
        <f t="shared" ca="1" si="36"/>
        <v>42080</v>
      </c>
      <c r="CT38" s="4">
        <f t="shared" ca="1" si="37"/>
        <v>36001.156972685028</v>
      </c>
      <c r="CU38" s="4"/>
      <c r="CV38" s="4">
        <f t="shared" ca="1" si="132"/>
        <v>57542.733713347756</v>
      </c>
      <c r="CW38" s="4">
        <f t="shared" ca="1" si="38"/>
        <v>0</v>
      </c>
      <c r="CX38" s="4">
        <f t="shared" ca="1" si="39"/>
        <v>0</v>
      </c>
      <c r="CY38" s="4">
        <f t="shared" ca="1" si="133"/>
        <v>57542.733713347756</v>
      </c>
      <c r="CZ38" s="4"/>
      <c r="DA38" s="4">
        <f t="shared" ca="1" si="40"/>
        <v>57542.733713347756</v>
      </c>
      <c r="DB38" s="4">
        <f t="shared" si="41"/>
        <v>12500.401726626746</v>
      </c>
      <c r="DC38" s="4">
        <f t="shared" ca="1" si="134"/>
        <v>0</v>
      </c>
      <c r="DD38" s="4">
        <f t="shared" ca="1" si="42"/>
        <v>23500.755246058281</v>
      </c>
      <c r="DE38" s="4">
        <f t="shared" ca="1" si="43"/>
        <v>23500.755246058281</v>
      </c>
      <c r="DF38" s="4">
        <f t="shared" ca="1" si="135"/>
        <v>0</v>
      </c>
      <c r="DG38" s="4">
        <f t="shared" ca="1" si="136"/>
        <v>11750.377623029141</v>
      </c>
      <c r="DH38" s="4">
        <f t="shared" ca="1" si="44"/>
        <v>11750.377623029141</v>
      </c>
      <c r="DI38" s="4"/>
      <c r="DJ38" s="4">
        <f t="shared" ca="1" si="45"/>
        <v>34041.978467289475</v>
      </c>
      <c r="DK38" s="4">
        <f t="shared" ca="1" si="46"/>
        <v>10500</v>
      </c>
      <c r="DL38" s="4">
        <f t="shared" ca="1" si="47"/>
        <v>10500</v>
      </c>
      <c r="DM38" s="4">
        <f t="shared" ca="1" si="48"/>
        <v>10500</v>
      </c>
      <c r="DN38" s="4">
        <f t="shared" ca="1" si="49"/>
        <v>10500</v>
      </c>
      <c r="DO38" s="4">
        <f t="shared" ca="1" si="50"/>
        <v>0</v>
      </c>
      <c r="DP38" s="4"/>
      <c r="DQ38" s="4">
        <f t="shared" ca="1" si="51"/>
        <v>23541.978467289475</v>
      </c>
      <c r="DR38" s="4"/>
      <c r="DS38" s="4">
        <f t="shared" si="137"/>
        <v>0</v>
      </c>
      <c r="DT38" s="4">
        <f t="shared" si="52"/>
        <v>0</v>
      </c>
      <c r="DU38" s="4">
        <f t="shared" si="53"/>
        <v>0</v>
      </c>
      <c r="DV38" s="4"/>
      <c r="DW38" s="4">
        <f t="shared" ca="1" si="138"/>
        <v>499821.20419861388</v>
      </c>
      <c r="DX38" s="4">
        <f t="shared" ca="1" si="54"/>
        <v>11750.377623029141</v>
      </c>
      <c r="DY38" s="4">
        <f t="shared" ca="1" si="139"/>
        <v>24991.060209930696</v>
      </c>
      <c r="DZ38" s="4">
        <f t="shared" ca="1" si="55"/>
        <v>0</v>
      </c>
      <c r="EA38" s="4">
        <f t="shared" ca="1" si="56"/>
        <v>0</v>
      </c>
      <c r="EB38" s="4">
        <f t="shared" ca="1" si="57"/>
        <v>524812.26440854452</v>
      </c>
      <c r="EC38" s="4">
        <f t="shared" si="58"/>
        <v>1</v>
      </c>
      <c r="ED38" s="4"/>
      <c r="EE38" s="4">
        <f t="shared" ca="1" si="140"/>
        <v>0</v>
      </c>
      <c r="EF38" s="4">
        <f t="shared" ca="1" si="59"/>
        <v>0</v>
      </c>
      <c r="EG38" s="4">
        <f t="shared" ca="1" si="141"/>
        <v>0</v>
      </c>
      <c r="EH38" s="4">
        <f t="shared" ca="1" si="60"/>
        <v>0</v>
      </c>
      <c r="EI38" s="4">
        <f t="shared" ca="1" si="61"/>
        <v>0</v>
      </c>
      <c r="EJ38" s="4">
        <f t="shared" ca="1" si="62"/>
        <v>0</v>
      </c>
      <c r="EK38" s="4">
        <f t="shared" si="63"/>
        <v>1</v>
      </c>
      <c r="EL38" s="4">
        <f t="shared" si="64"/>
        <v>0</v>
      </c>
      <c r="EM38" s="4"/>
      <c r="EN38" s="4">
        <f t="shared" ca="1" si="142"/>
        <v>478151.9407656531</v>
      </c>
      <c r="EO38" s="4">
        <f t="shared" ca="1" si="65"/>
        <v>10500</v>
      </c>
      <c r="EP38" s="4">
        <f t="shared" ca="1" si="143"/>
        <v>23907.597038282656</v>
      </c>
      <c r="EQ38" s="4">
        <f t="shared" ca="1" si="66"/>
        <v>0</v>
      </c>
      <c r="ER38" s="4">
        <v>0</v>
      </c>
      <c r="ES38" s="4">
        <f t="shared" ca="1" si="144"/>
        <v>502059.53780393576</v>
      </c>
      <c r="ET38" s="4"/>
      <c r="EU38" s="4">
        <f t="shared" ca="1" si="145"/>
        <v>327617.89530265384</v>
      </c>
      <c r="EV38" s="4">
        <f t="shared" ca="1" si="67"/>
        <v>23541.978467289475</v>
      </c>
      <c r="EW38" s="4">
        <f t="shared" ca="1" si="146"/>
        <v>16380.894765132693</v>
      </c>
      <c r="EX38" s="4">
        <f t="shared" ca="1" si="68"/>
        <v>0</v>
      </c>
      <c r="EY38" s="4">
        <v>0</v>
      </c>
      <c r="EZ38" s="4">
        <f t="shared" ca="1" si="147"/>
        <v>343998.79006778653</v>
      </c>
      <c r="FA38" s="4">
        <f t="shared" ca="1" si="148"/>
        <v>37359.72359347569</v>
      </c>
      <c r="FB38" s="1">
        <f t="shared" ca="1" si="69"/>
        <v>0.11403444112527104</v>
      </c>
      <c r="FC38" s="4">
        <f t="shared" ca="1" si="149"/>
        <v>6552.3579060530774</v>
      </c>
      <c r="FD38" s="4">
        <f t="shared" ca="1" si="150"/>
        <v>8190.4473825663463</v>
      </c>
      <c r="FE38" s="4">
        <f t="shared" ca="1" si="70"/>
        <v>2260.5634775883113</v>
      </c>
      <c r="FF38" s="4">
        <f t="shared" ca="1" si="71"/>
        <v>339.53663433376437</v>
      </c>
      <c r="FG38" s="4">
        <f t="shared" ca="1" si="72"/>
        <v>226.05634775883115</v>
      </c>
      <c r="FH38" s="17">
        <f t="shared" ca="1" si="73"/>
        <v>0</v>
      </c>
      <c r="FI38" s="4">
        <f t="shared" ca="1" si="74"/>
        <v>0</v>
      </c>
      <c r="FJ38" s="4"/>
      <c r="FK38" s="4">
        <f t="shared" ca="1" si="75"/>
        <v>1370870.5922802668</v>
      </c>
      <c r="FL38" s="4"/>
      <c r="FM38" s="4">
        <v>0</v>
      </c>
      <c r="FN38" s="4">
        <f t="shared" si="76"/>
        <v>0</v>
      </c>
      <c r="FO38" s="4">
        <f t="shared" si="77"/>
        <v>0</v>
      </c>
      <c r="FP38" s="4">
        <f t="shared" si="78"/>
        <v>0</v>
      </c>
      <c r="FQ38" s="4">
        <f t="shared" si="79"/>
        <v>0</v>
      </c>
      <c r="FR38" s="4">
        <f t="shared" si="80"/>
        <v>0</v>
      </c>
      <c r="FS38" s="4">
        <f t="shared" si="81"/>
        <v>0</v>
      </c>
      <c r="FT38" s="4">
        <f t="shared" ca="1" si="82"/>
        <v>11750.377623029141</v>
      </c>
      <c r="FU38" s="4"/>
      <c r="FV38" s="3">
        <f t="shared" si="83"/>
        <v>0.54124596958814863</v>
      </c>
      <c r="FW38" s="3">
        <f t="shared" si="84"/>
        <v>0.54124596958814863</v>
      </c>
      <c r="FX38" s="4">
        <f t="shared" si="151"/>
        <v>2048</v>
      </c>
      <c r="FY38" s="18">
        <f t="shared" si="85"/>
        <v>108.25267284431136</v>
      </c>
      <c r="FZ38" s="18">
        <f t="shared" si="86"/>
        <v>0</v>
      </c>
      <c r="GA38" s="18">
        <f t="shared" si="87"/>
        <v>0</v>
      </c>
      <c r="GB38" s="18">
        <f t="shared" si="88"/>
        <v>0</v>
      </c>
      <c r="GC38" s="18">
        <f t="shared" ca="1" si="89"/>
        <v>0</v>
      </c>
      <c r="GD38" s="18">
        <f t="shared" ca="1" si="90"/>
        <v>0</v>
      </c>
      <c r="GE38" s="18">
        <f t="shared" ca="1" si="91"/>
        <v>0</v>
      </c>
      <c r="GF38" s="18">
        <f t="shared" ca="1" si="92"/>
        <v>0</v>
      </c>
      <c r="GG38" s="18" t="e">
        <f t="shared" ca="1" si="93"/>
        <v>#NAME?</v>
      </c>
      <c r="GH38" s="18" t="e">
        <f t="shared" ca="1" si="94"/>
        <v>#NAME?</v>
      </c>
      <c r="GI38" s="4"/>
      <c r="GJ38" s="4">
        <f t="shared" si="95"/>
        <v>2048</v>
      </c>
      <c r="GK38" s="4">
        <f t="shared" ca="1" si="96"/>
        <v>270.52621228719477</v>
      </c>
      <c r="GL38" s="4">
        <f t="shared" ca="1" si="97"/>
        <v>0</v>
      </c>
      <c r="GM38" s="4">
        <f t="shared" ca="1" si="98"/>
        <v>258.79781079016095</v>
      </c>
      <c r="GN38" s="4">
        <f t="shared" ca="1" si="99"/>
        <v>177.32186539751345</v>
      </c>
      <c r="GO38" s="4"/>
      <c r="GP38" s="3">
        <f t="shared" ca="1" si="152"/>
        <v>0.3828313681567761</v>
      </c>
      <c r="GQ38" s="3">
        <f t="shared" ca="1" si="100"/>
        <v>0</v>
      </c>
      <c r="GR38" s="3">
        <f t="shared" ca="1" si="101"/>
        <v>0.25093454626930817</v>
      </c>
      <c r="GS38" s="3">
        <f t="shared" ca="1" si="102"/>
        <v>0.36623408557391574</v>
      </c>
      <c r="GT38" s="3">
        <f t="array" aca="1" ref="GT38" ca="1">SUM(GP38:GS38*$GU$6:$GX$6)</f>
        <v>1</v>
      </c>
      <c r="GU38" s="3">
        <f t="shared" ca="1" si="155"/>
        <v>0.3828313681567761</v>
      </c>
      <c r="GV38" s="3">
        <f t="shared" ca="1" si="156"/>
        <v>0</v>
      </c>
      <c r="GW38" s="3">
        <f t="shared" ca="1" si="157"/>
        <v>0.25093454626930817</v>
      </c>
      <c r="GX38" s="3">
        <f t="shared" ca="1" si="158"/>
        <v>0.36623408557391574</v>
      </c>
      <c r="GY38" s="11"/>
      <c r="GZ38" s="27">
        <v>80</v>
      </c>
      <c r="HA38" s="30">
        <v>6.8199999999999997E-2</v>
      </c>
      <c r="HB38" s="29">
        <f t="shared" ca="1" si="153"/>
        <v>0.13869999999999999</v>
      </c>
      <c r="HC38" s="29">
        <v>0.13869999999999999</v>
      </c>
      <c r="HD38" s="29">
        <v>0.121</v>
      </c>
      <c r="HE38" s="29">
        <v>0.12089999999999999</v>
      </c>
      <c r="HG38" s="27">
        <v>78</v>
      </c>
      <c r="HH38" s="30">
        <v>6.3600000000000004E-2</v>
      </c>
      <c r="HJ38">
        <f t="shared" si="159"/>
        <v>2041</v>
      </c>
      <c r="HK38" s="28">
        <f t="shared" si="164"/>
        <v>36630</v>
      </c>
      <c r="HL38" s="27">
        <f t="shared" si="162"/>
        <v>9000</v>
      </c>
      <c r="HM38" s="28">
        <f t="shared" si="163"/>
        <v>9023.3329695560187</v>
      </c>
      <c r="HQ38" s="27">
        <v>0.15</v>
      </c>
      <c r="HR38" s="27">
        <v>8.6999999999999994E-2</v>
      </c>
      <c r="HS38" s="27">
        <v>9.8000000000000004E-2</v>
      </c>
      <c r="HT38" s="27">
        <v>8.7900000000000006E-2</v>
      </c>
      <c r="HU38" s="27">
        <v>9.6799999999999997E-2</v>
      </c>
      <c r="HV38" s="27">
        <v>0.16</v>
      </c>
      <c r="HW38" s="27">
        <v>5.0500000000000003E-2</v>
      </c>
      <c r="HX38" s="27">
        <v>0.108</v>
      </c>
      <c r="HY38" s="27">
        <v>0.11</v>
      </c>
      <c r="HZ38" s="27">
        <v>0.1</v>
      </c>
      <c r="IA38" s="27">
        <v>5.0599999999999999E-2</v>
      </c>
      <c r="IB38" s="27">
        <v>6.4000000000000001E-2</v>
      </c>
      <c r="IC38" s="27">
        <v>5.8999999999999997E-2</v>
      </c>
      <c r="ID38" s="27">
        <v>0.04</v>
      </c>
      <c r="IE38" s="27">
        <v>0.1</v>
      </c>
      <c r="IF38" s="27">
        <v>0.1</v>
      </c>
      <c r="IG38" s="27">
        <v>0.1</v>
      </c>
    </row>
    <row r="39" spans="1:241" x14ac:dyDescent="0.25">
      <c r="A39" t="s">
        <v>637</v>
      </c>
      <c r="B39" s="62">
        <f>Inputs_Summary!AJ36</f>
        <v>1</v>
      </c>
      <c r="D39">
        <f t="shared" si="107"/>
        <v>2049</v>
      </c>
      <c r="E39">
        <f t="shared" si="108"/>
        <v>54</v>
      </c>
      <c r="F39" s="8"/>
      <c r="G39" s="8"/>
      <c r="H39" s="9"/>
      <c r="I39" s="8"/>
      <c r="J39" s="92"/>
      <c r="K39" s="91"/>
      <c r="L39" s="91"/>
      <c r="N39" s="93">
        <f t="shared" si="109"/>
        <v>0.05</v>
      </c>
      <c r="O39" s="23">
        <f t="shared" si="110"/>
        <v>0.4</v>
      </c>
      <c r="P39" s="23">
        <f t="shared" si="111"/>
        <v>0.1</v>
      </c>
      <c r="Q39" s="4">
        <f t="shared" ref="Q39:Q70" si="169">G39*$AX39*$HW$12</f>
        <v>0</v>
      </c>
      <c r="R39" s="4">
        <f t="shared" si="112"/>
        <v>0</v>
      </c>
      <c r="S39" s="4">
        <f t="shared" si="113"/>
        <v>0</v>
      </c>
      <c r="T39" s="4">
        <f t="shared" ca="1" si="114"/>
        <v>0</v>
      </c>
      <c r="V39" s="18" t="e">
        <f t="shared" ref="V39:V70" ca="1" si="170">CJ39*$FV39/1000</f>
        <v>#NAME?</v>
      </c>
      <c r="W39" s="18" t="e">
        <f t="shared" ref="W39:W70" ca="1" si="171">(CH39+CI39)*$FV39/1000</f>
        <v>#NAME?</v>
      </c>
      <c r="X39" s="18">
        <f t="shared" ref="X39:X70" si="172">CN39*$FV39/1000</f>
        <v>0</v>
      </c>
      <c r="Y39" s="18">
        <f t="shared" ref="Y39:Y70" ca="1" si="173">(DE39-BW39)*$FV39/1000</f>
        <v>12.84439189312037</v>
      </c>
      <c r="Z39" s="18">
        <f t="shared" ref="Z39:Z70" ca="1" si="174">(CX39-BX39)*$FV39/1000</f>
        <v>0</v>
      </c>
      <c r="AA39" s="18">
        <f t="shared" ref="AA39:AA70" ca="1" si="175">(DN39-BZ39)*$FV39/1000</f>
        <v>5.5716496869368228</v>
      </c>
      <c r="AB39" s="18">
        <f t="shared" ref="AB39:AB70" ca="1" si="176">(DQ39-BY39)*$FV39/1000</f>
        <v>13.280073476265637</v>
      </c>
      <c r="AC39" s="18">
        <f t="shared" ref="AC39:AC70" ca="1" si="177">DW39*$FW39/1000</f>
        <v>284.71800728544878</v>
      </c>
      <c r="AD39" s="18">
        <f t="shared" ref="AD39:AD70" ca="1" si="178">EE39*$FW39/1000</f>
        <v>0</v>
      </c>
      <c r="AE39" s="18">
        <f t="shared" ref="AE39:AE70" ca="1" si="179">EN39*$FW39/1000</f>
        <v>271.98116079445538</v>
      </c>
      <c r="AF39" s="18">
        <f t="shared" ref="AF39:AF70" ca="1" si="180">EU39*$FW39/1000</f>
        <v>195.02937218523579</v>
      </c>
      <c r="AG39" s="18">
        <f t="shared" ref="AG39:AG70" ca="1" si="181">CP39*$FW39/1000</f>
        <v>751.72854026514005</v>
      </c>
      <c r="AI39">
        <f>Person2!E39</f>
        <v>54</v>
      </c>
      <c r="AJ39">
        <f>Person2!AZ39</f>
        <v>1</v>
      </c>
      <c r="AK39">
        <f>IF($AZ39&lt;&gt;3,Person2!FM39,0)</f>
        <v>0</v>
      </c>
      <c r="AL39" s="4">
        <f ca="1">IF($AZ39&lt;&gt;3,Person2!FN39+Person2!FT39,0)</f>
        <v>0</v>
      </c>
      <c r="AM39">
        <f>IF($AZ39&lt;&gt;3,Person2!FO39,0)</f>
        <v>0</v>
      </c>
      <c r="AN39">
        <f>IF($AZ39&lt;&gt;3,Person2!FP39,0)</f>
        <v>0</v>
      </c>
      <c r="AO39">
        <f>IF($AZ39&lt;&gt;3,Person2!FQ39,0)</f>
        <v>0</v>
      </c>
      <c r="AP39">
        <f>IF($AZ39&lt;&gt;3,Person2!FR39,0)</f>
        <v>0</v>
      </c>
      <c r="AQ39">
        <v>0</v>
      </c>
      <c r="AR39" s="4">
        <f>Person2!FS39</f>
        <v>0</v>
      </c>
      <c r="AS39" s="4">
        <v>0</v>
      </c>
      <c r="AT39" s="4">
        <v>0</v>
      </c>
      <c r="AV39">
        <f t="shared" si="161"/>
        <v>2049</v>
      </c>
      <c r="AW39">
        <f t="shared" si="116"/>
        <v>54</v>
      </c>
      <c r="AX39">
        <f t="shared" si="117"/>
        <v>1.8845405921011305</v>
      </c>
      <c r="AY39">
        <f t="shared" si="118"/>
        <v>0.5306333035177927</v>
      </c>
      <c r="AZ39">
        <f t="shared" si="119"/>
        <v>1</v>
      </c>
      <c r="BB39" s="4">
        <f t="shared" ref="BB39:BB70" si="182">CHOOSE($AZ39,$B$21*(1+$B$16)^(D39-$B$7),0,0,0)</f>
        <v>206006.62045480873</v>
      </c>
      <c r="BC39">
        <f t="shared" ref="BC39:BC70" si="183">(F39+G39)*AX39</f>
        <v>0</v>
      </c>
      <c r="BD39" s="4">
        <f t="shared" ref="BD39:BD70" si="184">CHOOSE($AZ39,0,IF(AW39&gt;=$B$42,$B$80*AX39,0),0,0)+AT39</f>
        <v>0</v>
      </c>
      <c r="BE39" s="4">
        <f t="shared" si="120"/>
        <v>0</v>
      </c>
      <c r="BF39" s="4">
        <f t="shared" si="121"/>
        <v>0</v>
      </c>
      <c r="BG39" s="4">
        <f t="shared" si="122"/>
        <v>0</v>
      </c>
      <c r="BH39" s="4">
        <f t="shared" ref="BH39:BH70" si="185">H39*AX39+AK39</f>
        <v>0</v>
      </c>
      <c r="BI39" s="4">
        <f t="shared" si="123"/>
        <v>206006.62045480873</v>
      </c>
      <c r="BJ39" s="4"/>
      <c r="BK39" s="4">
        <f t="shared" ref="BK39:BK70" si="186">CHOOSE(AZ39,$B$28*$AX39*(1+$B$29)^(AW39-$B$11),$B$30*$AX39*(1+$B$31)^(AW39-$B$12),0,0)</f>
        <v>94227.029605056523</v>
      </c>
      <c r="BL39" s="4">
        <f t="shared" si="124"/>
        <v>0</v>
      </c>
      <c r="BM39" s="4">
        <f t="shared" si="125"/>
        <v>94227.029605056523</v>
      </c>
      <c r="BN39" s="4">
        <v>52046.975414204011</v>
      </c>
      <c r="BO39" s="4">
        <f t="shared" si="126"/>
        <v>146274.00501926054</v>
      </c>
      <c r="BP39" s="4">
        <f t="shared" si="127"/>
        <v>59732.615435548185</v>
      </c>
      <c r="BQ39" s="4"/>
      <c r="BR39" s="4">
        <v>0</v>
      </c>
      <c r="BS39" s="4">
        <f t="shared" ref="BS39:BS70" ca="1" si="187">IF(AND($B$56=1,$B$62=1),CT39-DB39+DF38,0)</f>
        <v>24205.777903440023</v>
      </c>
      <c r="BT39" s="4">
        <f t="shared" ref="BT39:BT70" ca="1" si="188">IF(AND($B$57=1,$B$60=1),DM39,0)</f>
        <v>10500</v>
      </c>
      <c r="BU39" s="4">
        <f t="shared" ref="BU39:BU70" si="189">MAX(0,-BP39)</f>
        <v>0</v>
      </c>
      <c r="BV39" s="4">
        <f t="shared" ref="BV39:BV70" si="190">CHOOSE(AZ39,1,1,0,0)</f>
        <v>1</v>
      </c>
      <c r="BW39" s="4">
        <f t="shared" ref="BW39:BW70" ca="1" si="191">IF(AND(AZ39=4,$B$79=2),DW39,MAX(EA39,MIN(EB39,$BU39*GU39+BR39+IF(AND($B$61=1,AZ39=2),(BT39-MAX(0,BP39)))))*$BV39)</f>
        <v>0</v>
      </c>
      <c r="BX39" s="4">
        <f t="shared" ref="BX39:BX70" ca="1" si="192">IF(AND(AZ39=4,$B$79=2),EE39,MAX(EI39,MIN(EJ39,$BU39*GV39))*$BV39)</f>
        <v>0</v>
      </c>
      <c r="BY39" s="4">
        <f t="shared" ref="BY39:BY70" ca="1" si="193">IF(AND(AZ39=4,$B$79=2),EU39,MAX(EY39,MIN(EZ39,$BU39-SUM(BW39,BX39)+(BS39+BT39-MAX(0,BP39))-MAX(0,BW39+BX39-BU39)))*$BV39)</f>
        <v>0</v>
      </c>
      <c r="BZ39" s="4">
        <f t="shared" ref="BZ39:BZ70" ca="1" si="194">IF(AND(AZ39=4,$B$79=2),EN39,MAX(ER39,MIN(ES39,$BU39-SUM(BW39,BX39,BY39)))*$BV39)</f>
        <v>0</v>
      </c>
      <c r="CA39" s="4">
        <f t="shared" ca="1" si="26"/>
        <v>0</v>
      </c>
      <c r="CB39" s="4">
        <f t="shared" ca="1" si="160"/>
        <v>0</v>
      </c>
      <c r="CC39" s="4"/>
      <c r="CD39" s="4">
        <f t="shared" ref="CD39:CD70" ca="1" si="195">BI39+CA39</f>
        <v>206006.62045480873</v>
      </c>
      <c r="CE39" s="4">
        <f t="shared" ca="1" si="128"/>
        <v>187117.59699178126</v>
      </c>
      <c r="CF39" s="16">
        <f t="shared" ref="CF39:CF70" si="196">IF($E39&gt;=$HQ$49,MAX(0,MIN(1,1-(CE39-AX39*$HR$50)*$HQ$51/$HW$9)),0)</f>
        <v>0</v>
      </c>
      <c r="CG39" s="4">
        <f t="shared" si="129"/>
        <v>6407.7960758563431</v>
      </c>
      <c r="CH39" s="4" t="e">
        <f t="shared" ref="CH39:CH70" ca="1" si="197">MAX(0,interpolate($CE39/$AX39,$HP$7:$HP$13,$HR$7:$HR$13,7)*$AX39-($B$25+$HW$8+CF39*$HW$9)*$AX39*$HV$7-FF39-S39)</f>
        <v>#NAME?</v>
      </c>
      <c r="CI39" s="4" t="e">
        <f t="shared" ref="CI39:CI70" ca="1" si="198">MAX(0,interpolate($CE39/$AX39,$HP$18:$HP$24,$HR$18:$HR$24,7)*$AX39-($B$26+$HW$19+CF39*$HW$20)*$AX39*$HV$18-FG39-T39)</f>
        <v>#NAME?</v>
      </c>
      <c r="CJ39" s="4" t="e">
        <f t="shared" ca="1" si="130"/>
        <v>#NAME?</v>
      </c>
      <c r="CK39" s="4" t="e">
        <f t="shared" ca="1" si="31"/>
        <v>#NAME?</v>
      </c>
      <c r="CL39" s="4" t="e">
        <f t="shared" ref="CL39:CL70" ca="1" si="199">IF(OR(CD39=0,ISERROR(BN39),(CD39-CR39)=0),0.15*CD39,MAX(0,$B$71*(CG39+CH39+CI39)+(1-$B$71)*(BN39)))</f>
        <v>#NAME?</v>
      </c>
      <c r="CM39" s="16"/>
      <c r="CN39" s="4">
        <f t="shared" ref="CN39:CN70" si="200">CHOOSE($AZ39,0,BM39-CJ39,0,0)</f>
        <v>0</v>
      </c>
      <c r="CO39" s="4">
        <f t="shared" ref="CO39:CO70" si="201">CHOOSE(AZ39,0,IF(CN39&gt;100,1,0),0,0)</f>
        <v>0</v>
      </c>
      <c r="CP39" s="4">
        <f t="shared" ca="1" si="34"/>
        <v>1416662.9483705855</v>
      </c>
      <c r="CQ39" s="4"/>
      <c r="CR39" s="4">
        <f t="shared" ref="CR39:CR70" ca="1" si="202">MAX(0,BP39)+CB39</f>
        <v>59732.615435548185</v>
      </c>
      <c r="CS39" s="4">
        <f t="shared" ref="CS39:CS70" ca="1" si="203">OFFSET($HK$7,$D39-$HJ$7,0)</f>
        <v>42920</v>
      </c>
      <c r="CT39" s="4">
        <f t="shared" ref="CT39:CT70" ca="1" si="204">MAX(0,MIN($HQ$66*BB39,CS39))</f>
        <v>37081.191681865566</v>
      </c>
      <c r="CU39" s="4"/>
      <c r="CV39" s="4">
        <f t="shared" ca="1" si="132"/>
        <v>59732.615435548185</v>
      </c>
      <c r="CW39" s="4">
        <f t="shared" ref="CW39:CW70" ca="1" si="205">MIN(CT39,$B$22*BB39)</f>
        <v>0</v>
      </c>
      <c r="CX39" s="4">
        <f t="shared" ref="CX39:CX70" ca="1" si="206">IF(E39&gt;=72,0,MIN(CV39,CW39))</f>
        <v>0</v>
      </c>
      <c r="CY39" s="4">
        <f t="shared" ca="1" si="133"/>
        <v>59732.615435548185</v>
      </c>
      <c r="CZ39" s="4"/>
      <c r="DA39" s="4">
        <f t="shared" ref="DA39:DA70" ca="1" si="207">CHOOSE($B$58+1,CY39-DN39,CY39)</f>
        <v>59732.615435548185</v>
      </c>
      <c r="DB39" s="4">
        <f t="shared" ref="DB39:DB70" si="208">CHOOSE(AZ39,$B$23*(1+$B$16)^(D39-$B$7),0,0,0)</f>
        <v>12875.413778425545</v>
      </c>
      <c r="DC39" s="4">
        <f t="shared" ca="1" si="134"/>
        <v>0</v>
      </c>
      <c r="DD39" s="4">
        <f t="shared" ref="DD39:DD70" ca="1" si="209">IF(E39&gt;=72,0,MAX(0,CT39-DB39-DC39+DF38))</f>
        <v>24205.777903440023</v>
      </c>
      <c r="DE39" s="4">
        <f t="shared" ref="DE39:DE70" ca="1" si="210">MIN(DA39,DD39*$B$56)</f>
        <v>24205.777903440023</v>
      </c>
      <c r="DF39" s="4">
        <f t="shared" ca="1" si="135"/>
        <v>0</v>
      </c>
      <c r="DG39" s="4">
        <f t="shared" ca="1" si="136"/>
        <v>12102.888951720011</v>
      </c>
      <c r="DH39" s="4">
        <f t="shared" ref="DH39:DH70" ca="1" si="211">IF(AND(AI39&lt;=70,AJ39&lt;=2),DE39*$B$24,0)</f>
        <v>12102.888951720011</v>
      </c>
      <c r="DI39" s="4"/>
      <c r="DJ39" s="4">
        <f t="shared" ref="DJ39:DJ70" ca="1" si="212">CHOOSE($B$58+1,CY39,CY39-DE39)</f>
        <v>35526.837532108162</v>
      </c>
      <c r="DK39" s="4">
        <f t="shared" ref="DK39:DK70" ca="1" si="213">OFFSET($HL$7,$D39-$HJ$7,0)</f>
        <v>10500</v>
      </c>
      <c r="DL39" s="4">
        <f t="shared" ref="DL39:DL70" ca="1" si="214">IF(E39&lt;18,0,DK39)</f>
        <v>10500</v>
      </c>
      <c r="DM39" s="4">
        <f t="shared" ref="DM39:DM70" ca="1" si="215">CHOOSE(AZ39,DL39+DO38+EQ38,DL39+DO38+EQ38,0,0)</f>
        <v>10500</v>
      </c>
      <c r="DN39" s="4">
        <f t="shared" ref="DN39:DN70" ca="1" si="216">MIN(DJ39,DM39*CHOOSE(AZ39,$B$57,$B$57,0,0))</f>
        <v>10500</v>
      </c>
      <c r="DO39" s="4">
        <f t="shared" ca="1" si="50"/>
        <v>0</v>
      </c>
      <c r="DP39" s="4"/>
      <c r="DQ39" s="4">
        <f t="shared" ref="DQ39:DQ70" ca="1" si="217">MAX(0,CY39-DE39-DN39)</f>
        <v>25026.837532108162</v>
      </c>
      <c r="DR39" s="4"/>
      <c r="DS39" s="4">
        <f t="shared" si="137"/>
        <v>0</v>
      </c>
      <c r="DT39" s="4">
        <f t="shared" si="52"/>
        <v>0</v>
      </c>
      <c r="DU39" s="4">
        <f t="shared" ref="DU39:DU70" si="218">IF($B$74=1,IF(ISERROR(DT39),0,DT39),0)</f>
        <v>0</v>
      </c>
      <c r="DV39" s="4"/>
      <c r="DW39" s="4">
        <f t="shared" ca="1" si="138"/>
        <v>536562.64203157369</v>
      </c>
      <c r="DX39" s="4">
        <f t="shared" ref="DX39:DX70" ca="1" si="219">DG39+AL39</f>
        <v>12102.888951720011</v>
      </c>
      <c r="DY39" s="4">
        <f t="shared" ca="1" si="139"/>
        <v>26828.132101578685</v>
      </c>
      <c r="DZ39" s="4">
        <f t="shared" ref="DZ39:DZ70" ca="1" si="220">BW39</f>
        <v>0</v>
      </c>
      <c r="EA39" s="4">
        <f t="shared" ref="EA39:EA70" ca="1" si="221">CHOOSE($EC39,0,interpolate($AW39,$HG$7:$HG$60,$HH$7:$HH$60,54))*$DW39</f>
        <v>0</v>
      </c>
      <c r="EB39" s="4">
        <f t="shared" ref="EB39:EB70" ca="1" si="222">IF(AND($B$63=1,E39&lt;$B$49),0,MAX(0,DW39+DY39))</f>
        <v>563390.77413315233</v>
      </c>
      <c r="EC39" s="4">
        <f t="shared" ref="EC39:EC70" si="223">IF($AW39&lt;$B$49,1,2)</f>
        <v>1</v>
      </c>
      <c r="ED39" s="4"/>
      <c r="EE39" s="4">
        <f t="shared" ca="1" si="140"/>
        <v>0</v>
      </c>
      <c r="EF39" s="4">
        <f t="shared" ref="EF39:EF70" ca="1" si="224">CX39+AM39</f>
        <v>0</v>
      </c>
      <c r="EG39" s="4">
        <f t="shared" ca="1" si="141"/>
        <v>0</v>
      </c>
      <c r="EH39" s="4">
        <f t="shared" ref="EH39:EH70" ca="1" si="225">BX39</f>
        <v>0</v>
      </c>
      <c r="EI39" s="4">
        <f t="shared" ref="EI39:EI70" ca="1" si="226">CHOOSE($EK39,0,interpolate($AW39,$GZ$7:$GZ$58,$HA$7:$HA$58,52))*$EE39</f>
        <v>0</v>
      </c>
      <c r="EJ39" s="4">
        <f t="shared" ref="EJ39:EJ70" ca="1" si="227">CHOOSE($EK39,0,interpolate($AW39,$GZ$7:$GZ$58,$HB$7:$HB$58,52))*$EE39</f>
        <v>0</v>
      </c>
      <c r="EK39" s="4">
        <f t="shared" ref="EK39:EK70" si="228">IF($AW39&lt;$B$48,1,2)</f>
        <v>1</v>
      </c>
      <c r="EL39" s="4">
        <f t="shared" ref="EL39:EL70" si="229">IF(AND($B$59=1,AW39=MAX($B$12,$B$48,IF($B$8="Alberta",50,55))),0.5*EE39,0)</f>
        <v>0</v>
      </c>
      <c r="EM39" s="4"/>
      <c r="EN39" s="4">
        <f t="shared" ca="1" si="142"/>
        <v>512559.53780393576</v>
      </c>
      <c r="EO39" s="4">
        <f t="shared" ref="EO39:EO70" ca="1" si="230">DN39+AN39</f>
        <v>10500</v>
      </c>
      <c r="EP39" s="4">
        <f t="shared" ca="1" si="143"/>
        <v>25627.976890196791</v>
      </c>
      <c r="EQ39" s="4">
        <f t="shared" ref="EQ39:EQ70" ca="1" si="231">BZ39</f>
        <v>0</v>
      </c>
      <c r="ER39" s="4">
        <v>0</v>
      </c>
      <c r="ES39" s="4">
        <f t="shared" ca="1" si="144"/>
        <v>538187.51469413261</v>
      </c>
      <c r="ET39" s="4"/>
      <c r="EU39" s="4">
        <f t="shared" ca="1" si="145"/>
        <v>367540.768535076</v>
      </c>
      <c r="EV39" s="4">
        <f t="shared" ref="EV39:EV70" ca="1" si="232">DQ39+AO39</f>
        <v>25026.837532108162</v>
      </c>
      <c r="EW39" s="4">
        <f t="shared" ca="1" si="146"/>
        <v>18377.038426753799</v>
      </c>
      <c r="EX39" s="4">
        <f t="shared" ref="EX39:EX70" ca="1" si="233">BY39</f>
        <v>0</v>
      </c>
      <c r="EY39" s="4">
        <v>0</v>
      </c>
      <c r="EZ39" s="4">
        <f t="shared" ca="1" si="147"/>
        <v>385917.80696182977</v>
      </c>
      <c r="FA39" s="4">
        <f t="shared" ca="1" si="148"/>
        <v>43912.081499528766</v>
      </c>
      <c r="FB39" s="1">
        <f t="shared" ref="FB39:FB70" ca="1" si="234">IF(EU39=0,0,FA39/EU39)</f>
        <v>0.11947540316289579</v>
      </c>
      <c r="FC39" s="4">
        <f t="shared" ca="1" si="149"/>
        <v>7350.8153707015199</v>
      </c>
      <c r="FD39" s="4">
        <f t="shared" ca="1" si="150"/>
        <v>9188.5192133768996</v>
      </c>
      <c r="FE39" s="4">
        <f t="shared" ref="FE39:FE70" ca="1" si="235">EW39*$P39*(1+$HQ$59)</f>
        <v>2536.0313028920241</v>
      </c>
      <c r="FF39" s="4">
        <f t="shared" ref="FF39:FF70" ca="1" si="236">FE39*$HV$13</f>
        <v>380.91190169438204</v>
      </c>
      <c r="FG39" s="4">
        <f t="shared" ref="FG39:FG70" ca="1" si="237">FE39*$HV$24</f>
        <v>253.60313028920243</v>
      </c>
      <c r="FH39" s="17">
        <f t="shared" ref="FH39:FH70" ca="1" si="238">MAX(0,EX39*FB39)</f>
        <v>0</v>
      </c>
      <c r="FI39" s="4">
        <f t="shared" ref="FI39:FI70" ca="1" si="239">FH39*$HQ$61</f>
        <v>0</v>
      </c>
      <c r="FJ39" s="4"/>
      <c r="FK39" s="4">
        <f t="shared" ref="FK39:FK70" ca="1" si="240">EB39+(EE39+EG39)*(EK39-1)+ES39+EZ39</f>
        <v>1487496.0957891147</v>
      </c>
      <c r="FL39" s="4"/>
      <c r="FM39" s="4">
        <v>0</v>
      </c>
      <c r="FN39" s="4">
        <f t="shared" ref="FN39:FN70" si="241">IF(AND(AZ39=4,$B$79=1),DW39,0)</f>
        <v>0</v>
      </c>
      <c r="FO39" s="4">
        <f t="shared" ref="FO39:FO70" si="242">IF(AND(AZ39=4,$B$79=1),EE39,0)</f>
        <v>0</v>
      </c>
      <c r="FP39" s="4">
        <f t="shared" ref="FP39:FP70" si="243">IF(AND(AZ39=4,$B$79=1),EN39,0)</f>
        <v>0</v>
      </c>
      <c r="FQ39" s="4">
        <f t="shared" ref="FQ39:FQ70" si="244">IF(AND(AZ39=4,$B$79=1),EU39,0)</f>
        <v>0</v>
      </c>
      <c r="FR39" s="4">
        <f t="shared" ref="FR39:FR70" si="245">IF(AND(AZ39=4,$B$79=1),FA39,0)</f>
        <v>0</v>
      </c>
      <c r="FS39" s="4">
        <f t="shared" ref="FS39:FS70" si="246">$B$40/(1-$B$40)*BF39</f>
        <v>0</v>
      </c>
      <c r="FT39" s="4">
        <f t="shared" ref="FT39:FT70" ca="1" si="247">DH39</f>
        <v>12102.888951720011</v>
      </c>
      <c r="FU39" s="4"/>
      <c r="FV39" s="3">
        <f t="shared" ref="FV39:FV70" si="248">IF(AZ39&gt;=3,0,IF($B$9=1,1/$AX39,1))</f>
        <v>0.5306333035177927</v>
      </c>
      <c r="FW39" s="3">
        <f t="shared" ref="FW39:FW70" si="249">IF(AZ39=3,0,IF($B$9=1,1/$AX39,1))</f>
        <v>0.5306333035177927</v>
      </c>
      <c r="FX39" s="4">
        <f t="shared" si="151"/>
        <v>2049</v>
      </c>
      <c r="FY39" s="18">
        <f t="shared" ref="FY39:FY70" si="250">(BB39+BC39+BH39)*$FV39/1000</f>
        <v>109.31397355847125</v>
      </c>
      <c r="FZ39" s="18">
        <f t="shared" ref="FZ39:FZ70" si="251">BD39*$FV39/1000</f>
        <v>0</v>
      </c>
      <c r="GA39" s="18">
        <f t="shared" ref="GA39:GA70" si="252">BE39*$FV39/1000</f>
        <v>0</v>
      </c>
      <c r="GB39" s="18">
        <f t="shared" ref="GB39:GB70" si="253">(BF39+BG39)*$FV39/1000</f>
        <v>0</v>
      </c>
      <c r="GC39" s="18">
        <f t="shared" ref="GC39:GC70" ca="1" si="254">BW39*$FV39/1000</f>
        <v>0</v>
      </c>
      <c r="GD39" s="18">
        <f t="shared" ref="GD39:GD70" ca="1" si="255">BX39*$FV39/1000</f>
        <v>0</v>
      </c>
      <c r="GE39" s="18">
        <f t="shared" ref="GE39:GE70" ca="1" si="256">BY39*$FV39/1000</f>
        <v>0</v>
      </c>
      <c r="GF39" s="18">
        <f t="shared" ref="GF39:GF70" ca="1" si="257">BZ39*$FV39/1000</f>
        <v>0</v>
      </c>
      <c r="GG39" s="18" t="e">
        <f t="shared" ref="GG39:GG70" ca="1" si="258">(CJ39+CR39)*$FV39/1000</f>
        <v>#NAME?</v>
      </c>
      <c r="GH39" s="18" t="e">
        <f t="shared" ref="GH39:GH70" ca="1" si="259">CJ39*$FV39/1000</f>
        <v>#NAME?</v>
      </c>
      <c r="GI39" s="4"/>
      <c r="GJ39" s="4">
        <f t="shared" ref="GJ39:GJ72" si="260">FX39</f>
        <v>2049</v>
      </c>
      <c r="GK39" s="4">
        <f t="shared" ref="GK39:GK70" ca="1" si="261">DW39*$FW39/1000</f>
        <v>284.71800728544878</v>
      </c>
      <c r="GL39" s="4">
        <f t="shared" ref="GL39:GL70" ca="1" si="262">EE39*$FW39/1000</f>
        <v>0</v>
      </c>
      <c r="GM39" s="4">
        <f t="shared" ref="GM39:GM70" ca="1" si="263">EN39*$FW39/1000</f>
        <v>271.98116079445538</v>
      </c>
      <c r="GN39" s="4">
        <f t="shared" ref="GN39:GN70" ca="1" si="264">EU39*$FW39/1000</f>
        <v>195.02937218523579</v>
      </c>
      <c r="GO39" s="4"/>
      <c r="GP39" s="3">
        <f t="shared" ca="1" si="152"/>
        <v>0.37875109435784721</v>
      </c>
      <c r="GQ39" s="3">
        <f t="shared" ref="GQ39:GQ70" ca="1" si="265">IF(FK39=0,0.1,(EE39+EG39)*(EK39-1)/FK39)</f>
        <v>0</v>
      </c>
      <c r="GR39" s="3">
        <f t="shared" ref="GR39:GR70" ca="1" si="266">IF(FK39=0,0.1,EZ39/FK39)</f>
        <v>0.25944122344543091</v>
      </c>
      <c r="GS39" s="3">
        <f t="shared" ref="GS39:GS70" ca="1" si="267">IF(FK39=0,0.1,ES39/FK39)</f>
        <v>0.36180768219672188</v>
      </c>
      <c r="GT39" s="3">
        <f t="array" aca="1" ref="GT39" ca="1">SUM(GP39:GS39*$GU$6:$GX$6)</f>
        <v>1</v>
      </c>
      <c r="GU39" s="3">
        <f t="shared" ca="1" si="155"/>
        <v>0.37875109435784721</v>
      </c>
      <c r="GV39" s="3">
        <f t="shared" ca="1" si="156"/>
        <v>0</v>
      </c>
      <c r="GW39" s="3">
        <f t="shared" ca="1" si="157"/>
        <v>0.25944122344543091</v>
      </c>
      <c r="GX39" s="3">
        <f t="shared" ca="1" si="158"/>
        <v>0.36180768219672188</v>
      </c>
      <c r="GY39" s="11"/>
      <c r="GZ39" s="27">
        <v>81</v>
      </c>
      <c r="HA39" s="30">
        <v>7.0800000000000002E-2</v>
      </c>
      <c r="HB39" s="29">
        <f t="shared" ca="1" si="153"/>
        <v>0.15190000000000001</v>
      </c>
      <c r="HC39" s="29">
        <v>0.15190000000000001</v>
      </c>
      <c r="HD39" s="29">
        <v>0.129</v>
      </c>
      <c r="HE39" s="29">
        <v>0.1346</v>
      </c>
      <c r="HG39" s="27">
        <v>79</v>
      </c>
      <c r="HH39" s="30">
        <v>6.5799999999999997E-2</v>
      </c>
      <c r="HJ39">
        <f t="shared" si="159"/>
        <v>2042</v>
      </c>
      <c r="HK39" s="28">
        <f t="shared" si="164"/>
        <v>37360</v>
      </c>
      <c r="HL39" s="27">
        <f t="shared" si="162"/>
        <v>9000</v>
      </c>
      <c r="HM39" s="28">
        <f t="shared" si="163"/>
        <v>9203.7996289471394</v>
      </c>
      <c r="HQ39" s="27">
        <v>0.20499999999999999</v>
      </c>
      <c r="HR39" s="27">
        <v>0.14499999999999999</v>
      </c>
      <c r="HS39" s="27">
        <v>0.13800000000000001</v>
      </c>
      <c r="HT39" s="27">
        <v>0.14949999999999999</v>
      </c>
      <c r="HU39" s="27">
        <v>0.1482</v>
      </c>
      <c r="HV39" s="27">
        <v>0.2</v>
      </c>
      <c r="HW39" s="27">
        <v>9.1499999999999998E-2</v>
      </c>
      <c r="HX39" s="27">
        <v>0.1275</v>
      </c>
      <c r="HY39" s="27">
        <v>0.13</v>
      </c>
      <c r="HZ39" s="27">
        <v>0.12</v>
      </c>
      <c r="IA39" s="27">
        <v>7.6999999999999999E-2</v>
      </c>
      <c r="IB39" s="27">
        <v>0.09</v>
      </c>
      <c r="IC39" s="27">
        <v>8.5999999999999993E-2</v>
      </c>
      <c r="ID39" s="27">
        <v>7.0000000000000007E-2</v>
      </c>
      <c r="IE39" s="27">
        <f t="shared" ref="IE39:IG43" si="268">IE38</f>
        <v>0.1</v>
      </c>
      <c r="IF39" s="27">
        <f t="shared" si="268"/>
        <v>0.1</v>
      </c>
      <c r="IG39" s="27">
        <f t="shared" si="268"/>
        <v>0.1</v>
      </c>
    </row>
    <row r="40" spans="1:241" x14ac:dyDescent="0.25">
      <c r="A40" t="s">
        <v>344</v>
      </c>
      <c r="B40" s="76">
        <f>Inputs_Summary!AJ37</f>
        <v>0.25</v>
      </c>
      <c r="D40">
        <f t="shared" si="107"/>
        <v>2050</v>
      </c>
      <c r="E40">
        <f t="shared" si="108"/>
        <v>55</v>
      </c>
      <c r="F40" s="8"/>
      <c r="G40" s="8"/>
      <c r="H40" s="9"/>
      <c r="I40" s="8"/>
      <c r="J40" s="92"/>
      <c r="K40" s="91"/>
      <c r="L40" s="91"/>
      <c r="N40" s="93">
        <f t="shared" si="109"/>
        <v>0.05</v>
      </c>
      <c r="O40" s="23">
        <f t="shared" si="110"/>
        <v>0.4</v>
      </c>
      <c r="P40" s="23">
        <f t="shared" si="111"/>
        <v>0.1</v>
      </c>
      <c r="Q40" s="4">
        <f t="shared" si="169"/>
        <v>0</v>
      </c>
      <c r="R40" s="4">
        <f t="shared" ref="R40:R71" si="269">G40*AX40*(1+$HW$12)</f>
        <v>0</v>
      </c>
      <c r="S40" s="4">
        <f t="shared" si="113"/>
        <v>0</v>
      </c>
      <c r="T40" s="4">
        <f t="shared" ca="1" si="114"/>
        <v>0</v>
      </c>
      <c r="V40" s="18" t="e">
        <f t="shared" ca="1" si="170"/>
        <v>#NAME?</v>
      </c>
      <c r="W40" s="18" t="e">
        <f t="shared" ca="1" si="171"/>
        <v>#NAME?</v>
      </c>
      <c r="X40" s="18">
        <f t="shared" si="172"/>
        <v>0</v>
      </c>
      <c r="Y40" s="18">
        <f t="shared" ca="1" si="173"/>
        <v>12.970317303837239</v>
      </c>
      <c r="Z40" s="18">
        <f t="shared" ca="1" si="174"/>
        <v>0</v>
      </c>
      <c r="AA40" s="18">
        <f t="shared" ca="1" si="175"/>
        <v>5.722516018329137</v>
      </c>
      <c r="AB40" s="18">
        <f t="shared" ca="1" si="176"/>
        <v>13.551494141957743</v>
      </c>
      <c r="AC40" s="18">
        <f t="shared" ca="1" si="177"/>
        <v>299.38833685909941</v>
      </c>
      <c r="AD40" s="18">
        <f t="shared" ca="1" si="178"/>
        <v>0</v>
      </c>
      <c r="AE40" s="18">
        <f t="shared" ca="1" si="179"/>
        <v>285.4430083540343</v>
      </c>
      <c r="AF40" s="18">
        <f t="shared" ca="1" si="180"/>
        <v>213.78521006937569</v>
      </c>
      <c r="AG40" s="18">
        <f t="shared" ca="1" si="181"/>
        <v>798.61655528250958</v>
      </c>
      <c r="AI40">
        <f>Person2!E40</f>
        <v>55</v>
      </c>
      <c r="AJ40">
        <f>Person2!AZ40</f>
        <v>1</v>
      </c>
      <c r="AK40">
        <f>IF($AZ40&lt;&gt;3,Person2!FM40,0)</f>
        <v>0</v>
      </c>
      <c r="AL40" s="4">
        <f ca="1">IF($AZ40&lt;&gt;3,Person2!FN40+Person2!FT40,0)</f>
        <v>0</v>
      </c>
      <c r="AM40">
        <f>IF($AZ40&lt;&gt;3,Person2!FO40,0)</f>
        <v>0</v>
      </c>
      <c r="AN40">
        <f>IF($AZ40&lt;&gt;3,Person2!FP40,0)</f>
        <v>0</v>
      </c>
      <c r="AO40">
        <f>IF($AZ40&lt;&gt;3,Person2!FQ40,0)</f>
        <v>0</v>
      </c>
      <c r="AP40">
        <f>IF($AZ40&lt;&gt;3,Person2!FR40,0)</f>
        <v>0</v>
      </c>
      <c r="AQ40">
        <v>0</v>
      </c>
      <c r="AR40" s="4">
        <f>Person2!FS40</f>
        <v>0</v>
      </c>
      <c r="AS40" s="4">
        <v>0</v>
      </c>
      <c r="AT40" s="4">
        <v>0</v>
      </c>
      <c r="AV40">
        <f t="shared" ref="AV40:AV86" si="270">AV39+1</f>
        <v>2050</v>
      </c>
      <c r="AW40">
        <f t="shared" ref="AW40:AW86" si="271">AW39+1</f>
        <v>55</v>
      </c>
      <c r="AX40">
        <f t="shared" ref="AX40:AX71" si="272">AX39*(1+$B$15)</f>
        <v>1.9222314039431532</v>
      </c>
      <c r="AY40">
        <f t="shared" si="118"/>
        <v>0.52022872893901251</v>
      </c>
      <c r="AZ40">
        <f t="shared" si="119"/>
        <v>1</v>
      </c>
      <c r="BB40" s="4">
        <f t="shared" si="182"/>
        <v>212186.81906845301</v>
      </c>
      <c r="BC40">
        <f t="shared" si="183"/>
        <v>0</v>
      </c>
      <c r="BD40" s="4">
        <f t="shared" si="184"/>
        <v>0</v>
      </c>
      <c r="BE40" s="4">
        <f t="shared" si="120"/>
        <v>0</v>
      </c>
      <c r="BF40" s="4">
        <f t="shared" si="121"/>
        <v>0</v>
      </c>
      <c r="BG40" s="4">
        <f t="shared" si="122"/>
        <v>0</v>
      </c>
      <c r="BH40" s="4">
        <f t="shared" si="185"/>
        <v>0</v>
      </c>
      <c r="BI40" s="4">
        <f t="shared" si="123"/>
        <v>212186.81906845301</v>
      </c>
      <c r="BJ40" s="4"/>
      <c r="BK40" s="4">
        <f t="shared" si="186"/>
        <v>96111.570197157664</v>
      </c>
      <c r="BL40" s="4">
        <f t="shared" si="124"/>
        <v>0</v>
      </c>
      <c r="BM40" s="4">
        <f t="shared" si="125"/>
        <v>96111.570197157664</v>
      </c>
      <c r="BN40" s="4">
        <v>54094.190020729293</v>
      </c>
      <c r="BO40" s="4">
        <f t="shared" si="126"/>
        <v>150205.76021788694</v>
      </c>
      <c r="BP40" s="4">
        <f t="shared" si="127"/>
        <v>61981.058850566071</v>
      </c>
      <c r="BQ40" s="4"/>
      <c r="BR40" s="4">
        <v>0</v>
      </c>
      <c r="BS40" s="4">
        <f t="shared" ca="1" si="187"/>
        <v>24931.951240543225</v>
      </c>
      <c r="BT40" s="4">
        <f t="shared" ca="1" si="188"/>
        <v>11000</v>
      </c>
      <c r="BU40" s="4">
        <f t="shared" si="189"/>
        <v>0</v>
      </c>
      <c r="BV40" s="4">
        <f t="shared" si="190"/>
        <v>1</v>
      </c>
      <c r="BW40" s="4">
        <f t="shared" ca="1" si="191"/>
        <v>0</v>
      </c>
      <c r="BX40" s="4">
        <f t="shared" ca="1" si="192"/>
        <v>0</v>
      </c>
      <c r="BY40" s="4">
        <f t="shared" ca="1" si="193"/>
        <v>0</v>
      </c>
      <c r="BZ40" s="4">
        <f t="shared" ca="1" si="194"/>
        <v>0</v>
      </c>
      <c r="CA40" s="4">
        <f t="shared" ca="1" si="26"/>
        <v>0</v>
      </c>
      <c r="CB40" s="4">
        <f t="shared" ca="1" si="160"/>
        <v>0</v>
      </c>
      <c r="CC40" s="4"/>
      <c r="CD40" s="4">
        <f t="shared" ca="1" si="195"/>
        <v>212186.81906845301</v>
      </c>
      <c r="CE40" s="4">
        <f t="shared" ca="1" si="128"/>
        <v>193828.04998989296</v>
      </c>
      <c r="CF40" s="16">
        <f t="shared" si="196"/>
        <v>0</v>
      </c>
      <c r="CG40" s="4">
        <f t="shared" si="129"/>
        <v>6535.9519973734696</v>
      </c>
      <c r="CH40" s="4" t="e">
        <f t="shared" ca="1" si="197"/>
        <v>#NAME?</v>
      </c>
      <c r="CI40" s="4" t="e">
        <f t="shared" ca="1" si="198"/>
        <v>#NAME?</v>
      </c>
      <c r="CJ40" s="4" t="e">
        <f t="shared" ca="1" si="130"/>
        <v>#NAME?</v>
      </c>
      <c r="CK40" s="4" t="e">
        <f t="shared" ca="1" si="31"/>
        <v>#NAME?</v>
      </c>
      <c r="CL40" s="4" t="e">
        <f t="shared" ca="1" si="199"/>
        <v>#NAME?</v>
      </c>
      <c r="CM40" s="16"/>
      <c r="CN40" s="4">
        <f t="shared" si="200"/>
        <v>0</v>
      </c>
      <c r="CO40" s="4">
        <f t="shared" si="201"/>
        <v>0</v>
      </c>
      <c r="CP40" s="4">
        <f t="shared" ca="1" si="34"/>
        <v>1535125.8222729429</v>
      </c>
      <c r="CQ40" s="4"/>
      <c r="CR40" s="4">
        <f t="shared" ca="1" si="202"/>
        <v>61981.058850566071</v>
      </c>
      <c r="CS40" s="4">
        <f t="shared" ca="1" si="203"/>
        <v>43780</v>
      </c>
      <c r="CT40" s="4">
        <f t="shared" ca="1" si="204"/>
        <v>38193.62743232154</v>
      </c>
      <c r="CU40" s="4"/>
      <c r="CV40" s="4">
        <f t="shared" ca="1" si="132"/>
        <v>61981.058850566071</v>
      </c>
      <c r="CW40" s="4">
        <f t="shared" ca="1" si="205"/>
        <v>0</v>
      </c>
      <c r="CX40" s="4">
        <f t="shared" ca="1" si="206"/>
        <v>0</v>
      </c>
      <c r="CY40" s="4">
        <f t="shared" ca="1" si="133"/>
        <v>61981.058850566071</v>
      </c>
      <c r="CZ40" s="4"/>
      <c r="DA40" s="4">
        <f t="shared" ca="1" si="207"/>
        <v>61981.058850566071</v>
      </c>
      <c r="DB40" s="4">
        <f t="shared" si="208"/>
        <v>13261.676191778313</v>
      </c>
      <c r="DC40" s="4">
        <f t="shared" ca="1" si="134"/>
        <v>0</v>
      </c>
      <c r="DD40" s="4">
        <f t="shared" ca="1" si="209"/>
        <v>24931.951240543225</v>
      </c>
      <c r="DE40" s="4">
        <f t="shared" ca="1" si="210"/>
        <v>24931.951240543225</v>
      </c>
      <c r="DF40" s="4">
        <f t="shared" ca="1" si="135"/>
        <v>0</v>
      </c>
      <c r="DG40" s="4">
        <f t="shared" ca="1" si="136"/>
        <v>12465.975620271613</v>
      </c>
      <c r="DH40" s="4">
        <f t="shared" ca="1" si="211"/>
        <v>12465.975620271613</v>
      </c>
      <c r="DI40" s="4"/>
      <c r="DJ40" s="4">
        <f t="shared" ca="1" si="212"/>
        <v>37049.107610022846</v>
      </c>
      <c r="DK40" s="4">
        <f t="shared" ca="1" si="213"/>
        <v>11000</v>
      </c>
      <c r="DL40" s="4">
        <f t="shared" ca="1" si="214"/>
        <v>11000</v>
      </c>
      <c r="DM40" s="4">
        <f t="shared" ca="1" si="215"/>
        <v>11000</v>
      </c>
      <c r="DN40" s="4">
        <f t="shared" ca="1" si="216"/>
        <v>11000</v>
      </c>
      <c r="DO40" s="4">
        <f t="shared" ca="1" si="50"/>
        <v>0</v>
      </c>
      <c r="DP40" s="4"/>
      <c r="DQ40" s="4">
        <f t="shared" ca="1" si="217"/>
        <v>26049.107610022846</v>
      </c>
      <c r="DR40" s="4"/>
      <c r="DS40" s="4">
        <f t="shared" si="137"/>
        <v>0</v>
      </c>
      <c r="DT40" s="4">
        <f t="shared" si="52"/>
        <v>0</v>
      </c>
      <c r="DU40" s="4">
        <f t="shared" si="218"/>
        <v>0</v>
      </c>
      <c r="DV40" s="4"/>
      <c r="DW40" s="4">
        <f t="shared" ref="DW40:DW71" ca="1" si="273">DW39+DY39+DX39-DZ39+EL39-FN39</f>
        <v>575493.6630848723</v>
      </c>
      <c r="DX40" s="4">
        <f t="shared" ca="1" si="219"/>
        <v>12465.975620271613</v>
      </c>
      <c r="DY40" s="4">
        <f t="shared" ca="1" si="139"/>
        <v>28774.683154243616</v>
      </c>
      <c r="DZ40" s="4">
        <f t="shared" ca="1" si="220"/>
        <v>0</v>
      </c>
      <c r="EA40" s="4">
        <f t="shared" ca="1" si="221"/>
        <v>0</v>
      </c>
      <c r="EB40" s="4">
        <f t="shared" ca="1" si="222"/>
        <v>604268.34623911593</v>
      </c>
      <c r="EC40" s="4">
        <f t="shared" si="223"/>
        <v>1</v>
      </c>
      <c r="ED40" s="4"/>
      <c r="EE40" s="4">
        <f t="shared" ref="EE40:EE71" ca="1" si="274">EE39+EG39+EF39-EH39-EL39-FO39</f>
        <v>0</v>
      </c>
      <c r="EF40" s="4">
        <f t="shared" ca="1" si="224"/>
        <v>0</v>
      </c>
      <c r="EG40" s="4">
        <f t="shared" ca="1" si="141"/>
        <v>0</v>
      </c>
      <c r="EH40" s="4">
        <f t="shared" ca="1" si="225"/>
        <v>0</v>
      </c>
      <c r="EI40" s="4">
        <f t="shared" ca="1" si="226"/>
        <v>0</v>
      </c>
      <c r="EJ40" s="4">
        <f t="shared" ca="1" si="227"/>
        <v>0</v>
      </c>
      <c r="EK40" s="4">
        <f t="shared" si="228"/>
        <v>1</v>
      </c>
      <c r="EL40" s="4">
        <f t="shared" si="229"/>
        <v>0</v>
      </c>
      <c r="EM40" s="4"/>
      <c r="EN40" s="4">
        <f t="shared" ref="EN40:EN71" ca="1" si="275">EN39+EP39+EO39-EQ39-FP39</f>
        <v>548687.51469413261</v>
      </c>
      <c r="EO40" s="4">
        <f t="shared" ca="1" si="230"/>
        <v>11000</v>
      </c>
      <c r="EP40" s="4">
        <f t="shared" ca="1" si="143"/>
        <v>27434.375734706631</v>
      </c>
      <c r="EQ40" s="4">
        <f t="shared" ca="1" si="231"/>
        <v>0</v>
      </c>
      <c r="ER40" s="4">
        <v>0</v>
      </c>
      <c r="ES40" s="4">
        <f t="shared" ca="1" si="144"/>
        <v>576121.89042883925</v>
      </c>
      <c r="ET40" s="4"/>
      <c r="EU40" s="4">
        <f t="shared" ref="EU40:EU71" ca="1" si="276">EU39+EW39+EV39-EX39-FQ39</f>
        <v>410944.64449393796</v>
      </c>
      <c r="EV40" s="4">
        <f t="shared" ca="1" si="232"/>
        <v>26049.107610022846</v>
      </c>
      <c r="EW40" s="4">
        <f t="shared" ca="1" si="146"/>
        <v>20547.232224696898</v>
      </c>
      <c r="EX40" s="4">
        <f t="shared" ca="1" si="233"/>
        <v>0</v>
      </c>
      <c r="EY40" s="4">
        <v>0</v>
      </c>
      <c r="EZ40" s="4">
        <f t="shared" ca="1" si="147"/>
        <v>431491.87671863486</v>
      </c>
      <c r="FA40" s="4">
        <f t="shared" ref="FA40:FA71" ca="1" si="277">FA39+FC39-FH39-FR39+AP39</f>
        <v>51262.896870230288</v>
      </c>
      <c r="FB40" s="1">
        <f t="shared" ca="1" si="234"/>
        <v>0.12474404413606245</v>
      </c>
      <c r="FC40" s="4">
        <f t="shared" ca="1" si="149"/>
        <v>8218.8928898787599</v>
      </c>
      <c r="FD40" s="4">
        <f t="shared" ca="1" si="150"/>
        <v>10273.616112348449</v>
      </c>
      <c r="FE40" s="4">
        <f t="shared" ca="1" si="235"/>
        <v>2835.5180470081718</v>
      </c>
      <c r="FF40" s="4">
        <f t="shared" ca="1" si="236"/>
        <v>425.8948106606274</v>
      </c>
      <c r="FG40" s="4">
        <f t="shared" ca="1" si="237"/>
        <v>283.55180470081717</v>
      </c>
      <c r="FH40" s="17">
        <f t="shared" ca="1" si="238"/>
        <v>0</v>
      </c>
      <c r="FI40" s="4">
        <f t="shared" ca="1" si="239"/>
        <v>0</v>
      </c>
      <c r="FJ40" s="4"/>
      <c r="FK40" s="4">
        <f t="shared" ca="1" si="240"/>
        <v>1611882.11338659</v>
      </c>
      <c r="FL40" s="4"/>
      <c r="FM40" s="4">
        <v>0</v>
      </c>
      <c r="FN40" s="4">
        <f t="shared" si="241"/>
        <v>0</v>
      </c>
      <c r="FO40" s="4">
        <f t="shared" si="242"/>
        <v>0</v>
      </c>
      <c r="FP40" s="4">
        <f t="shared" si="243"/>
        <v>0</v>
      </c>
      <c r="FQ40" s="4">
        <f t="shared" si="244"/>
        <v>0</v>
      </c>
      <c r="FR40" s="4">
        <f t="shared" si="245"/>
        <v>0</v>
      </c>
      <c r="FS40" s="4">
        <f t="shared" si="246"/>
        <v>0</v>
      </c>
      <c r="FT40" s="4">
        <f t="shared" ca="1" si="247"/>
        <v>12465.975620271613</v>
      </c>
      <c r="FU40" s="4"/>
      <c r="FV40" s="3">
        <f t="shared" si="248"/>
        <v>0.52022872893901251</v>
      </c>
      <c r="FW40" s="3">
        <f t="shared" si="249"/>
        <v>0.52022872893901251</v>
      </c>
      <c r="FX40" s="4">
        <f t="shared" si="151"/>
        <v>2050</v>
      </c>
      <c r="FY40" s="18">
        <f t="shared" si="250"/>
        <v>110.38567918159353</v>
      </c>
      <c r="FZ40" s="18">
        <f t="shared" si="251"/>
        <v>0</v>
      </c>
      <c r="GA40" s="18">
        <f t="shared" si="252"/>
        <v>0</v>
      </c>
      <c r="GB40" s="18">
        <f t="shared" si="253"/>
        <v>0</v>
      </c>
      <c r="GC40" s="18">
        <f t="shared" ca="1" si="254"/>
        <v>0</v>
      </c>
      <c r="GD40" s="18">
        <f t="shared" ca="1" si="255"/>
        <v>0</v>
      </c>
      <c r="GE40" s="18">
        <f t="shared" ca="1" si="256"/>
        <v>0</v>
      </c>
      <c r="GF40" s="18">
        <f t="shared" ca="1" si="257"/>
        <v>0</v>
      </c>
      <c r="GG40" s="18" t="e">
        <f t="shared" ca="1" si="258"/>
        <v>#NAME?</v>
      </c>
      <c r="GH40" s="18" t="e">
        <f t="shared" ca="1" si="259"/>
        <v>#NAME?</v>
      </c>
      <c r="GI40" s="4"/>
      <c r="GJ40" s="4">
        <f t="shared" si="260"/>
        <v>2050</v>
      </c>
      <c r="GK40" s="4">
        <f t="shared" ca="1" si="261"/>
        <v>299.38833685909941</v>
      </c>
      <c r="GL40" s="4">
        <f t="shared" ca="1" si="262"/>
        <v>0</v>
      </c>
      <c r="GM40" s="4">
        <f t="shared" ca="1" si="263"/>
        <v>285.4430083540343</v>
      </c>
      <c r="GN40" s="4">
        <f t="shared" ca="1" si="264"/>
        <v>213.78521006937569</v>
      </c>
      <c r="GO40" s="4"/>
      <c r="GP40" s="3">
        <f t="shared" ca="1" si="152"/>
        <v>0.37488370968366819</v>
      </c>
      <c r="GQ40" s="3">
        <f t="shared" ca="1" si="265"/>
        <v>0</v>
      </c>
      <c r="GR40" s="3">
        <f t="shared" ca="1" si="266"/>
        <v>0.2676944381571823</v>
      </c>
      <c r="GS40" s="3">
        <f t="shared" ca="1" si="267"/>
        <v>0.35742185215914951</v>
      </c>
      <c r="GT40" s="3">
        <f t="array" aca="1" ref="GT40" ca="1">SUM(GP40:GS40*$GU$6:$GX$6)</f>
        <v>1</v>
      </c>
      <c r="GU40" s="3">
        <f t="shared" ca="1" si="155"/>
        <v>0.37488370968366819</v>
      </c>
      <c r="GV40" s="3">
        <f t="shared" ca="1" si="156"/>
        <v>0</v>
      </c>
      <c r="GW40" s="3">
        <f t="shared" ca="1" si="157"/>
        <v>0.2676944381571823</v>
      </c>
      <c r="GX40" s="3">
        <f t="shared" ca="1" si="158"/>
        <v>0.35742185215914951</v>
      </c>
      <c r="GY40" s="11"/>
      <c r="GZ40" s="27">
        <v>82</v>
      </c>
      <c r="HA40" s="30">
        <v>7.3800000000000004E-2</v>
      </c>
      <c r="HB40" s="29">
        <f t="shared" ca="1" si="153"/>
        <v>0.16900000000000001</v>
      </c>
      <c r="HC40" s="29">
        <v>0.16900000000000001</v>
      </c>
      <c r="HD40" s="29">
        <v>0.13800000000000001</v>
      </c>
      <c r="HE40" s="29">
        <v>0.1522</v>
      </c>
      <c r="HG40" s="27">
        <v>80</v>
      </c>
      <c r="HH40" s="30">
        <v>6.8199999999999997E-2</v>
      </c>
      <c r="HJ40">
        <f t="shared" si="159"/>
        <v>2043</v>
      </c>
      <c r="HK40" s="28">
        <f t="shared" si="164"/>
        <v>38110</v>
      </c>
      <c r="HL40" s="27">
        <f t="shared" si="162"/>
        <v>9500</v>
      </c>
      <c r="HM40" s="28">
        <f t="shared" si="163"/>
        <v>9387.8756215260819</v>
      </c>
      <c r="HQ40" s="27">
        <v>0.26</v>
      </c>
      <c r="HR40" s="27">
        <v>0.158</v>
      </c>
      <c r="HS40" s="27">
        <v>0.16700000000000001</v>
      </c>
      <c r="HT40" s="27">
        <v>0.16669999999999999</v>
      </c>
      <c r="HU40" s="27">
        <v>0.16520000000000001</v>
      </c>
      <c r="HV40" s="27">
        <v>0.24</v>
      </c>
      <c r="HW40" s="27">
        <f>0.1116*1.56</f>
        <v>0.174096</v>
      </c>
      <c r="HX40" s="27">
        <v>0.17399999999999999</v>
      </c>
      <c r="HY40" s="27">
        <v>0.15</v>
      </c>
      <c r="HZ40" s="27">
        <v>0.13</v>
      </c>
      <c r="IA40" s="27">
        <v>0.105</v>
      </c>
      <c r="IB40" s="27">
        <v>0.109</v>
      </c>
      <c r="IC40" s="27">
        <v>0.122</v>
      </c>
      <c r="ID40" s="27">
        <v>0.09</v>
      </c>
      <c r="IE40" s="27">
        <f t="shared" si="268"/>
        <v>0.1</v>
      </c>
      <c r="IF40" s="27">
        <f t="shared" si="268"/>
        <v>0.1</v>
      </c>
      <c r="IG40" s="27">
        <f t="shared" si="268"/>
        <v>0.1</v>
      </c>
    </row>
    <row r="41" spans="1:241" x14ac:dyDescent="0.25">
      <c r="A41" t="s">
        <v>345</v>
      </c>
      <c r="B41" s="45" t="s">
        <v>334</v>
      </c>
      <c r="D41">
        <f t="shared" si="107"/>
        <v>2051</v>
      </c>
      <c r="E41">
        <f t="shared" si="108"/>
        <v>56</v>
      </c>
      <c r="F41" s="8"/>
      <c r="G41" s="8"/>
      <c r="H41" s="9"/>
      <c r="I41" s="8"/>
      <c r="J41" s="92"/>
      <c r="K41" s="91"/>
      <c r="L41" s="91"/>
      <c r="N41" s="93">
        <f t="shared" si="109"/>
        <v>0.05</v>
      </c>
      <c r="O41" s="23">
        <f t="shared" si="110"/>
        <v>0.4</v>
      </c>
      <c r="P41" s="23">
        <f t="shared" si="111"/>
        <v>0.1</v>
      </c>
      <c r="Q41" s="4">
        <f t="shared" si="169"/>
        <v>0</v>
      </c>
      <c r="R41" s="4">
        <f t="shared" si="269"/>
        <v>0</v>
      </c>
      <c r="S41" s="4">
        <f t="shared" si="113"/>
        <v>0</v>
      </c>
      <c r="T41" s="4">
        <f t="shared" ca="1" si="114"/>
        <v>0</v>
      </c>
      <c r="V41" s="18" t="e">
        <f t="shared" ca="1" si="170"/>
        <v>#NAME?</v>
      </c>
      <c r="W41" s="18" t="e">
        <f t="shared" ca="1" si="171"/>
        <v>#NAME?</v>
      </c>
      <c r="X41" s="18">
        <f t="shared" si="172"/>
        <v>0</v>
      </c>
      <c r="Y41" s="18">
        <f t="shared" ca="1" si="173"/>
        <v>13.097477277404268</v>
      </c>
      <c r="Z41" s="18">
        <f t="shared" ca="1" si="174"/>
        <v>0</v>
      </c>
      <c r="AA41" s="18">
        <f t="shared" ca="1" si="175"/>
        <v>5.6103098218913114</v>
      </c>
      <c r="AB41" s="18">
        <f t="shared" ca="1" si="176"/>
        <v>14.083942436928767</v>
      </c>
      <c r="AC41" s="18">
        <f t="shared" ca="1" si="177"/>
        <v>314.55187485683626</v>
      </c>
      <c r="AD41" s="18">
        <f t="shared" ca="1" si="178"/>
        <v>0</v>
      </c>
      <c r="AE41" s="18">
        <f t="shared" ca="1" si="179"/>
        <v>299.44870077457369</v>
      </c>
      <c r="AF41" s="18">
        <f t="shared" ca="1" si="180"/>
        <v>233.35878893608057</v>
      </c>
      <c r="AG41" s="18">
        <f t="shared" ca="1" si="181"/>
        <v>847.3593645674905</v>
      </c>
      <c r="AI41">
        <f>Person2!E41</f>
        <v>56</v>
      </c>
      <c r="AJ41">
        <f>Person2!AZ41</f>
        <v>1</v>
      </c>
      <c r="AK41">
        <f>IF($AZ41&lt;&gt;3,Person2!FM41,0)</f>
        <v>0</v>
      </c>
      <c r="AL41" s="4">
        <f ca="1">IF($AZ41&lt;&gt;3,Person2!FN41+Person2!FT41,0)</f>
        <v>0</v>
      </c>
      <c r="AM41">
        <f>IF($AZ41&lt;&gt;3,Person2!FO41,0)</f>
        <v>0</v>
      </c>
      <c r="AN41">
        <f>IF($AZ41&lt;&gt;3,Person2!FP41,0)</f>
        <v>0</v>
      </c>
      <c r="AO41">
        <f>IF($AZ41&lt;&gt;3,Person2!FQ41,0)</f>
        <v>0</v>
      </c>
      <c r="AP41">
        <f>IF($AZ41&lt;&gt;3,Person2!FR41,0)</f>
        <v>0</v>
      </c>
      <c r="AQ41">
        <v>0</v>
      </c>
      <c r="AR41" s="4">
        <f>Person2!FS41</f>
        <v>0</v>
      </c>
      <c r="AS41" s="4">
        <v>0</v>
      </c>
      <c r="AT41" s="4">
        <v>0</v>
      </c>
      <c r="AV41">
        <f t="shared" si="270"/>
        <v>2051</v>
      </c>
      <c r="AW41">
        <f t="shared" si="271"/>
        <v>56</v>
      </c>
      <c r="AX41">
        <f t="shared" si="272"/>
        <v>1.9606760320220162</v>
      </c>
      <c r="AY41">
        <f t="shared" si="118"/>
        <v>0.51002816562648279</v>
      </c>
      <c r="AZ41">
        <f t="shared" si="119"/>
        <v>1</v>
      </c>
      <c r="BB41" s="4">
        <f t="shared" si="182"/>
        <v>218552.42364050657</v>
      </c>
      <c r="BC41">
        <f t="shared" si="183"/>
        <v>0</v>
      </c>
      <c r="BD41" s="4">
        <f t="shared" si="184"/>
        <v>0</v>
      </c>
      <c r="BE41" s="4">
        <f t="shared" si="120"/>
        <v>0</v>
      </c>
      <c r="BF41" s="4">
        <f t="shared" si="121"/>
        <v>0</v>
      </c>
      <c r="BG41" s="4">
        <f t="shared" si="122"/>
        <v>0</v>
      </c>
      <c r="BH41" s="4">
        <f t="shared" si="185"/>
        <v>0</v>
      </c>
      <c r="BI41" s="4">
        <f t="shared" si="123"/>
        <v>218552.42364050657</v>
      </c>
      <c r="BJ41" s="4"/>
      <c r="BK41" s="4">
        <f t="shared" si="186"/>
        <v>98033.801601100815</v>
      </c>
      <c r="BL41" s="4">
        <f t="shared" si="124"/>
        <v>0</v>
      </c>
      <c r="BM41" s="4">
        <f t="shared" si="125"/>
        <v>98033.801601100815</v>
      </c>
      <c r="BN41" s="4">
        <v>56224.663889182244</v>
      </c>
      <c r="BO41" s="4">
        <f t="shared" si="126"/>
        <v>154258.46549028307</v>
      </c>
      <c r="BP41" s="4">
        <f t="shared" si="127"/>
        <v>64293.958150223509</v>
      </c>
      <c r="BQ41" s="4"/>
      <c r="BR41" s="4">
        <v>0</v>
      </c>
      <c r="BS41" s="4">
        <f t="shared" ca="1" si="187"/>
        <v>25679.909777759523</v>
      </c>
      <c r="BT41" s="4">
        <f t="shared" ca="1" si="188"/>
        <v>11000</v>
      </c>
      <c r="BU41" s="4">
        <f t="shared" si="189"/>
        <v>0</v>
      </c>
      <c r="BV41" s="4">
        <f t="shared" si="190"/>
        <v>1</v>
      </c>
      <c r="BW41" s="4">
        <f t="shared" ca="1" si="191"/>
        <v>0</v>
      </c>
      <c r="BX41" s="4">
        <f t="shared" ca="1" si="192"/>
        <v>0</v>
      </c>
      <c r="BY41" s="4">
        <f t="shared" ca="1" si="193"/>
        <v>0</v>
      </c>
      <c r="BZ41" s="4">
        <f t="shared" ca="1" si="194"/>
        <v>0</v>
      </c>
      <c r="CA41" s="4">
        <f t="shared" ca="1" si="26"/>
        <v>0</v>
      </c>
      <c r="CB41" s="4">
        <f t="shared" ca="1" si="160"/>
        <v>0</v>
      </c>
      <c r="CC41" s="4"/>
      <c r="CD41" s="4">
        <f t="shared" ca="1" si="195"/>
        <v>218552.42364050657</v>
      </c>
      <c r="CE41" s="4">
        <f t="shared" ca="1" si="128"/>
        <v>200801.4002255103</v>
      </c>
      <c r="CF41" s="16">
        <f t="shared" si="196"/>
        <v>0</v>
      </c>
      <c r="CG41" s="4">
        <f t="shared" si="129"/>
        <v>6666.6710373209389</v>
      </c>
      <c r="CH41" s="4" t="e">
        <f t="shared" ca="1" si="197"/>
        <v>#NAME?</v>
      </c>
      <c r="CI41" s="4" t="e">
        <f t="shared" ca="1" si="198"/>
        <v>#NAME?</v>
      </c>
      <c r="CJ41" s="4" t="e">
        <f t="shared" ca="1" si="130"/>
        <v>#NAME?</v>
      </c>
      <c r="CK41" s="4" t="e">
        <f t="shared" ca="1" si="31"/>
        <v>#NAME?</v>
      </c>
      <c r="CL41" s="4" t="e">
        <f t="shared" ca="1" si="199"/>
        <v>#NAME?</v>
      </c>
      <c r="CM41" s="16"/>
      <c r="CN41" s="4">
        <f t="shared" si="200"/>
        <v>0</v>
      </c>
      <c r="CO41" s="4">
        <f t="shared" si="201"/>
        <v>0</v>
      </c>
      <c r="CP41" s="4">
        <f ca="1">DW41+EE41+EN41+EU41</f>
        <v>1661397.1966168846</v>
      </c>
      <c r="CQ41" s="4"/>
      <c r="CR41" s="4">
        <f t="shared" ca="1" si="202"/>
        <v>64293.958150223509</v>
      </c>
      <c r="CS41" s="4">
        <f t="shared" ca="1" si="203"/>
        <v>44650</v>
      </c>
      <c r="CT41" s="4">
        <f t="shared" ca="1" si="204"/>
        <v>39339.436255291184</v>
      </c>
      <c r="CU41" s="4"/>
      <c r="CV41" s="4">
        <f t="shared" ca="1" si="132"/>
        <v>64293.958150223509</v>
      </c>
      <c r="CW41" s="4">
        <f t="shared" ca="1" si="205"/>
        <v>0</v>
      </c>
      <c r="CX41" s="4">
        <f t="shared" ca="1" si="206"/>
        <v>0</v>
      </c>
      <c r="CY41" s="4">
        <f t="shared" ca="1" si="133"/>
        <v>64293.958150223509</v>
      </c>
      <c r="CZ41" s="4"/>
      <c r="DA41" s="4">
        <f t="shared" ca="1" si="207"/>
        <v>64293.958150223509</v>
      </c>
      <c r="DB41" s="4">
        <f t="shared" si="208"/>
        <v>13659.526477531661</v>
      </c>
      <c r="DC41" s="4">
        <f t="shared" ca="1" si="134"/>
        <v>0</v>
      </c>
      <c r="DD41" s="4">
        <f t="shared" ca="1" si="209"/>
        <v>25679.909777759523</v>
      </c>
      <c r="DE41" s="4">
        <f t="shared" ca="1" si="210"/>
        <v>25679.909777759523</v>
      </c>
      <c r="DF41" s="4">
        <f t="shared" ca="1" si="135"/>
        <v>0</v>
      </c>
      <c r="DG41" s="4">
        <f t="shared" ca="1" si="136"/>
        <v>12839.954888879762</v>
      </c>
      <c r="DH41" s="4">
        <f t="shared" ca="1" si="211"/>
        <v>12839.954888879762</v>
      </c>
      <c r="DI41" s="4"/>
      <c r="DJ41" s="4">
        <f t="shared" ca="1" si="212"/>
        <v>38614.048372463985</v>
      </c>
      <c r="DK41" s="4">
        <f t="shared" ca="1" si="213"/>
        <v>11000</v>
      </c>
      <c r="DL41" s="4">
        <f t="shared" ca="1" si="214"/>
        <v>11000</v>
      </c>
      <c r="DM41" s="4">
        <f t="shared" ca="1" si="215"/>
        <v>11000</v>
      </c>
      <c r="DN41" s="4">
        <f t="shared" ca="1" si="216"/>
        <v>11000</v>
      </c>
      <c r="DO41" s="4">
        <f t="shared" ca="1" si="50"/>
        <v>0</v>
      </c>
      <c r="DP41" s="4"/>
      <c r="DQ41" s="4">
        <f t="shared" ca="1" si="217"/>
        <v>27614.048372463985</v>
      </c>
      <c r="DR41" s="4"/>
      <c r="DS41" s="4">
        <f t="shared" si="137"/>
        <v>0</v>
      </c>
      <c r="DT41" s="4">
        <f t="shared" si="52"/>
        <v>0</v>
      </c>
      <c r="DU41" s="4">
        <f t="shared" si="218"/>
        <v>0</v>
      </c>
      <c r="DV41" s="4"/>
      <c r="DW41" s="4">
        <f t="shared" ca="1" si="273"/>
        <v>616734.32185938756</v>
      </c>
      <c r="DX41" s="4">
        <f t="shared" ca="1" si="219"/>
        <v>12839.954888879762</v>
      </c>
      <c r="DY41" s="4">
        <f t="shared" ca="1" si="139"/>
        <v>30836.716092969378</v>
      </c>
      <c r="DZ41" s="4">
        <f t="shared" ca="1" si="220"/>
        <v>0</v>
      </c>
      <c r="EA41" s="4">
        <f t="shared" ca="1" si="221"/>
        <v>0</v>
      </c>
      <c r="EB41" s="4">
        <f t="shared" ca="1" si="222"/>
        <v>647571.03795235697</v>
      </c>
      <c r="EC41" s="4">
        <f t="shared" si="223"/>
        <v>1</v>
      </c>
      <c r="ED41" s="4"/>
      <c r="EE41" s="4">
        <f t="shared" ca="1" si="274"/>
        <v>0</v>
      </c>
      <c r="EF41" s="4">
        <f t="shared" ca="1" si="224"/>
        <v>0</v>
      </c>
      <c r="EG41" s="4">
        <f t="shared" ca="1" si="141"/>
        <v>0</v>
      </c>
      <c r="EH41" s="4">
        <f t="shared" ca="1" si="225"/>
        <v>0</v>
      </c>
      <c r="EI41" s="4">
        <f t="shared" ca="1" si="226"/>
        <v>0</v>
      </c>
      <c r="EJ41" s="4">
        <f t="shared" ca="1" si="227"/>
        <v>0</v>
      </c>
      <c r="EK41" s="4">
        <f t="shared" si="228"/>
        <v>1</v>
      </c>
      <c r="EL41" s="4">
        <f t="shared" si="229"/>
        <v>0</v>
      </c>
      <c r="EM41" s="4"/>
      <c r="EN41" s="4">
        <f t="shared" ca="1" si="275"/>
        <v>587121.89042883925</v>
      </c>
      <c r="EO41" s="4">
        <f t="shared" ca="1" si="230"/>
        <v>11000</v>
      </c>
      <c r="EP41" s="4">
        <f t="shared" ca="1" si="143"/>
        <v>29356.094521441963</v>
      </c>
      <c r="EQ41" s="4">
        <f t="shared" ca="1" si="231"/>
        <v>0</v>
      </c>
      <c r="ER41" s="4">
        <v>0</v>
      </c>
      <c r="ES41" s="4">
        <f t="shared" ca="1" si="144"/>
        <v>616477.98495028121</v>
      </c>
      <c r="ET41" s="4"/>
      <c r="EU41" s="4">
        <f t="shared" ca="1" si="276"/>
        <v>457540.98432865768</v>
      </c>
      <c r="EV41" s="4">
        <f t="shared" ca="1" si="232"/>
        <v>27614.048372463985</v>
      </c>
      <c r="EW41" s="4">
        <f t="shared" ca="1" si="146"/>
        <v>22877.049216432886</v>
      </c>
      <c r="EX41" s="4">
        <f t="shared" ca="1" si="233"/>
        <v>0</v>
      </c>
      <c r="EY41" s="4">
        <v>0</v>
      </c>
      <c r="EZ41" s="4">
        <f t="shared" ca="1" si="147"/>
        <v>480418.03354509058</v>
      </c>
      <c r="FA41" s="4">
        <f t="shared" ca="1" si="277"/>
        <v>59481.789760109052</v>
      </c>
      <c r="FB41" s="1">
        <f t="shared" ca="1" si="234"/>
        <v>0.13000319489932841</v>
      </c>
      <c r="FC41" s="4">
        <f t="shared" ca="1" si="149"/>
        <v>9150.8196865731552</v>
      </c>
      <c r="FD41" s="4">
        <f t="shared" ca="1" si="150"/>
        <v>11438.524608216443</v>
      </c>
      <c r="FE41" s="4">
        <f t="shared" ca="1" si="235"/>
        <v>3157.0327918677385</v>
      </c>
      <c r="FF41" s="4">
        <f t="shared" ca="1" si="236"/>
        <v>474.18632533853435</v>
      </c>
      <c r="FG41" s="4">
        <f t="shared" ca="1" si="237"/>
        <v>315.7032791867739</v>
      </c>
      <c r="FH41" s="17">
        <f t="shared" ca="1" si="238"/>
        <v>0</v>
      </c>
      <c r="FI41" s="4">
        <f t="shared" ca="1" si="239"/>
        <v>0</v>
      </c>
      <c r="FJ41" s="4"/>
      <c r="FK41" s="4">
        <f t="shared" ca="1" si="240"/>
        <v>1744467.0564477288</v>
      </c>
      <c r="FL41" s="4"/>
      <c r="FM41" s="4">
        <v>0</v>
      </c>
      <c r="FN41" s="4">
        <f t="shared" si="241"/>
        <v>0</v>
      </c>
      <c r="FO41" s="4">
        <f t="shared" si="242"/>
        <v>0</v>
      </c>
      <c r="FP41" s="4">
        <f t="shared" si="243"/>
        <v>0</v>
      </c>
      <c r="FQ41" s="4">
        <f t="shared" si="244"/>
        <v>0</v>
      </c>
      <c r="FR41" s="4">
        <f t="shared" si="245"/>
        <v>0</v>
      </c>
      <c r="FS41" s="4">
        <f t="shared" si="246"/>
        <v>0</v>
      </c>
      <c r="FT41" s="4">
        <f t="shared" ca="1" si="247"/>
        <v>12839.954888879762</v>
      </c>
      <c r="FU41" s="4"/>
      <c r="FV41" s="3">
        <f t="shared" si="248"/>
        <v>0.51002816562648279</v>
      </c>
      <c r="FW41" s="3">
        <f t="shared" si="249"/>
        <v>0.51002816562648279</v>
      </c>
      <c r="FX41" s="4">
        <f t="shared" si="151"/>
        <v>2051</v>
      </c>
      <c r="FY41" s="18">
        <f t="shared" si="250"/>
        <v>111.46789172258951</v>
      </c>
      <c r="FZ41" s="18">
        <f t="shared" si="251"/>
        <v>0</v>
      </c>
      <c r="GA41" s="18">
        <f t="shared" si="252"/>
        <v>0</v>
      </c>
      <c r="GB41" s="18">
        <f t="shared" si="253"/>
        <v>0</v>
      </c>
      <c r="GC41" s="18">
        <f t="shared" ca="1" si="254"/>
        <v>0</v>
      </c>
      <c r="GD41" s="18">
        <f t="shared" ca="1" si="255"/>
        <v>0</v>
      </c>
      <c r="GE41" s="18">
        <f t="shared" ca="1" si="256"/>
        <v>0</v>
      </c>
      <c r="GF41" s="18">
        <f t="shared" ca="1" si="257"/>
        <v>0</v>
      </c>
      <c r="GG41" s="18" t="e">
        <f t="shared" ca="1" si="258"/>
        <v>#NAME?</v>
      </c>
      <c r="GH41" s="18" t="e">
        <f t="shared" ca="1" si="259"/>
        <v>#NAME?</v>
      </c>
      <c r="GI41" s="4"/>
      <c r="GJ41" s="4">
        <f t="shared" si="260"/>
        <v>2051</v>
      </c>
      <c r="GK41" s="4">
        <f t="shared" ca="1" si="261"/>
        <v>314.55187485683626</v>
      </c>
      <c r="GL41" s="4">
        <f t="shared" ca="1" si="262"/>
        <v>0</v>
      </c>
      <c r="GM41" s="4">
        <f t="shared" ca="1" si="263"/>
        <v>299.44870077457369</v>
      </c>
      <c r="GN41" s="4">
        <f t="shared" ca="1" si="264"/>
        <v>233.35878893608057</v>
      </c>
      <c r="GO41" s="4"/>
      <c r="GP41" s="3">
        <f t="shared" ca="1" si="152"/>
        <v>0.37121425455348561</v>
      </c>
      <c r="GQ41" s="3">
        <f t="shared" ca="1" si="265"/>
        <v>0</v>
      </c>
      <c r="GR41" s="3">
        <f t="shared" ca="1" si="266"/>
        <v>0.27539530297772974</v>
      </c>
      <c r="GS41" s="3">
        <f t="shared" ca="1" si="267"/>
        <v>0.35339044246878465</v>
      </c>
      <c r="GT41" s="3">
        <f t="array" aca="1" ref="GT41" ca="1">SUM(GP41:GS41*$GU$6:$GX$6)</f>
        <v>1</v>
      </c>
      <c r="GU41" s="3">
        <f t="shared" ca="1" si="155"/>
        <v>0.37121425455348561</v>
      </c>
      <c r="GV41" s="3">
        <f t="shared" ca="1" si="156"/>
        <v>0</v>
      </c>
      <c r="GW41" s="3">
        <f t="shared" ca="1" si="157"/>
        <v>0.27539530297772974</v>
      </c>
      <c r="GX41" s="3">
        <f t="shared" ca="1" si="158"/>
        <v>0.35339044246878465</v>
      </c>
      <c r="GY41" s="11"/>
      <c r="GZ41" s="27">
        <v>83</v>
      </c>
      <c r="HA41" s="30">
        <v>7.7100000000000002E-2</v>
      </c>
      <c r="HB41" s="29">
        <f t="shared" ca="1" si="153"/>
        <v>0.19189999999999999</v>
      </c>
      <c r="HC41" s="29">
        <v>0.19189999999999999</v>
      </c>
      <c r="HD41" s="29">
        <v>0.14799999999999999</v>
      </c>
      <c r="HE41" s="29">
        <v>0.1757</v>
      </c>
      <c r="HG41" s="27">
        <v>81</v>
      </c>
      <c r="HH41" s="30">
        <v>7.0800000000000002E-2</v>
      </c>
      <c r="HJ41">
        <f t="shared" si="159"/>
        <v>2044</v>
      </c>
      <c r="HK41" s="28">
        <f t="shared" si="164"/>
        <v>38870</v>
      </c>
      <c r="HL41" s="27">
        <f t="shared" si="162"/>
        <v>9500</v>
      </c>
      <c r="HM41" s="28">
        <f t="shared" si="163"/>
        <v>9575.6331339566041</v>
      </c>
      <c r="HQ41" s="27">
        <v>0.28999999999999998</v>
      </c>
      <c r="HR41" s="27">
        <v>0.17299999999999999</v>
      </c>
      <c r="HS41" s="27">
        <v>0.1837</v>
      </c>
      <c r="HT41" s="27">
        <v>0.17499999999999999</v>
      </c>
      <c r="HU41" s="27">
        <v>0.1784</v>
      </c>
      <c r="HV41" s="27">
        <v>0.25750000000000001</v>
      </c>
      <c r="HW41" s="27">
        <f>0.1216*1.56</f>
        <v>0.189696</v>
      </c>
      <c r="HX41" s="27">
        <f t="shared" ref="HX41:HZ43" si="278">HX40</f>
        <v>0.17399999999999999</v>
      </c>
      <c r="HY41" s="27">
        <f t="shared" si="278"/>
        <v>0.15</v>
      </c>
      <c r="HZ41" s="27">
        <v>0.14000000000000001</v>
      </c>
      <c r="IA41" s="27">
        <v>0.1229</v>
      </c>
      <c r="IB41" s="27">
        <v>0.128</v>
      </c>
      <c r="IC41" s="27">
        <v>0.14050000000000001</v>
      </c>
      <c r="ID41" s="27">
        <v>0.115</v>
      </c>
      <c r="IE41" s="27">
        <f t="shared" si="268"/>
        <v>0.1</v>
      </c>
      <c r="IF41" s="27">
        <f t="shared" si="268"/>
        <v>0.1</v>
      </c>
      <c r="IG41" s="27">
        <f t="shared" si="268"/>
        <v>0.1</v>
      </c>
    </row>
    <row r="42" spans="1:241" x14ac:dyDescent="0.25">
      <c r="A42" t="s">
        <v>65</v>
      </c>
      <c r="B42" s="62">
        <f>Inputs_Summary!AJ39</f>
        <v>65</v>
      </c>
      <c r="D42">
        <f t="shared" si="107"/>
        <v>2052</v>
      </c>
      <c r="E42">
        <f t="shared" si="108"/>
        <v>57</v>
      </c>
      <c r="F42" s="8"/>
      <c r="G42" s="8"/>
      <c r="H42" s="9"/>
      <c r="I42" s="8"/>
      <c r="J42" s="92"/>
      <c r="K42" s="91"/>
      <c r="L42" s="91"/>
      <c r="N42" s="93">
        <f t="shared" si="109"/>
        <v>0.05</v>
      </c>
      <c r="O42" s="23">
        <f t="shared" si="110"/>
        <v>0.4</v>
      </c>
      <c r="P42" s="23">
        <f t="shared" si="111"/>
        <v>0.1</v>
      </c>
      <c r="Q42" s="4">
        <f t="shared" si="169"/>
        <v>0</v>
      </c>
      <c r="R42" s="4">
        <f t="shared" si="269"/>
        <v>0</v>
      </c>
      <c r="S42" s="4">
        <f t="shared" si="113"/>
        <v>0</v>
      </c>
      <c r="T42" s="4">
        <f t="shared" ca="1" si="114"/>
        <v>0</v>
      </c>
      <c r="V42" s="18" t="e">
        <f t="shared" ca="1" si="170"/>
        <v>#NAME?</v>
      </c>
      <c r="W42" s="18" t="e">
        <f t="shared" ca="1" si="171"/>
        <v>#NAME?</v>
      </c>
      <c r="X42" s="18">
        <f t="shared" si="172"/>
        <v>0</v>
      </c>
      <c r="Y42" s="18">
        <f t="shared" ca="1" si="173"/>
        <v>13.225883917378823</v>
      </c>
      <c r="Z42" s="18">
        <f t="shared" ca="1" si="174"/>
        <v>0</v>
      </c>
      <c r="AA42" s="18">
        <f t="shared" ca="1" si="175"/>
        <v>5.500303746952266</v>
      </c>
      <c r="AB42" s="18">
        <f t="shared" ca="1" si="176"/>
        <v>14.609472141735282</v>
      </c>
      <c r="AC42" s="18">
        <f t="shared" ca="1" si="177"/>
        <v>330.22373258664732</v>
      </c>
      <c r="AD42" s="18">
        <f t="shared" ca="1" si="178"/>
        <v>0</v>
      </c>
      <c r="AE42" s="18">
        <f t="shared" ca="1" si="179"/>
        <v>313.7563192501899</v>
      </c>
      <c r="AF42" s="18">
        <f t="shared" ca="1" si="180"/>
        <v>254.03006943118962</v>
      </c>
      <c r="AG42" s="18">
        <f t="shared" ca="1" si="181"/>
        <v>898.01012126802686</v>
      </c>
      <c r="AI42">
        <f>Person2!E42</f>
        <v>57</v>
      </c>
      <c r="AJ42">
        <f>Person2!AZ42</f>
        <v>1</v>
      </c>
      <c r="AK42">
        <f>IF($AZ42&lt;&gt;3,Person2!FM42,0)</f>
        <v>0</v>
      </c>
      <c r="AL42" s="4">
        <f ca="1">IF($AZ42&lt;&gt;3,Person2!FN42+Person2!FT42,0)</f>
        <v>0</v>
      </c>
      <c r="AM42">
        <f>IF($AZ42&lt;&gt;3,Person2!FO42,0)</f>
        <v>0</v>
      </c>
      <c r="AN42">
        <f>IF($AZ42&lt;&gt;3,Person2!FP42,0)</f>
        <v>0</v>
      </c>
      <c r="AO42">
        <f>IF($AZ42&lt;&gt;3,Person2!FQ42,0)</f>
        <v>0</v>
      </c>
      <c r="AP42">
        <f>IF($AZ42&lt;&gt;3,Person2!FR42,0)</f>
        <v>0</v>
      </c>
      <c r="AQ42">
        <v>0</v>
      </c>
      <c r="AR42" s="4">
        <f>Person2!FS42</f>
        <v>0</v>
      </c>
      <c r="AS42" s="4">
        <v>0</v>
      </c>
      <c r="AT42" s="4">
        <v>0</v>
      </c>
      <c r="AV42">
        <f t="shared" si="270"/>
        <v>2052</v>
      </c>
      <c r="AW42">
        <f t="shared" si="271"/>
        <v>57</v>
      </c>
      <c r="AX42">
        <f t="shared" si="272"/>
        <v>1.9998895526624565</v>
      </c>
      <c r="AY42">
        <f t="shared" si="118"/>
        <v>0.50002761335929691</v>
      </c>
      <c r="AZ42">
        <f t="shared" si="119"/>
        <v>1</v>
      </c>
      <c r="BB42" s="4">
        <f t="shared" si="182"/>
        <v>225108.9963497218</v>
      </c>
      <c r="BC42">
        <f t="shared" si="183"/>
        <v>0</v>
      </c>
      <c r="BD42" s="4">
        <f t="shared" si="184"/>
        <v>0</v>
      </c>
      <c r="BE42" s="4">
        <f t="shared" si="120"/>
        <v>0</v>
      </c>
      <c r="BF42" s="4">
        <f t="shared" si="121"/>
        <v>0</v>
      </c>
      <c r="BG42" s="4">
        <f t="shared" si="122"/>
        <v>0</v>
      </c>
      <c r="BH42" s="4">
        <f t="shared" si="185"/>
        <v>0</v>
      </c>
      <c r="BI42" s="4">
        <f t="shared" si="123"/>
        <v>225108.9963497218</v>
      </c>
      <c r="BJ42" s="4"/>
      <c r="BK42" s="4">
        <f t="shared" si="186"/>
        <v>99994.47763312282</v>
      </c>
      <c r="BL42" s="4">
        <f t="shared" si="124"/>
        <v>0</v>
      </c>
      <c r="BM42" s="4">
        <f t="shared" si="125"/>
        <v>99994.47763312282</v>
      </c>
      <c r="BN42" s="4">
        <v>58446.880939337061</v>
      </c>
      <c r="BO42" s="4">
        <f t="shared" si="126"/>
        <v>158441.3585724599</v>
      </c>
      <c r="BP42" s="4">
        <f t="shared" si="127"/>
        <v>66667.637777261902</v>
      </c>
      <c r="BQ42" s="4"/>
      <c r="BR42" s="4">
        <v>0</v>
      </c>
      <c r="BS42" s="4">
        <f t="shared" ca="1" si="187"/>
        <v>26450.307071092313</v>
      </c>
      <c r="BT42" s="4">
        <f t="shared" ca="1" si="188"/>
        <v>11000</v>
      </c>
      <c r="BU42" s="4">
        <f t="shared" si="189"/>
        <v>0</v>
      </c>
      <c r="BV42" s="4">
        <f t="shared" si="190"/>
        <v>1</v>
      </c>
      <c r="BW42" s="4">
        <f t="shared" ca="1" si="191"/>
        <v>0</v>
      </c>
      <c r="BX42" s="4">
        <f t="shared" ca="1" si="192"/>
        <v>0</v>
      </c>
      <c r="BY42" s="4">
        <f t="shared" ca="1" si="193"/>
        <v>0</v>
      </c>
      <c r="BZ42" s="4">
        <f t="shared" ca="1" si="194"/>
        <v>0</v>
      </c>
      <c r="CA42" s="4">
        <f t="shared" ca="1" si="26"/>
        <v>0</v>
      </c>
      <c r="CB42" s="4">
        <f t="shared" ca="1" si="160"/>
        <v>0</v>
      </c>
      <c r="CC42" s="4"/>
      <c r="CD42" s="4">
        <f t="shared" ca="1" si="195"/>
        <v>225108.9963497218</v>
      </c>
      <c r="CE42" s="4">
        <f t="shared" ca="1" si="128"/>
        <v>208064.90823373213</v>
      </c>
      <c r="CF42" s="16">
        <f t="shared" si="196"/>
        <v>0</v>
      </c>
      <c r="CG42" s="4">
        <f t="shared" si="129"/>
        <v>6800.0044580673575</v>
      </c>
      <c r="CH42" s="4" t="e">
        <f t="shared" ca="1" si="197"/>
        <v>#NAME?</v>
      </c>
      <c r="CI42" s="4" t="e">
        <f t="shared" ca="1" si="198"/>
        <v>#NAME?</v>
      </c>
      <c r="CJ42" s="4" t="e">
        <f t="shared" ca="1" si="130"/>
        <v>#NAME?</v>
      </c>
      <c r="CK42" s="4" t="e">
        <f t="shared" ca="1" si="31"/>
        <v>#NAME?</v>
      </c>
      <c r="CL42" s="4" t="e">
        <f t="shared" ca="1" si="199"/>
        <v>#NAME?</v>
      </c>
      <c r="CM42" s="16"/>
      <c r="CN42" s="4">
        <f t="shared" si="200"/>
        <v>0</v>
      </c>
      <c r="CO42" s="4">
        <f t="shared" si="201"/>
        <v>0</v>
      </c>
      <c r="CP42" s="4">
        <f t="shared" ref="CP42:CP72" ca="1" si="279">DW42+EE42+EN42+EU42</f>
        <v>1795921.0597090726</v>
      </c>
      <c r="CQ42" s="4"/>
      <c r="CR42" s="4">
        <f t="shared" ca="1" si="202"/>
        <v>66667.637777261902</v>
      </c>
      <c r="CS42" s="4">
        <f t="shared" ca="1" si="203"/>
        <v>45550</v>
      </c>
      <c r="CT42" s="4">
        <f t="shared" ca="1" si="204"/>
        <v>40519.619342949925</v>
      </c>
      <c r="CU42" s="4"/>
      <c r="CV42" s="4">
        <f t="shared" ca="1" si="132"/>
        <v>66667.637777261902</v>
      </c>
      <c r="CW42" s="4">
        <f t="shared" ca="1" si="205"/>
        <v>0</v>
      </c>
      <c r="CX42" s="4">
        <f t="shared" ca="1" si="206"/>
        <v>0</v>
      </c>
      <c r="CY42" s="4">
        <f t="shared" ca="1" si="133"/>
        <v>66667.637777261902</v>
      </c>
      <c r="CZ42" s="4"/>
      <c r="DA42" s="4">
        <f t="shared" ca="1" si="207"/>
        <v>66667.637777261902</v>
      </c>
      <c r="DB42" s="4">
        <f t="shared" si="208"/>
        <v>14069.312271857612</v>
      </c>
      <c r="DC42" s="4">
        <f t="shared" ca="1" si="134"/>
        <v>0</v>
      </c>
      <c r="DD42" s="4">
        <f t="shared" ca="1" si="209"/>
        <v>26450.307071092313</v>
      </c>
      <c r="DE42" s="4">
        <f t="shared" ca="1" si="210"/>
        <v>26450.307071092313</v>
      </c>
      <c r="DF42" s="4">
        <f t="shared" ca="1" si="135"/>
        <v>0</v>
      </c>
      <c r="DG42" s="4">
        <f t="shared" ca="1" si="136"/>
        <v>13225.153535546156</v>
      </c>
      <c r="DH42" s="4">
        <f t="shared" ca="1" si="211"/>
        <v>13225.153535546156</v>
      </c>
      <c r="DI42" s="4"/>
      <c r="DJ42" s="4">
        <f t="shared" ca="1" si="212"/>
        <v>40217.330706169589</v>
      </c>
      <c r="DK42" s="4">
        <f t="shared" ca="1" si="213"/>
        <v>11000</v>
      </c>
      <c r="DL42" s="4">
        <f t="shared" ca="1" si="214"/>
        <v>11000</v>
      </c>
      <c r="DM42" s="4">
        <f t="shared" ca="1" si="215"/>
        <v>11000</v>
      </c>
      <c r="DN42" s="4">
        <f t="shared" ca="1" si="216"/>
        <v>11000</v>
      </c>
      <c r="DO42" s="4">
        <f t="shared" ca="1" si="50"/>
        <v>0</v>
      </c>
      <c r="DP42" s="4"/>
      <c r="DQ42" s="4">
        <f t="shared" ca="1" si="217"/>
        <v>29217.330706169589</v>
      </c>
      <c r="DR42" s="4"/>
      <c r="DS42" s="4">
        <f t="shared" si="137"/>
        <v>0</v>
      </c>
      <c r="DT42" s="4">
        <f t="shared" si="52"/>
        <v>0</v>
      </c>
      <c r="DU42" s="4">
        <f t="shared" si="218"/>
        <v>0</v>
      </c>
      <c r="DV42" s="4"/>
      <c r="DW42" s="4">
        <f t="shared" ca="1" si="273"/>
        <v>660410.99284123676</v>
      </c>
      <c r="DX42" s="4">
        <f t="shared" ca="1" si="219"/>
        <v>13225.153535546156</v>
      </c>
      <c r="DY42" s="4">
        <f t="shared" ca="1" si="139"/>
        <v>33020.549642061836</v>
      </c>
      <c r="DZ42" s="4">
        <f t="shared" ca="1" si="220"/>
        <v>0</v>
      </c>
      <c r="EA42" s="4">
        <f t="shared" ca="1" si="221"/>
        <v>0</v>
      </c>
      <c r="EB42" s="4">
        <f t="shared" ca="1" si="222"/>
        <v>693431.54248329857</v>
      </c>
      <c r="EC42" s="4">
        <f t="shared" si="223"/>
        <v>1</v>
      </c>
      <c r="ED42" s="4"/>
      <c r="EE42" s="4">
        <f t="shared" ca="1" si="274"/>
        <v>0</v>
      </c>
      <c r="EF42" s="4">
        <f t="shared" ca="1" si="224"/>
        <v>0</v>
      </c>
      <c r="EG42" s="4">
        <f t="shared" ca="1" si="141"/>
        <v>0</v>
      </c>
      <c r="EH42" s="4">
        <f t="shared" ca="1" si="225"/>
        <v>0</v>
      </c>
      <c r="EI42" s="4">
        <f t="shared" ca="1" si="226"/>
        <v>0</v>
      </c>
      <c r="EJ42" s="4">
        <f t="shared" ca="1" si="227"/>
        <v>0</v>
      </c>
      <c r="EK42" s="4">
        <f t="shared" si="228"/>
        <v>1</v>
      </c>
      <c r="EL42" s="4">
        <f t="shared" si="229"/>
        <v>0</v>
      </c>
      <c r="EM42" s="4"/>
      <c r="EN42" s="4">
        <f t="shared" ca="1" si="275"/>
        <v>627477.98495028121</v>
      </c>
      <c r="EO42" s="4">
        <f t="shared" ca="1" si="230"/>
        <v>11000</v>
      </c>
      <c r="EP42" s="4">
        <f t="shared" ca="1" si="143"/>
        <v>31373.899247514062</v>
      </c>
      <c r="EQ42" s="4">
        <f t="shared" ca="1" si="231"/>
        <v>0</v>
      </c>
      <c r="ER42" s="4">
        <v>0</v>
      </c>
      <c r="ES42" s="4">
        <f t="shared" ca="1" si="144"/>
        <v>658851.8841977953</v>
      </c>
      <c r="ET42" s="4"/>
      <c r="EU42" s="4">
        <f t="shared" ca="1" si="276"/>
        <v>508032.08191755455</v>
      </c>
      <c r="EV42" s="4">
        <f t="shared" ca="1" si="232"/>
        <v>29217.330706169589</v>
      </c>
      <c r="EW42" s="4">
        <f t="shared" ca="1" si="146"/>
        <v>25401.60409587773</v>
      </c>
      <c r="EX42" s="4">
        <f t="shared" ca="1" si="233"/>
        <v>0</v>
      </c>
      <c r="EY42" s="4">
        <v>0</v>
      </c>
      <c r="EZ42" s="4">
        <f t="shared" ca="1" si="147"/>
        <v>533433.68601343222</v>
      </c>
      <c r="FA42" s="4">
        <f t="shared" ca="1" si="277"/>
        <v>68632.609446682211</v>
      </c>
      <c r="FB42" s="1">
        <f t="shared" ca="1" si="234"/>
        <v>0.13509503019500288</v>
      </c>
      <c r="FC42" s="4">
        <f t="shared" ca="1" si="149"/>
        <v>10160.641638351093</v>
      </c>
      <c r="FD42" s="4">
        <f t="shared" ca="1" si="150"/>
        <v>12700.802047938865</v>
      </c>
      <c r="FE42" s="4">
        <f t="shared" ca="1" si="235"/>
        <v>3505.4213652311269</v>
      </c>
      <c r="FF42" s="4">
        <f t="shared" ca="1" si="236"/>
        <v>526.51428905771525</v>
      </c>
      <c r="FG42" s="4">
        <f t="shared" ca="1" si="237"/>
        <v>350.54213652311273</v>
      </c>
      <c r="FH42" s="17">
        <f t="shared" ca="1" si="238"/>
        <v>0</v>
      </c>
      <c r="FI42" s="4">
        <f t="shared" ca="1" si="239"/>
        <v>0</v>
      </c>
      <c r="FJ42" s="4"/>
      <c r="FK42" s="4">
        <f t="shared" ca="1" si="240"/>
        <v>1885717.1126945261</v>
      </c>
      <c r="FL42" s="4"/>
      <c r="FM42" s="4">
        <v>0</v>
      </c>
      <c r="FN42" s="4">
        <f t="shared" si="241"/>
        <v>0</v>
      </c>
      <c r="FO42" s="4">
        <f t="shared" si="242"/>
        <v>0</v>
      </c>
      <c r="FP42" s="4">
        <f t="shared" si="243"/>
        <v>0</v>
      </c>
      <c r="FQ42" s="4">
        <f t="shared" si="244"/>
        <v>0</v>
      </c>
      <c r="FR42" s="4">
        <f t="shared" si="245"/>
        <v>0</v>
      </c>
      <c r="FS42" s="4">
        <f t="shared" si="246"/>
        <v>0</v>
      </c>
      <c r="FT42" s="4">
        <f t="shared" ca="1" si="247"/>
        <v>13225.153535546156</v>
      </c>
      <c r="FU42" s="4"/>
      <c r="FV42" s="3">
        <f t="shared" si="248"/>
        <v>0.50002761335929691</v>
      </c>
      <c r="FW42" s="3">
        <f t="shared" si="249"/>
        <v>0.50002761335929691</v>
      </c>
      <c r="FX42" s="4">
        <f t="shared" si="151"/>
        <v>2052</v>
      </c>
      <c r="FY42" s="18">
        <f t="shared" si="250"/>
        <v>112.56071419045806</v>
      </c>
      <c r="FZ42" s="18">
        <f t="shared" si="251"/>
        <v>0</v>
      </c>
      <c r="GA42" s="18">
        <f t="shared" si="252"/>
        <v>0</v>
      </c>
      <c r="GB42" s="18">
        <f t="shared" si="253"/>
        <v>0</v>
      </c>
      <c r="GC42" s="18">
        <f t="shared" ca="1" si="254"/>
        <v>0</v>
      </c>
      <c r="GD42" s="18">
        <f t="shared" ca="1" si="255"/>
        <v>0</v>
      </c>
      <c r="GE42" s="18">
        <f t="shared" ca="1" si="256"/>
        <v>0</v>
      </c>
      <c r="GF42" s="18">
        <f t="shared" ca="1" si="257"/>
        <v>0</v>
      </c>
      <c r="GG42" s="18" t="e">
        <f t="shared" ca="1" si="258"/>
        <v>#NAME?</v>
      </c>
      <c r="GH42" s="18" t="e">
        <f t="shared" ca="1" si="259"/>
        <v>#NAME?</v>
      </c>
      <c r="GI42" s="4"/>
      <c r="GJ42" s="4">
        <f t="shared" si="260"/>
        <v>2052</v>
      </c>
      <c r="GK42" s="4">
        <f t="shared" ca="1" si="261"/>
        <v>330.22373258664732</v>
      </c>
      <c r="GL42" s="4">
        <f t="shared" ca="1" si="262"/>
        <v>0</v>
      </c>
      <c r="GM42" s="4">
        <f t="shared" ca="1" si="263"/>
        <v>313.7563192501899</v>
      </c>
      <c r="GN42" s="4">
        <f t="shared" ca="1" si="264"/>
        <v>254.03006943118962</v>
      </c>
      <c r="GO42" s="4"/>
      <c r="GP42" s="3">
        <f t="shared" ca="1" si="152"/>
        <v>0.36772829700444576</v>
      </c>
      <c r="GQ42" s="3">
        <f t="shared" ca="1" si="265"/>
        <v>0</v>
      </c>
      <c r="GR42" s="3">
        <f t="shared" ca="1" si="266"/>
        <v>0.2828810760757226</v>
      </c>
      <c r="GS42" s="3">
        <f t="shared" ca="1" si="267"/>
        <v>0.34939062691983164</v>
      </c>
      <c r="GT42" s="3">
        <f t="array" aca="1" ref="GT42" ca="1">SUM(GP42:GS42*$GU$6:$GX$6)</f>
        <v>1</v>
      </c>
      <c r="GU42" s="3">
        <f t="shared" ca="1" si="155"/>
        <v>0.36772829700444576</v>
      </c>
      <c r="GV42" s="3">
        <f t="shared" ca="1" si="156"/>
        <v>0</v>
      </c>
      <c r="GW42" s="3">
        <f t="shared" ca="1" si="157"/>
        <v>0.2828810760757226</v>
      </c>
      <c r="GX42" s="3">
        <f t="shared" ca="1" si="158"/>
        <v>0.34939062691983164</v>
      </c>
      <c r="GY42" s="11"/>
      <c r="GZ42" s="27">
        <v>84</v>
      </c>
      <c r="HA42" s="30">
        <v>8.0799999999999997E-2</v>
      </c>
      <c r="HB42" s="29">
        <f t="shared" ca="1" si="153"/>
        <v>0.224</v>
      </c>
      <c r="HC42" s="29">
        <v>0.224</v>
      </c>
      <c r="HD42" s="29">
        <v>0.16</v>
      </c>
      <c r="HE42" s="29">
        <v>0.2087</v>
      </c>
      <c r="HG42" s="27">
        <v>82</v>
      </c>
      <c r="HH42" s="30">
        <v>7.3800000000000004E-2</v>
      </c>
      <c r="HJ42">
        <f t="shared" si="159"/>
        <v>2045</v>
      </c>
      <c r="HK42" s="28">
        <f t="shared" si="164"/>
        <v>39650</v>
      </c>
      <c r="HL42" s="27">
        <f t="shared" si="162"/>
        <v>10000</v>
      </c>
      <c r="HM42" s="28">
        <f t="shared" si="163"/>
        <v>9767.1457966357357</v>
      </c>
      <c r="HQ42" s="27">
        <v>0.33</v>
      </c>
      <c r="HR42" s="27">
        <v>0.183</v>
      </c>
      <c r="HS42" s="27">
        <f>HS41</f>
        <v>0.1837</v>
      </c>
      <c r="HT42" s="27">
        <v>0.21</v>
      </c>
      <c r="HU42" s="27">
        <v>0.20300000000000001</v>
      </c>
      <c r="HV42" s="27">
        <f t="shared" ref="HU42:HW43" si="280">HV41</f>
        <v>0.25750000000000001</v>
      </c>
      <c r="HW42" s="27">
        <f>0.1316*1.56</f>
        <v>0.20529600000000001</v>
      </c>
      <c r="HX42" s="27">
        <f t="shared" si="278"/>
        <v>0.17399999999999999</v>
      </c>
      <c r="HY42" s="27">
        <f t="shared" si="278"/>
        <v>0.15</v>
      </c>
      <c r="HZ42" s="27">
        <v>0.15</v>
      </c>
      <c r="IA42" s="27">
        <v>0.14699999999999999</v>
      </c>
      <c r="IB42" s="27">
        <v>0.15</v>
      </c>
      <c r="IC42" s="27">
        <f t="shared" ref="IB42:ID43" si="281">IC41</f>
        <v>0.14050000000000001</v>
      </c>
      <c r="ID42" s="27">
        <f t="shared" si="281"/>
        <v>0.115</v>
      </c>
      <c r="IE42" s="27">
        <f t="shared" si="268"/>
        <v>0.1</v>
      </c>
      <c r="IF42" s="27">
        <f t="shared" si="268"/>
        <v>0.1</v>
      </c>
      <c r="IG42" s="27">
        <f t="shared" si="268"/>
        <v>0.1</v>
      </c>
    </row>
    <row r="43" spans="1:241" x14ac:dyDescent="0.25">
      <c r="A43" t="s">
        <v>267</v>
      </c>
      <c r="B43" s="62">
        <f>Inputs_Summary!AJ40</f>
        <v>12000</v>
      </c>
      <c r="D43">
        <f t="shared" si="107"/>
        <v>2053</v>
      </c>
      <c r="E43">
        <f t="shared" si="108"/>
        <v>58</v>
      </c>
      <c r="F43" s="8"/>
      <c r="G43" s="8"/>
      <c r="H43" s="9"/>
      <c r="I43" s="8"/>
      <c r="J43" s="92"/>
      <c r="K43" s="91"/>
      <c r="L43" s="91"/>
      <c r="N43" s="93">
        <f t="shared" si="109"/>
        <v>0.05</v>
      </c>
      <c r="O43" s="23">
        <f t="shared" si="110"/>
        <v>0.4</v>
      </c>
      <c r="P43" s="23">
        <f t="shared" si="111"/>
        <v>0.1</v>
      </c>
      <c r="Q43" s="4">
        <f t="shared" si="169"/>
        <v>0</v>
      </c>
      <c r="R43" s="4">
        <f t="shared" si="269"/>
        <v>0</v>
      </c>
      <c r="S43" s="4">
        <f t="shared" si="113"/>
        <v>0</v>
      </c>
      <c r="T43" s="4">
        <f t="shared" ca="1" si="114"/>
        <v>0</v>
      </c>
      <c r="V43" s="18" t="e">
        <f t="shared" ca="1" si="170"/>
        <v>#NAME?</v>
      </c>
      <c r="W43" s="18" t="e">
        <f t="shared" ca="1" si="171"/>
        <v>#NAME?</v>
      </c>
      <c r="X43" s="18">
        <f t="shared" si="172"/>
        <v>0</v>
      </c>
      <c r="Y43" s="18">
        <f t="shared" ca="1" si="173"/>
        <v>13.355549445980579</v>
      </c>
      <c r="Z43" s="18">
        <f t="shared" ca="1" si="174"/>
        <v>0</v>
      </c>
      <c r="AA43" s="18">
        <f t="shared" ca="1" si="175"/>
        <v>5.637566229050897</v>
      </c>
      <c r="AB43" s="18">
        <f t="shared" ca="1" si="176"/>
        <v>14.882824727877418</v>
      </c>
      <c r="AC43" s="18">
        <f t="shared" ca="1" si="177"/>
        <v>346.41947173987165</v>
      </c>
      <c r="AD43" s="18">
        <f t="shared" ca="1" si="178"/>
        <v>0</v>
      </c>
      <c r="AE43" s="18">
        <f t="shared" ca="1" si="179"/>
        <v>328.37690094083501</v>
      </c>
      <c r="AF43" s="18">
        <f t="shared" ca="1" si="180"/>
        <v>275.82455396518077</v>
      </c>
      <c r="AG43" s="18">
        <f t="shared" ca="1" si="181"/>
        <v>950.62092664588749</v>
      </c>
      <c r="AI43">
        <f>Person2!E43</f>
        <v>58</v>
      </c>
      <c r="AJ43">
        <f>Person2!AZ43</f>
        <v>1</v>
      </c>
      <c r="AK43">
        <f>IF($AZ43&lt;&gt;3,Person2!FM43,0)</f>
        <v>0</v>
      </c>
      <c r="AL43" s="4">
        <f ca="1">IF($AZ43&lt;&gt;3,Person2!FN43+Person2!FT43,0)</f>
        <v>0</v>
      </c>
      <c r="AM43">
        <f>IF($AZ43&lt;&gt;3,Person2!FO43,0)</f>
        <v>0</v>
      </c>
      <c r="AN43">
        <f>IF($AZ43&lt;&gt;3,Person2!FP43,0)</f>
        <v>0</v>
      </c>
      <c r="AO43">
        <f>IF($AZ43&lt;&gt;3,Person2!FQ43,0)</f>
        <v>0</v>
      </c>
      <c r="AP43">
        <f>IF($AZ43&lt;&gt;3,Person2!FR43,0)</f>
        <v>0</v>
      </c>
      <c r="AQ43">
        <v>0</v>
      </c>
      <c r="AR43" s="4">
        <f>Person2!FS43</f>
        <v>0</v>
      </c>
      <c r="AS43" s="4">
        <v>0</v>
      </c>
      <c r="AT43" s="4">
        <v>0</v>
      </c>
      <c r="AV43">
        <f t="shared" si="270"/>
        <v>2053</v>
      </c>
      <c r="AW43">
        <f t="shared" si="271"/>
        <v>58</v>
      </c>
      <c r="AX43">
        <f t="shared" si="272"/>
        <v>2.0398873437157055</v>
      </c>
      <c r="AY43">
        <f t="shared" si="118"/>
        <v>0.49022315035225189</v>
      </c>
      <c r="AZ43">
        <f t="shared" si="119"/>
        <v>1</v>
      </c>
      <c r="BB43" s="4">
        <f t="shared" si="182"/>
        <v>231862.26624021344</v>
      </c>
      <c r="BC43">
        <f t="shared" si="183"/>
        <v>0</v>
      </c>
      <c r="BD43" s="4">
        <f t="shared" si="184"/>
        <v>0</v>
      </c>
      <c r="BE43" s="4">
        <f t="shared" si="120"/>
        <v>0</v>
      </c>
      <c r="BF43" s="4">
        <f t="shared" si="121"/>
        <v>0</v>
      </c>
      <c r="BG43" s="4">
        <f t="shared" si="122"/>
        <v>0</v>
      </c>
      <c r="BH43" s="4">
        <f t="shared" si="185"/>
        <v>0</v>
      </c>
      <c r="BI43" s="4">
        <f t="shared" si="123"/>
        <v>231862.26624021344</v>
      </c>
      <c r="BJ43" s="4"/>
      <c r="BK43" s="4">
        <f t="shared" si="186"/>
        <v>101994.36718578528</v>
      </c>
      <c r="BL43" s="4">
        <f t="shared" si="124"/>
        <v>0</v>
      </c>
      <c r="BM43" s="4">
        <f t="shared" si="125"/>
        <v>101994.36718578528</v>
      </c>
      <c r="BN43" s="4">
        <v>60764.796970066804</v>
      </c>
      <c r="BO43" s="4">
        <f t="shared" si="126"/>
        <v>162759.16415585208</v>
      </c>
      <c r="BP43" s="4">
        <f t="shared" si="127"/>
        <v>69103.102084361366</v>
      </c>
      <c r="BQ43" s="4"/>
      <c r="BR43" s="4">
        <v>0</v>
      </c>
      <c r="BS43" s="4">
        <f t="shared" ca="1" si="187"/>
        <v>27243.816283225082</v>
      </c>
      <c r="BT43" s="4">
        <f t="shared" ca="1" si="188"/>
        <v>11500</v>
      </c>
      <c r="BU43" s="4">
        <f t="shared" si="189"/>
        <v>0</v>
      </c>
      <c r="BV43" s="4">
        <f t="shared" si="190"/>
        <v>1</v>
      </c>
      <c r="BW43" s="4">
        <f t="shared" ca="1" si="191"/>
        <v>0</v>
      </c>
      <c r="BX43" s="4">
        <f t="shared" ca="1" si="192"/>
        <v>0</v>
      </c>
      <c r="BY43" s="4">
        <f t="shared" ca="1" si="193"/>
        <v>0</v>
      </c>
      <c r="BZ43" s="4">
        <f t="shared" ca="1" si="194"/>
        <v>0</v>
      </c>
      <c r="CA43" s="4">
        <f t="shared" ca="1" si="26"/>
        <v>0</v>
      </c>
      <c r="CB43" s="4">
        <f t="shared" ca="1" si="160"/>
        <v>0</v>
      </c>
      <c r="CC43" s="4"/>
      <c r="CD43" s="4">
        <f t="shared" ca="1" si="195"/>
        <v>231862.26624021344</v>
      </c>
      <c r="CE43" s="4">
        <f t="shared" ca="1" si="128"/>
        <v>215631.01284311494</v>
      </c>
      <c r="CF43" s="16">
        <f t="shared" si="196"/>
        <v>0</v>
      </c>
      <c r="CG43" s="4">
        <f t="shared" si="129"/>
        <v>6936.0045472287038</v>
      </c>
      <c r="CH43" s="4" t="e">
        <f t="shared" ca="1" si="197"/>
        <v>#NAME?</v>
      </c>
      <c r="CI43" s="4" t="e">
        <f t="shared" ca="1" si="198"/>
        <v>#NAME?</v>
      </c>
      <c r="CJ43" s="4" t="e">
        <f t="shared" ca="1" si="130"/>
        <v>#NAME?</v>
      </c>
      <c r="CK43" s="4" t="e">
        <f t="shared" ca="1" si="31"/>
        <v>#NAME?</v>
      </c>
      <c r="CL43" s="4" t="e">
        <f t="shared" ca="1" si="199"/>
        <v>#NAME?</v>
      </c>
      <c r="CM43" s="16"/>
      <c r="CN43" s="4">
        <f t="shared" si="200"/>
        <v>0</v>
      </c>
      <c r="CO43" s="4">
        <f t="shared" si="201"/>
        <v>0</v>
      </c>
      <c r="CP43" s="4">
        <f t="shared" ca="1" si="279"/>
        <v>1939159.596936242</v>
      </c>
      <c r="CQ43" s="4"/>
      <c r="CR43" s="4">
        <f t="shared" ca="1" si="202"/>
        <v>69103.102084361366</v>
      </c>
      <c r="CS43" s="4">
        <f t="shared" ca="1" si="203"/>
        <v>46460</v>
      </c>
      <c r="CT43" s="4">
        <f t="shared" ca="1" si="204"/>
        <v>41735.20792323842</v>
      </c>
      <c r="CU43" s="4"/>
      <c r="CV43" s="4">
        <f t="shared" ca="1" si="132"/>
        <v>69103.102084361366</v>
      </c>
      <c r="CW43" s="4">
        <f t="shared" ca="1" si="205"/>
        <v>0</v>
      </c>
      <c r="CX43" s="4">
        <f t="shared" ca="1" si="206"/>
        <v>0</v>
      </c>
      <c r="CY43" s="4">
        <f t="shared" ca="1" si="133"/>
        <v>69103.102084361366</v>
      </c>
      <c r="CZ43" s="4"/>
      <c r="DA43" s="4">
        <f t="shared" ca="1" si="207"/>
        <v>69103.102084361366</v>
      </c>
      <c r="DB43" s="4">
        <f t="shared" si="208"/>
        <v>14491.39164001334</v>
      </c>
      <c r="DC43" s="4">
        <f t="shared" ca="1" si="134"/>
        <v>0</v>
      </c>
      <c r="DD43" s="4">
        <f t="shared" ca="1" si="209"/>
        <v>27243.816283225082</v>
      </c>
      <c r="DE43" s="4">
        <f t="shared" ca="1" si="210"/>
        <v>27243.816283225082</v>
      </c>
      <c r="DF43" s="4">
        <f t="shared" ca="1" si="135"/>
        <v>0</v>
      </c>
      <c r="DG43" s="4">
        <f t="shared" ca="1" si="136"/>
        <v>13621.908141612541</v>
      </c>
      <c r="DH43" s="4">
        <f t="shared" ca="1" si="211"/>
        <v>13621.908141612541</v>
      </c>
      <c r="DI43" s="4"/>
      <c r="DJ43" s="4">
        <f t="shared" ca="1" si="212"/>
        <v>41859.285801136284</v>
      </c>
      <c r="DK43" s="4">
        <f t="shared" ca="1" si="213"/>
        <v>11500</v>
      </c>
      <c r="DL43" s="4">
        <f t="shared" ca="1" si="214"/>
        <v>11500</v>
      </c>
      <c r="DM43" s="4">
        <f t="shared" ca="1" si="215"/>
        <v>11500</v>
      </c>
      <c r="DN43" s="4">
        <f t="shared" ca="1" si="216"/>
        <v>11500</v>
      </c>
      <c r="DO43" s="4">
        <f t="shared" ca="1" si="50"/>
        <v>0</v>
      </c>
      <c r="DP43" s="4"/>
      <c r="DQ43" s="4">
        <f t="shared" ca="1" si="217"/>
        <v>30359.285801136284</v>
      </c>
      <c r="DR43" s="4"/>
      <c r="DS43" s="4">
        <f t="shared" si="137"/>
        <v>0</v>
      </c>
      <c r="DT43" s="4">
        <f t="shared" si="52"/>
        <v>0</v>
      </c>
      <c r="DU43" s="4">
        <f t="shared" si="218"/>
        <v>0</v>
      </c>
      <c r="DV43" s="4"/>
      <c r="DW43" s="4">
        <f t="shared" ca="1" si="273"/>
        <v>706656.69601884473</v>
      </c>
      <c r="DX43" s="4">
        <f t="shared" ca="1" si="219"/>
        <v>13621.908141612541</v>
      </c>
      <c r="DY43" s="4">
        <f t="shared" ca="1" si="139"/>
        <v>35332.834800942241</v>
      </c>
      <c r="DZ43" s="4">
        <f t="shared" ca="1" si="220"/>
        <v>0</v>
      </c>
      <c r="EA43" s="4">
        <f t="shared" ca="1" si="221"/>
        <v>0</v>
      </c>
      <c r="EB43" s="4">
        <f t="shared" ca="1" si="222"/>
        <v>741989.53081978695</v>
      </c>
      <c r="EC43" s="4">
        <f t="shared" si="223"/>
        <v>1</v>
      </c>
      <c r="ED43" s="4"/>
      <c r="EE43" s="4">
        <f t="shared" ca="1" si="274"/>
        <v>0</v>
      </c>
      <c r="EF43" s="4">
        <f t="shared" ca="1" si="224"/>
        <v>0</v>
      </c>
      <c r="EG43" s="4">
        <f t="shared" ca="1" si="141"/>
        <v>0</v>
      </c>
      <c r="EH43" s="4">
        <f t="shared" ca="1" si="225"/>
        <v>0</v>
      </c>
      <c r="EI43" s="4">
        <f t="shared" ca="1" si="226"/>
        <v>0</v>
      </c>
      <c r="EJ43" s="4">
        <f t="shared" ca="1" si="227"/>
        <v>0</v>
      </c>
      <c r="EK43" s="4">
        <f t="shared" si="228"/>
        <v>1</v>
      </c>
      <c r="EL43" s="4">
        <f t="shared" si="229"/>
        <v>0</v>
      </c>
      <c r="EM43" s="4"/>
      <c r="EN43" s="4">
        <f t="shared" ca="1" si="275"/>
        <v>669851.8841977953</v>
      </c>
      <c r="EO43" s="4">
        <f t="shared" ca="1" si="230"/>
        <v>11500</v>
      </c>
      <c r="EP43" s="4">
        <f t="shared" ca="1" si="143"/>
        <v>33492.594209889765</v>
      </c>
      <c r="EQ43" s="4">
        <f t="shared" ca="1" si="231"/>
        <v>0</v>
      </c>
      <c r="ER43" s="4">
        <v>0</v>
      </c>
      <c r="ES43" s="4">
        <f t="shared" ca="1" si="144"/>
        <v>703344.47840768506</v>
      </c>
      <c r="ET43" s="4"/>
      <c r="EU43" s="4">
        <f t="shared" ca="1" si="276"/>
        <v>562651.01671960182</v>
      </c>
      <c r="EV43" s="4">
        <f t="shared" ca="1" si="232"/>
        <v>30359.285801136284</v>
      </c>
      <c r="EW43" s="4">
        <f t="shared" ca="1" si="146"/>
        <v>28132.550835980092</v>
      </c>
      <c r="EX43" s="4">
        <f t="shared" ca="1" si="233"/>
        <v>0</v>
      </c>
      <c r="EY43" s="4">
        <v>0</v>
      </c>
      <c r="EZ43" s="4">
        <f t="shared" ca="1" si="147"/>
        <v>590783.56755558192</v>
      </c>
      <c r="FA43" s="4">
        <f t="shared" ca="1" si="277"/>
        <v>78793.251085033306</v>
      </c>
      <c r="FB43" s="1">
        <f t="shared" ca="1" si="234"/>
        <v>0.14003929388489858</v>
      </c>
      <c r="FC43" s="4">
        <f t="shared" ca="1" si="149"/>
        <v>11253.020334392037</v>
      </c>
      <c r="FD43" s="4">
        <f t="shared" ca="1" si="150"/>
        <v>14066.275417990046</v>
      </c>
      <c r="FE43" s="4">
        <f t="shared" ca="1" si="235"/>
        <v>3882.2920153652522</v>
      </c>
      <c r="FF43" s="4">
        <f t="shared" ca="1" si="236"/>
        <v>583.12026070786089</v>
      </c>
      <c r="FG43" s="4">
        <f t="shared" ca="1" si="237"/>
        <v>388.22920153652524</v>
      </c>
      <c r="FH43" s="17">
        <f t="shared" ca="1" si="238"/>
        <v>0</v>
      </c>
      <c r="FI43" s="4">
        <f t="shared" ca="1" si="239"/>
        <v>0</v>
      </c>
      <c r="FJ43" s="4"/>
      <c r="FK43" s="4">
        <f t="shared" ca="1" si="240"/>
        <v>2036117.5767830538</v>
      </c>
      <c r="FL43" s="4"/>
      <c r="FM43" s="4">
        <v>0</v>
      </c>
      <c r="FN43" s="4">
        <f t="shared" si="241"/>
        <v>0</v>
      </c>
      <c r="FO43" s="4">
        <f t="shared" si="242"/>
        <v>0</v>
      </c>
      <c r="FP43" s="4">
        <f t="shared" si="243"/>
        <v>0</v>
      </c>
      <c r="FQ43" s="4">
        <f t="shared" si="244"/>
        <v>0</v>
      </c>
      <c r="FR43" s="4">
        <f t="shared" si="245"/>
        <v>0</v>
      </c>
      <c r="FS43" s="4">
        <f t="shared" si="246"/>
        <v>0</v>
      </c>
      <c r="FT43" s="4">
        <f t="shared" ca="1" si="247"/>
        <v>13621.908141612541</v>
      </c>
      <c r="FU43" s="4"/>
      <c r="FV43" s="3">
        <f t="shared" si="248"/>
        <v>0.49022315035225189</v>
      </c>
      <c r="FW43" s="3">
        <f t="shared" si="249"/>
        <v>0.49022315035225189</v>
      </c>
      <c r="FX43" s="4">
        <f t="shared" si="151"/>
        <v>2053</v>
      </c>
      <c r="FY43" s="18">
        <f t="shared" si="250"/>
        <v>113.66425060409001</v>
      </c>
      <c r="FZ43" s="18">
        <f t="shared" si="251"/>
        <v>0</v>
      </c>
      <c r="GA43" s="18">
        <f t="shared" si="252"/>
        <v>0</v>
      </c>
      <c r="GB43" s="18">
        <f t="shared" si="253"/>
        <v>0</v>
      </c>
      <c r="GC43" s="18">
        <f t="shared" ca="1" si="254"/>
        <v>0</v>
      </c>
      <c r="GD43" s="18">
        <f t="shared" ca="1" si="255"/>
        <v>0</v>
      </c>
      <c r="GE43" s="18">
        <f t="shared" ca="1" si="256"/>
        <v>0</v>
      </c>
      <c r="GF43" s="18">
        <f t="shared" ca="1" si="257"/>
        <v>0</v>
      </c>
      <c r="GG43" s="18" t="e">
        <f t="shared" ca="1" si="258"/>
        <v>#NAME?</v>
      </c>
      <c r="GH43" s="18" t="e">
        <f t="shared" ca="1" si="259"/>
        <v>#NAME?</v>
      </c>
      <c r="GI43" s="4"/>
      <c r="GJ43" s="4">
        <f t="shared" si="260"/>
        <v>2053</v>
      </c>
      <c r="GK43" s="4">
        <f t="shared" ca="1" si="261"/>
        <v>346.41947173987165</v>
      </c>
      <c r="GL43" s="4">
        <f t="shared" ca="1" si="262"/>
        <v>0</v>
      </c>
      <c r="GM43" s="4">
        <f t="shared" ca="1" si="263"/>
        <v>328.37690094083501</v>
      </c>
      <c r="GN43" s="4">
        <f t="shared" ca="1" si="264"/>
        <v>275.82455396518077</v>
      </c>
      <c r="GO43" s="4"/>
      <c r="GP43" s="3">
        <f t="shared" ca="1" si="152"/>
        <v>0.3644138920464931</v>
      </c>
      <c r="GQ43" s="3">
        <f t="shared" ca="1" si="265"/>
        <v>0</v>
      </c>
      <c r="GR43" s="3">
        <f t="shared" ca="1" si="266"/>
        <v>0.29015199038210027</v>
      </c>
      <c r="GS43" s="3">
        <f t="shared" ca="1" si="267"/>
        <v>0.34543411757140668</v>
      </c>
      <c r="GT43" s="3">
        <f t="array" aca="1" ref="GT43" ca="1">SUM(GP43:GS43*$GU$6:$GX$6)</f>
        <v>1</v>
      </c>
      <c r="GU43" s="3">
        <f t="shared" ca="1" si="155"/>
        <v>0.3644138920464931</v>
      </c>
      <c r="GV43" s="3">
        <f t="shared" ca="1" si="156"/>
        <v>0</v>
      </c>
      <c r="GW43" s="3">
        <f t="shared" ca="1" si="157"/>
        <v>0.29015199038210027</v>
      </c>
      <c r="GX43" s="3">
        <f t="shared" ca="1" si="158"/>
        <v>0.34543411757140668</v>
      </c>
      <c r="GY43" s="11"/>
      <c r="GZ43" s="27">
        <v>85</v>
      </c>
      <c r="HA43" s="30">
        <v>8.5099999999999995E-2</v>
      </c>
      <c r="HB43" s="29">
        <f t="shared" ca="1" si="153"/>
        <v>0.27229999999999999</v>
      </c>
      <c r="HC43" s="29">
        <v>0.27229999999999999</v>
      </c>
      <c r="HD43" s="29">
        <v>0.17299999999999999</v>
      </c>
      <c r="HE43" s="29">
        <v>0.2581</v>
      </c>
      <c r="HG43" s="27">
        <v>83</v>
      </c>
      <c r="HH43" s="30">
        <v>7.7100000000000002E-2</v>
      </c>
      <c r="HJ43">
        <f t="shared" si="159"/>
        <v>2046</v>
      </c>
      <c r="HK43" s="28">
        <f t="shared" si="164"/>
        <v>40440</v>
      </c>
      <c r="HL43" s="27">
        <f t="shared" si="162"/>
        <v>10000</v>
      </c>
      <c r="HM43" s="28">
        <f t="shared" si="163"/>
        <v>9962.4887125684509</v>
      </c>
      <c r="HQ43" s="27">
        <f>HQ42</f>
        <v>0.33</v>
      </c>
      <c r="HR43" s="27">
        <f>HR42</f>
        <v>0.183</v>
      </c>
      <c r="HS43" s="27">
        <f>HS42</f>
        <v>0.1837</v>
      </c>
      <c r="HT43" s="27">
        <f>HT42</f>
        <v>0.21</v>
      </c>
      <c r="HU43" s="27">
        <f t="shared" si="280"/>
        <v>0.20300000000000001</v>
      </c>
      <c r="HV43" s="27">
        <f t="shared" si="280"/>
        <v>0.25750000000000001</v>
      </c>
      <c r="HW43" s="27">
        <f t="shared" si="280"/>
        <v>0.20529600000000001</v>
      </c>
      <c r="HX43" s="27">
        <f t="shared" si="278"/>
        <v>0.17399999999999999</v>
      </c>
      <c r="HY43" s="27">
        <f t="shared" si="278"/>
        <v>0.15</v>
      </c>
      <c r="HZ43" s="27">
        <f t="shared" si="278"/>
        <v>0.15</v>
      </c>
      <c r="IA43" s="27">
        <f>IA42</f>
        <v>0.14699999999999999</v>
      </c>
      <c r="IB43" s="27">
        <f t="shared" si="281"/>
        <v>0.15</v>
      </c>
      <c r="IC43" s="27">
        <f t="shared" si="281"/>
        <v>0.14050000000000001</v>
      </c>
      <c r="ID43" s="27">
        <f t="shared" si="281"/>
        <v>0.115</v>
      </c>
      <c r="IE43" s="27">
        <f t="shared" si="268"/>
        <v>0.1</v>
      </c>
      <c r="IF43" s="27">
        <f t="shared" si="268"/>
        <v>0.1</v>
      </c>
      <c r="IG43" s="27">
        <f t="shared" si="268"/>
        <v>0.1</v>
      </c>
    </row>
    <row r="44" spans="1:241" x14ac:dyDescent="0.25">
      <c r="A44" t="s">
        <v>346</v>
      </c>
      <c r="B44" s="45" t="s">
        <v>334</v>
      </c>
      <c r="D44">
        <f t="shared" si="107"/>
        <v>2054</v>
      </c>
      <c r="E44">
        <f t="shared" si="108"/>
        <v>59</v>
      </c>
      <c r="F44" s="8"/>
      <c r="G44" s="8"/>
      <c r="H44" s="9"/>
      <c r="I44" s="8"/>
      <c r="J44" s="92"/>
      <c r="K44" s="91"/>
      <c r="L44" s="91"/>
      <c r="N44" s="93">
        <f t="shared" si="109"/>
        <v>0.05</v>
      </c>
      <c r="O44" s="23">
        <f t="shared" si="110"/>
        <v>0.4</v>
      </c>
      <c r="P44" s="23">
        <f t="shared" si="111"/>
        <v>0.1</v>
      </c>
      <c r="Q44" s="4">
        <f t="shared" si="169"/>
        <v>0</v>
      </c>
      <c r="R44" s="4">
        <f t="shared" si="269"/>
        <v>0</v>
      </c>
      <c r="S44" s="4">
        <f t="shared" si="113"/>
        <v>0</v>
      </c>
      <c r="T44" s="4">
        <f t="shared" ca="1" si="114"/>
        <v>0</v>
      </c>
      <c r="V44" s="18" t="e">
        <f t="shared" ca="1" si="170"/>
        <v>#NAME?</v>
      </c>
      <c r="W44" s="18" t="e">
        <f t="shared" ca="1" si="171"/>
        <v>#NAME?</v>
      </c>
      <c r="X44" s="18">
        <f t="shared" si="172"/>
        <v>0</v>
      </c>
      <c r="Y44" s="18">
        <f t="shared" ca="1" si="173"/>
        <v>13.486486205254893</v>
      </c>
      <c r="Z44" s="18">
        <f t="shared" ca="1" si="174"/>
        <v>0</v>
      </c>
      <c r="AA44" s="18">
        <f t="shared" ca="1" si="175"/>
        <v>5.5270257147557809</v>
      </c>
      <c r="AB44" s="18">
        <f t="shared" ca="1" si="176"/>
        <v>15.401221128116459</v>
      </c>
      <c r="AC44" s="18">
        <f t="shared" ca="1" si="177"/>
        <v>363.15511769593678</v>
      </c>
      <c r="AD44" s="18">
        <f t="shared" ca="1" si="178"/>
        <v>0</v>
      </c>
      <c r="AE44" s="18">
        <f t="shared" ca="1" si="179"/>
        <v>343.5620708009094</v>
      </c>
      <c r="AF44" s="18">
        <f t="shared" ca="1" si="180"/>
        <v>298.52804548168353</v>
      </c>
      <c r="AG44" s="18">
        <f t="shared" ca="1" si="181"/>
        <v>1005.2452339785295</v>
      </c>
      <c r="AI44">
        <f>Person2!E44</f>
        <v>59</v>
      </c>
      <c r="AJ44">
        <f>Person2!AZ44</f>
        <v>1</v>
      </c>
      <c r="AK44">
        <f>IF($AZ44&lt;&gt;3,Person2!FM44,0)</f>
        <v>0</v>
      </c>
      <c r="AL44" s="4">
        <f ca="1">IF($AZ44&lt;&gt;3,Person2!FN44+Person2!FT44,0)</f>
        <v>0</v>
      </c>
      <c r="AM44">
        <f>IF($AZ44&lt;&gt;3,Person2!FO44,0)</f>
        <v>0</v>
      </c>
      <c r="AN44">
        <f>IF($AZ44&lt;&gt;3,Person2!FP44,0)</f>
        <v>0</v>
      </c>
      <c r="AO44">
        <f>IF($AZ44&lt;&gt;3,Person2!FQ44,0)</f>
        <v>0</v>
      </c>
      <c r="AP44">
        <f>IF($AZ44&lt;&gt;3,Person2!FR44,0)</f>
        <v>0</v>
      </c>
      <c r="AQ44">
        <v>0</v>
      </c>
      <c r="AR44" s="4">
        <f>Person2!FS44</f>
        <v>0</v>
      </c>
      <c r="AS44" s="4">
        <v>0</v>
      </c>
      <c r="AT44" s="4">
        <v>0</v>
      </c>
      <c r="AV44">
        <f t="shared" si="270"/>
        <v>2054</v>
      </c>
      <c r="AW44">
        <f t="shared" si="271"/>
        <v>59</v>
      </c>
      <c r="AX44">
        <f t="shared" si="272"/>
        <v>2.0806850905900198</v>
      </c>
      <c r="AY44">
        <f t="shared" si="118"/>
        <v>0.48061093171789393</v>
      </c>
      <c r="AZ44">
        <f t="shared" si="119"/>
        <v>1</v>
      </c>
      <c r="BB44" s="4">
        <f t="shared" si="182"/>
        <v>238818.13422741983</v>
      </c>
      <c r="BC44">
        <f t="shared" si="183"/>
        <v>0</v>
      </c>
      <c r="BD44" s="4">
        <f t="shared" si="184"/>
        <v>0</v>
      </c>
      <c r="BE44" s="4">
        <f t="shared" si="120"/>
        <v>0</v>
      </c>
      <c r="BF44" s="4">
        <f t="shared" si="121"/>
        <v>0</v>
      </c>
      <c r="BG44" s="4">
        <f t="shared" si="122"/>
        <v>0</v>
      </c>
      <c r="BH44" s="4">
        <f t="shared" si="185"/>
        <v>0</v>
      </c>
      <c r="BI44" s="4">
        <f t="shared" si="123"/>
        <v>238818.13422741983</v>
      </c>
      <c r="BJ44" s="4"/>
      <c r="BK44" s="4">
        <f t="shared" si="186"/>
        <v>104034.25452950099</v>
      </c>
      <c r="BL44" s="4">
        <f t="shared" si="124"/>
        <v>0</v>
      </c>
      <c r="BM44" s="4">
        <f t="shared" si="125"/>
        <v>104034.25452950099</v>
      </c>
      <c r="BN44" s="4">
        <v>63177.657748045094</v>
      </c>
      <c r="BO44" s="4">
        <f t="shared" si="126"/>
        <v>167211.91227754607</v>
      </c>
      <c r="BP44" s="4">
        <f t="shared" si="127"/>
        <v>71606.221949873754</v>
      </c>
      <c r="BQ44" s="4"/>
      <c r="BR44" s="4">
        <v>0</v>
      </c>
      <c r="BS44" s="4">
        <f t="shared" ca="1" si="187"/>
        <v>28061.13077172183</v>
      </c>
      <c r="BT44" s="4">
        <f t="shared" ca="1" si="188"/>
        <v>11500</v>
      </c>
      <c r="BU44" s="4">
        <f t="shared" si="189"/>
        <v>0</v>
      </c>
      <c r="BV44" s="4">
        <f t="shared" si="190"/>
        <v>1</v>
      </c>
      <c r="BW44" s="4">
        <f t="shared" ca="1" si="191"/>
        <v>0</v>
      </c>
      <c r="BX44" s="4">
        <f t="shared" ca="1" si="192"/>
        <v>0</v>
      </c>
      <c r="BY44" s="4">
        <f t="shared" ca="1" si="193"/>
        <v>0</v>
      </c>
      <c r="BZ44" s="4">
        <f t="shared" ca="1" si="194"/>
        <v>0</v>
      </c>
      <c r="CA44" s="4">
        <f t="shared" ca="1" si="26"/>
        <v>0</v>
      </c>
      <c r="CB44" s="4">
        <f t="shared" ca="1" si="160"/>
        <v>0</v>
      </c>
      <c r="CC44" s="4"/>
      <c r="CD44" s="4">
        <f t="shared" ca="1" si="195"/>
        <v>238818.13422741983</v>
      </c>
      <c r="CE44" s="4">
        <f t="shared" ca="1" si="128"/>
        <v>223496.73583960405</v>
      </c>
      <c r="CF44" s="16">
        <f t="shared" si="196"/>
        <v>0</v>
      </c>
      <c r="CG44" s="4">
        <f t="shared" si="129"/>
        <v>7074.7246381732803</v>
      </c>
      <c r="CH44" s="4" t="e">
        <f t="shared" ca="1" si="197"/>
        <v>#NAME?</v>
      </c>
      <c r="CI44" s="4" t="e">
        <f t="shared" ca="1" si="198"/>
        <v>#NAME?</v>
      </c>
      <c r="CJ44" s="4" t="e">
        <f t="shared" ca="1" si="130"/>
        <v>#NAME?</v>
      </c>
      <c r="CK44" s="4" t="e">
        <f t="shared" ca="1" si="31"/>
        <v>#NAME?</v>
      </c>
      <c r="CL44" s="4" t="e">
        <f t="shared" ca="1" si="199"/>
        <v>#NAME?</v>
      </c>
      <c r="CM44" s="16"/>
      <c r="CN44" s="4">
        <f t="shared" si="200"/>
        <v>0</v>
      </c>
      <c r="CO44" s="4">
        <f t="shared" si="201"/>
        <v>0</v>
      </c>
      <c r="CP44" s="4">
        <f t="shared" ca="1" si="279"/>
        <v>2091598.7707258025</v>
      </c>
      <c r="CQ44" s="4"/>
      <c r="CR44" s="4">
        <f t="shared" ca="1" si="202"/>
        <v>71606.221949873754</v>
      </c>
      <c r="CS44" s="4">
        <f t="shared" ca="1" si="203"/>
        <v>47390</v>
      </c>
      <c r="CT44" s="4">
        <f t="shared" ca="1" si="204"/>
        <v>42987.264160935571</v>
      </c>
      <c r="CU44" s="4"/>
      <c r="CV44" s="4">
        <f t="shared" ca="1" si="132"/>
        <v>71606.221949873754</v>
      </c>
      <c r="CW44" s="4">
        <f t="shared" ca="1" si="205"/>
        <v>0</v>
      </c>
      <c r="CX44" s="4">
        <f t="shared" ca="1" si="206"/>
        <v>0</v>
      </c>
      <c r="CY44" s="4">
        <f t="shared" ca="1" si="133"/>
        <v>71606.221949873754</v>
      </c>
      <c r="CZ44" s="4"/>
      <c r="DA44" s="4">
        <f t="shared" ca="1" si="207"/>
        <v>71606.221949873754</v>
      </c>
      <c r="DB44" s="4">
        <f t="shared" si="208"/>
        <v>14926.133389213739</v>
      </c>
      <c r="DC44" s="4">
        <f t="shared" ca="1" si="134"/>
        <v>0</v>
      </c>
      <c r="DD44" s="4">
        <f t="shared" ca="1" si="209"/>
        <v>28061.13077172183</v>
      </c>
      <c r="DE44" s="4">
        <f t="shared" ca="1" si="210"/>
        <v>28061.13077172183</v>
      </c>
      <c r="DF44" s="4">
        <f t="shared" ca="1" si="135"/>
        <v>0</v>
      </c>
      <c r="DG44" s="4">
        <f t="shared" ca="1" si="136"/>
        <v>14030.565385860915</v>
      </c>
      <c r="DH44" s="4">
        <f t="shared" ca="1" si="211"/>
        <v>14030.565385860915</v>
      </c>
      <c r="DI44" s="4"/>
      <c r="DJ44" s="4">
        <f t="shared" ca="1" si="212"/>
        <v>43545.091178151924</v>
      </c>
      <c r="DK44" s="4">
        <f t="shared" ca="1" si="213"/>
        <v>11500</v>
      </c>
      <c r="DL44" s="4">
        <f t="shared" ca="1" si="214"/>
        <v>11500</v>
      </c>
      <c r="DM44" s="4">
        <f t="shared" ca="1" si="215"/>
        <v>11500</v>
      </c>
      <c r="DN44" s="4">
        <f t="shared" ca="1" si="216"/>
        <v>11500</v>
      </c>
      <c r="DO44" s="4">
        <f t="shared" ca="1" si="50"/>
        <v>0</v>
      </c>
      <c r="DP44" s="4"/>
      <c r="DQ44" s="4">
        <f t="shared" ca="1" si="217"/>
        <v>32045.091178151924</v>
      </c>
      <c r="DR44" s="4"/>
      <c r="DS44" s="4">
        <f t="shared" si="137"/>
        <v>0</v>
      </c>
      <c r="DT44" s="4">
        <f t="shared" si="52"/>
        <v>0</v>
      </c>
      <c r="DU44" s="4">
        <f t="shared" si="218"/>
        <v>0</v>
      </c>
      <c r="DV44" s="4"/>
      <c r="DW44" s="4">
        <f t="shared" ca="1" si="273"/>
        <v>755611.43896139949</v>
      </c>
      <c r="DX44" s="4">
        <f t="shared" ca="1" si="219"/>
        <v>14030.565385860915</v>
      </c>
      <c r="DY44" s="4">
        <f t="shared" ca="1" si="139"/>
        <v>37780.571948069977</v>
      </c>
      <c r="DZ44" s="4">
        <f t="shared" ca="1" si="220"/>
        <v>0</v>
      </c>
      <c r="EA44" s="4">
        <f t="shared" ca="1" si="221"/>
        <v>0</v>
      </c>
      <c r="EB44" s="4">
        <f t="shared" ca="1" si="222"/>
        <v>793392.01090946945</v>
      </c>
      <c r="EC44" s="4">
        <f t="shared" si="223"/>
        <v>1</v>
      </c>
      <c r="ED44" s="4"/>
      <c r="EE44" s="4">
        <f t="shared" ca="1" si="274"/>
        <v>0</v>
      </c>
      <c r="EF44" s="4">
        <f t="shared" ca="1" si="224"/>
        <v>0</v>
      </c>
      <c r="EG44" s="4">
        <f t="shared" ca="1" si="141"/>
        <v>0</v>
      </c>
      <c r="EH44" s="4">
        <f t="shared" ca="1" si="225"/>
        <v>0</v>
      </c>
      <c r="EI44" s="4">
        <f t="shared" ca="1" si="226"/>
        <v>0</v>
      </c>
      <c r="EJ44" s="4">
        <f t="shared" ca="1" si="227"/>
        <v>0</v>
      </c>
      <c r="EK44" s="4">
        <f t="shared" si="228"/>
        <v>1</v>
      </c>
      <c r="EL44" s="4">
        <f t="shared" si="229"/>
        <v>0</v>
      </c>
      <c r="EM44" s="4"/>
      <c r="EN44" s="4">
        <f t="shared" ca="1" si="275"/>
        <v>714844.47840768506</v>
      </c>
      <c r="EO44" s="4">
        <f t="shared" ca="1" si="230"/>
        <v>11500</v>
      </c>
      <c r="EP44" s="4">
        <f t="shared" ca="1" si="143"/>
        <v>35742.223920384255</v>
      </c>
      <c r="EQ44" s="4">
        <f t="shared" ca="1" si="231"/>
        <v>0</v>
      </c>
      <c r="ER44" s="4">
        <v>0</v>
      </c>
      <c r="ES44" s="4">
        <f t="shared" ca="1" si="144"/>
        <v>750586.70232806937</v>
      </c>
      <c r="ET44" s="4"/>
      <c r="EU44" s="4">
        <f t="shared" ca="1" si="276"/>
        <v>621142.8533567182</v>
      </c>
      <c r="EV44" s="4">
        <f t="shared" ca="1" si="232"/>
        <v>32045.091178151924</v>
      </c>
      <c r="EW44" s="4">
        <f t="shared" ca="1" si="146"/>
        <v>31057.142667835913</v>
      </c>
      <c r="EX44" s="4">
        <f t="shared" ca="1" si="233"/>
        <v>0</v>
      </c>
      <c r="EY44" s="4">
        <v>0</v>
      </c>
      <c r="EZ44" s="4">
        <f t="shared" ca="1" si="147"/>
        <v>652199.99602455413</v>
      </c>
      <c r="FA44" s="4">
        <f t="shared" ca="1" si="277"/>
        <v>90046.271419425349</v>
      </c>
      <c r="FB44" s="1">
        <f t="shared" ca="1" si="234"/>
        <v>0.14496869912099331</v>
      </c>
      <c r="FC44" s="4">
        <f t="shared" ca="1" si="149"/>
        <v>12422.857067134366</v>
      </c>
      <c r="FD44" s="4">
        <f t="shared" ca="1" si="150"/>
        <v>15528.571333917957</v>
      </c>
      <c r="FE44" s="4">
        <f t="shared" ca="1" si="235"/>
        <v>4285.8856881613556</v>
      </c>
      <c r="FF44" s="4">
        <f t="shared" ca="1" si="236"/>
        <v>643.74003036183558</v>
      </c>
      <c r="FG44" s="4">
        <f t="shared" ca="1" si="237"/>
        <v>428.58856881613559</v>
      </c>
      <c r="FH44" s="17">
        <f t="shared" ca="1" si="238"/>
        <v>0</v>
      </c>
      <c r="FI44" s="4">
        <f t="shared" ca="1" si="239"/>
        <v>0</v>
      </c>
      <c r="FJ44" s="4"/>
      <c r="FK44" s="4">
        <f t="shared" ca="1" si="240"/>
        <v>2196178.7092620931</v>
      </c>
      <c r="FL44" s="4"/>
      <c r="FM44" s="4">
        <v>0</v>
      </c>
      <c r="FN44" s="4">
        <f t="shared" si="241"/>
        <v>0</v>
      </c>
      <c r="FO44" s="4">
        <f t="shared" si="242"/>
        <v>0</v>
      </c>
      <c r="FP44" s="4">
        <f t="shared" si="243"/>
        <v>0</v>
      </c>
      <c r="FQ44" s="4">
        <f t="shared" si="244"/>
        <v>0</v>
      </c>
      <c r="FR44" s="4">
        <f t="shared" si="245"/>
        <v>0</v>
      </c>
      <c r="FS44" s="4">
        <f t="shared" si="246"/>
        <v>0</v>
      </c>
      <c r="FT44" s="4">
        <f t="shared" ca="1" si="247"/>
        <v>14030.565385860915</v>
      </c>
      <c r="FU44" s="4"/>
      <c r="FV44" s="3">
        <f t="shared" si="248"/>
        <v>0.48061093171789393</v>
      </c>
      <c r="FW44" s="3">
        <f t="shared" si="249"/>
        <v>0.48061093171789393</v>
      </c>
      <c r="FX44" s="4">
        <f t="shared" si="151"/>
        <v>2054</v>
      </c>
      <c r="FY44" s="18">
        <f t="shared" si="250"/>
        <v>114.7786060021693</v>
      </c>
      <c r="FZ44" s="18">
        <f t="shared" si="251"/>
        <v>0</v>
      </c>
      <c r="GA44" s="18">
        <f t="shared" si="252"/>
        <v>0</v>
      </c>
      <c r="GB44" s="18">
        <f t="shared" si="253"/>
        <v>0</v>
      </c>
      <c r="GC44" s="18">
        <f t="shared" ca="1" si="254"/>
        <v>0</v>
      </c>
      <c r="GD44" s="18">
        <f t="shared" ca="1" si="255"/>
        <v>0</v>
      </c>
      <c r="GE44" s="18">
        <f t="shared" ca="1" si="256"/>
        <v>0</v>
      </c>
      <c r="GF44" s="18">
        <f t="shared" ca="1" si="257"/>
        <v>0</v>
      </c>
      <c r="GG44" s="18" t="e">
        <f t="shared" ca="1" si="258"/>
        <v>#NAME?</v>
      </c>
      <c r="GH44" s="18" t="e">
        <f t="shared" ca="1" si="259"/>
        <v>#NAME?</v>
      </c>
      <c r="GI44" s="4"/>
      <c r="GJ44" s="4">
        <f t="shared" si="260"/>
        <v>2054</v>
      </c>
      <c r="GK44" s="4">
        <f t="shared" ca="1" si="261"/>
        <v>363.15511769593678</v>
      </c>
      <c r="GL44" s="4">
        <f t="shared" ca="1" si="262"/>
        <v>0</v>
      </c>
      <c r="GM44" s="4">
        <f t="shared" ca="1" si="263"/>
        <v>343.5620708009094</v>
      </c>
      <c r="GN44" s="4">
        <f t="shared" ca="1" si="264"/>
        <v>298.52804548168353</v>
      </c>
      <c r="GO44" s="4"/>
      <c r="GP44" s="3">
        <f t="shared" ca="1" si="152"/>
        <v>0.36126022329760488</v>
      </c>
      <c r="GQ44" s="3">
        <f t="shared" ca="1" si="265"/>
        <v>0</v>
      </c>
      <c r="GR44" s="3">
        <f t="shared" ca="1" si="266"/>
        <v>0.29697036642509417</v>
      </c>
      <c r="GS44" s="3">
        <f t="shared" ca="1" si="267"/>
        <v>0.3417694102773009</v>
      </c>
      <c r="GT44" s="3">
        <f t="array" aca="1" ref="GT44" ca="1">SUM(GP44:GS44*$GU$6:$GX$6)</f>
        <v>0.99999999999999989</v>
      </c>
      <c r="GU44" s="3">
        <f t="shared" ca="1" si="155"/>
        <v>0.36126022329760493</v>
      </c>
      <c r="GV44" s="3">
        <f t="shared" ca="1" si="156"/>
        <v>0</v>
      </c>
      <c r="GW44" s="3">
        <f t="shared" ca="1" si="157"/>
        <v>0.29697036642509422</v>
      </c>
      <c r="GX44" s="3">
        <f t="shared" ca="1" si="158"/>
        <v>0.34176941027730096</v>
      </c>
      <c r="GY44" s="11"/>
      <c r="GZ44" s="27">
        <v>86</v>
      </c>
      <c r="HA44" s="30">
        <v>8.9899999999999994E-2</v>
      </c>
      <c r="HB44" s="29">
        <f t="shared" ca="1" si="153"/>
        <v>0.35289999999999999</v>
      </c>
      <c r="HC44" s="29">
        <v>0.35289999999999999</v>
      </c>
      <c r="HD44" s="29">
        <v>0.189</v>
      </c>
      <c r="HE44" s="29">
        <v>0.34050000000000002</v>
      </c>
      <c r="HG44" s="27">
        <v>84</v>
      </c>
      <c r="HH44" s="30">
        <v>8.0799999999999997E-2</v>
      </c>
      <c r="HJ44">
        <f t="shared" si="159"/>
        <v>2047</v>
      </c>
      <c r="HK44" s="28">
        <f t="shared" si="164"/>
        <v>41250</v>
      </c>
      <c r="HL44" s="27">
        <f t="shared" si="162"/>
        <v>10000</v>
      </c>
      <c r="HM44" s="28">
        <f t="shared" si="163"/>
        <v>10161.738486819821</v>
      </c>
      <c r="HQ44" t="s">
        <v>109</v>
      </c>
      <c r="HR44" t="s">
        <v>109</v>
      </c>
      <c r="HS44" t="s">
        <v>613</v>
      </c>
      <c r="HT44" t="s">
        <v>109</v>
      </c>
      <c r="HU44" t="s">
        <v>109</v>
      </c>
      <c r="HV44" t="s">
        <v>109</v>
      </c>
      <c r="HW44" t="s">
        <v>614</v>
      </c>
      <c r="HX44" t="s">
        <v>109</v>
      </c>
      <c r="HY44" t="s">
        <v>109</v>
      </c>
      <c r="HZ44" t="s">
        <v>109</v>
      </c>
      <c r="IA44" t="s">
        <v>109</v>
      </c>
      <c r="IB44" t="s">
        <v>109</v>
      </c>
      <c r="IC44" t="s">
        <v>109</v>
      </c>
      <c r="ID44" t="s">
        <v>109</v>
      </c>
      <c r="IE44" t="s">
        <v>109</v>
      </c>
      <c r="IF44" t="s">
        <v>109</v>
      </c>
      <c r="IG44" t="s">
        <v>109</v>
      </c>
    </row>
    <row r="45" spans="1:241" x14ac:dyDescent="0.25">
      <c r="A45" t="s">
        <v>66</v>
      </c>
      <c r="B45" s="62">
        <f>Inputs_Summary!AJ42</f>
        <v>65</v>
      </c>
      <c r="D45">
        <f t="shared" si="107"/>
        <v>2055</v>
      </c>
      <c r="E45">
        <f t="shared" si="108"/>
        <v>60</v>
      </c>
      <c r="F45" s="8"/>
      <c r="G45" s="8"/>
      <c r="H45" s="9"/>
      <c r="I45" s="8"/>
      <c r="J45" s="92"/>
      <c r="K45" s="91"/>
      <c r="L45" s="91"/>
      <c r="N45" s="93">
        <f t="shared" si="109"/>
        <v>0.05</v>
      </c>
      <c r="O45" s="23">
        <f t="shared" si="110"/>
        <v>0.4</v>
      </c>
      <c r="P45" s="23">
        <f t="shared" si="111"/>
        <v>0.1</v>
      </c>
      <c r="Q45" s="4">
        <f t="shared" si="169"/>
        <v>0</v>
      </c>
      <c r="R45" s="4">
        <f t="shared" si="269"/>
        <v>0</v>
      </c>
      <c r="S45" s="4">
        <f t="shared" si="113"/>
        <v>0</v>
      </c>
      <c r="T45" s="4">
        <f t="shared" ca="1" si="114"/>
        <v>0</v>
      </c>
      <c r="V45" s="18" t="e">
        <f t="shared" ca="1" si="170"/>
        <v>#NAME?</v>
      </c>
      <c r="W45" s="18" t="e">
        <f t="shared" ca="1" si="171"/>
        <v>#NAME?</v>
      </c>
      <c r="X45" s="18" t="e">
        <f t="shared" ca="1" si="172"/>
        <v>#NAME?</v>
      </c>
      <c r="Y45" s="18">
        <f t="shared" ca="1" si="173"/>
        <v>-12.649237634419453</v>
      </c>
      <c r="Z45" s="18">
        <f t="shared" ca="1" si="174"/>
        <v>0</v>
      </c>
      <c r="AA45" s="18">
        <f t="shared" ca="1" si="175"/>
        <v>5.654246255504634</v>
      </c>
      <c r="AB45" s="18">
        <f t="shared" ca="1" si="176"/>
        <v>-28.312758713667765</v>
      </c>
      <c r="AC45" s="18">
        <f t="shared" ca="1" si="177"/>
        <v>380.44717321898139</v>
      </c>
      <c r="AD45" s="18">
        <f t="shared" ca="1" si="178"/>
        <v>0</v>
      </c>
      <c r="AE45" s="18">
        <f t="shared" ca="1" si="179"/>
        <v>359.08549025069669</v>
      </c>
      <c r="AF45" s="18">
        <f t="shared" ca="1" si="180"/>
        <v>322.40751851361188</v>
      </c>
      <c r="AG45" s="18">
        <f t="shared" ca="1" si="181"/>
        <v>1061.9401819832899</v>
      </c>
      <c r="AI45">
        <f>Person2!E45</f>
        <v>60</v>
      </c>
      <c r="AJ45">
        <f>Person2!AZ45</f>
        <v>2</v>
      </c>
      <c r="AK45">
        <f>IF($AZ45&lt;&gt;3,Person2!FM45,0)</f>
        <v>0</v>
      </c>
      <c r="AL45" s="4">
        <f ca="1">IF($AZ45&lt;&gt;3,Person2!FN45+Person2!FT45,0)</f>
        <v>0</v>
      </c>
      <c r="AM45">
        <f>IF($AZ45&lt;&gt;3,Person2!FO45,0)</f>
        <v>0</v>
      </c>
      <c r="AN45">
        <f>IF($AZ45&lt;&gt;3,Person2!FP45,0)</f>
        <v>0</v>
      </c>
      <c r="AO45">
        <f>IF($AZ45&lt;&gt;3,Person2!FQ45,0)</f>
        <v>0</v>
      </c>
      <c r="AP45">
        <f>IF($AZ45&lt;&gt;3,Person2!FR45,0)</f>
        <v>0</v>
      </c>
      <c r="AQ45">
        <v>0</v>
      </c>
      <c r="AR45" s="4">
        <f>Person2!FS45</f>
        <v>0</v>
      </c>
      <c r="AS45" s="4">
        <v>0</v>
      </c>
      <c r="AT45" s="4">
        <v>0</v>
      </c>
      <c r="AV45">
        <f t="shared" si="270"/>
        <v>2055</v>
      </c>
      <c r="AW45">
        <f t="shared" si="271"/>
        <v>60</v>
      </c>
      <c r="AX45">
        <f t="shared" si="272"/>
        <v>2.1222987924018204</v>
      </c>
      <c r="AY45">
        <f t="shared" si="118"/>
        <v>0.4711871879587195</v>
      </c>
      <c r="AZ45">
        <f t="shared" si="119"/>
        <v>2</v>
      </c>
      <c r="BB45" s="4">
        <f t="shared" si="182"/>
        <v>0</v>
      </c>
      <c r="BC45">
        <f t="shared" si="183"/>
        <v>0</v>
      </c>
      <c r="BD45" s="4">
        <f t="shared" si="184"/>
        <v>0</v>
      </c>
      <c r="BE45" s="4">
        <f t="shared" si="120"/>
        <v>0</v>
      </c>
      <c r="BF45" s="4">
        <f t="shared" si="121"/>
        <v>47751.722829040918</v>
      </c>
      <c r="BG45" s="4">
        <f t="shared" si="122"/>
        <v>0</v>
      </c>
      <c r="BH45" s="4">
        <f t="shared" si="185"/>
        <v>0</v>
      </c>
      <c r="BI45" s="4">
        <f t="shared" si="123"/>
        <v>47751.722829040918</v>
      </c>
      <c r="BJ45" s="16"/>
      <c r="BK45" s="4">
        <f t="shared" si="186"/>
        <v>106114.93962009103</v>
      </c>
      <c r="BL45" s="4">
        <f t="shared" si="124"/>
        <v>0</v>
      </c>
      <c r="BM45" s="4">
        <f t="shared" si="125"/>
        <v>106114.93962009103</v>
      </c>
      <c r="BN45" s="4">
        <v>16570.37859286317</v>
      </c>
      <c r="BO45" s="4">
        <f t="shared" si="126"/>
        <v>122685.3182129542</v>
      </c>
      <c r="BP45" s="4">
        <f t="shared" si="127"/>
        <v>-74933.595383913285</v>
      </c>
      <c r="BQ45" s="4"/>
      <c r="BR45" s="4">
        <v>0</v>
      </c>
      <c r="BS45" s="4">
        <f t="shared" ca="1" si="187"/>
        <v>0</v>
      </c>
      <c r="BT45" s="4">
        <f t="shared" ca="1" si="188"/>
        <v>12000</v>
      </c>
      <c r="BU45" s="4">
        <f t="shared" si="189"/>
        <v>74933.595383913285</v>
      </c>
      <c r="BV45" s="4">
        <f t="shared" si="190"/>
        <v>1</v>
      </c>
      <c r="BW45" s="4">
        <f t="shared" ca="1" si="191"/>
        <v>26845.461756332064</v>
      </c>
      <c r="BX45" s="4">
        <f t="shared" ca="1" si="192"/>
        <v>0</v>
      </c>
      <c r="BY45" s="4">
        <f t="shared" ca="1" si="193"/>
        <v>60088.133627581221</v>
      </c>
      <c r="BZ45" s="4">
        <f t="shared" ca="1" si="194"/>
        <v>0</v>
      </c>
      <c r="CA45" s="4">
        <f t="shared" ca="1" si="26"/>
        <v>86933.595383913285</v>
      </c>
      <c r="CB45" s="4">
        <f t="shared" ca="1" si="160"/>
        <v>12000</v>
      </c>
      <c r="CC45" s="4"/>
      <c r="CD45" s="4">
        <f t="shared" ca="1" si="195"/>
        <v>134685.31821295421</v>
      </c>
      <c r="CE45" s="4">
        <f t="shared" ca="1" si="128"/>
        <v>100923.85233224956</v>
      </c>
      <c r="CF45" s="16">
        <f t="shared" si="196"/>
        <v>0</v>
      </c>
      <c r="CG45" s="4">
        <f t="shared" si="129"/>
        <v>0</v>
      </c>
      <c r="CH45" s="4" t="e">
        <f t="shared" ca="1" si="197"/>
        <v>#NAME?</v>
      </c>
      <c r="CI45" s="4" t="e">
        <f t="shared" ca="1" si="198"/>
        <v>#NAME?</v>
      </c>
      <c r="CJ45" s="4" t="e">
        <f t="shared" ca="1" si="130"/>
        <v>#NAME?</v>
      </c>
      <c r="CK45" s="4" t="e">
        <f t="shared" ca="1" si="31"/>
        <v>#NAME?</v>
      </c>
      <c r="CL45" s="4" t="e">
        <f t="shared" ca="1" si="199"/>
        <v>#NAME?</v>
      </c>
      <c r="CM45" s="16"/>
      <c r="CN45" s="4" t="e">
        <f t="shared" ca="1" si="200"/>
        <v>#NAME?</v>
      </c>
      <c r="CO45" s="4" t="e">
        <f t="shared" ca="1" si="201"/>
        <v>#NAME?</v>
      </c>
      <c r="CP45" s="4">
        <f t="shared" ca="1" si="279"/>
        <v>2253754.3658261057</v>
      </c>
      <c r="CQ45" s="4"/>
      <c r="CR45" s="4">
        <f t="shared" ca="1" si="202"/>
        <v>12000</v>
      </c>
      <c r="CS45" s="4">
        <f t="shared" ca="1" si="203"/>
        <v>48330</v>
      </c>
      <c r="CT45" s="4">
        <f t="shared" ca="1" si="204"/>
        <v>0</v>
      </c>
      <c r="CU45" s="4"/>
      <c r="CV45" s="4">
        <f t="shared" ca="1" si="132"/>
        <v>12000</v>
      </c>
      <c r="CW45" s="4">
        <f t="shared" ca="1" si="205"/>
        <v>0</v>
      </c>
      <c r="CX45" s="4">
        <f t="shared" ca="1" si="206"/>
        <v>0</v>
      </c>
      <c r="CY45" s="4">
        <f t="shared" ca="1" si="133"/>
        <v>12000</v>
      </c>
      <c r="CZ45" s="4"/>
      <c r="DA45" s="4">
        <f t="shared" ca="1" si="207"/>
        <v>12000</v>
      </c>
      <c r="DB45" s="4">
        <f t="shared" si="208"/>
        <v>0</v>
      </c>
      <c r="DC45" s="4">
        <f t="shared" ca="1" si="134"/>
        <v>0</v>
      </c>
      <c r="DD45" s="4">
        <f t="shared" ca="1" si="209"/>
        <v>0</v>
      </c>
      <c r="DE45" s="4">
        <f t="shared" ca="1" si="210"/>
        <v>0</v>
      </c>
      <c r="DF45" s="4">
        <f t="shared" ca="1" si="135"/>
        <v>0</v>
      </c>
      <c r="DG45" s="4">
        <f t="shared" ca="1" si="136"/>
        <v>0</v>
      </c>
      <c r="DH45" s="4">
        <f t="shared" ca="1" si="211"/>
        <v>0</v>
      </c>
      <c r="DI45" s="4"/>
      <c r="DJ45" s="4">
        <f t="shared" ca="1" si="212"/>
        <v>12000</v>
      </c>
      <c r="DK45" s="4">
        <f t="shared" ca="1" si="213"/>
        <v>12000</v>
      </c>
      <c r="DL45" s="4">
        <f t="shared" ca="1" si="214"/>
        <v>12000</v>
      </c>
      <c r="DM45" s="4">
        <f t="shared" ca="1" si="215"/>
        <v>12000</v>
      </c>
      <c r="DN45" s="4">
        <f t="shared" ca="1" si="216"/>
        <v>12000</v>
      </c>
      <c r="DO45" s="4">
        <f t="shared" ca="1" si="50"/>
        <v>0</v>
      </c>
      <c r="DP45" s="4"/>
      <c r="DQ45" s="4">
        <f t="shared" ca="1" si="217"/>
        <v>0</v>
      </c>
      <c r="DR45" s="4"/>
      <c r="DS45" s="4">
        <f t="shared" si="137"/>
        <v>0</v>
      </c>
      <c r="DT45" s="4">
        <f ca="1">IF(AZ45=2,MAX(0,MIN(EB45,DS45-CE45+BR45)),0)</f>
        <v>0</v>
      </c>
      <c r="DU45" s="4">
        <f t="shared" si="218"/>
        <v>0</v>
      </c>
      <c r="DV45" s="4"/>
      <c r="DW45" s="4">
        <f t="shared" ca="1" si="273"/>
        <v>807422.57629533042</v>
      </c>
      <c r="DX45" s="4">
        <f t="shared" ca="1" si="219"/>
        <v>0</v>
      </c>
      <c r="DY45" s="4">
        <f t="shared" ca="1" si="139"/>
        <v>40371.128814766525</v>
      </c>
      <c r="DZ45" s="4">
        <f t="shared" ca="1" si="220"/>
        <v>26845.461756332064</v>
      </c>
      <c r="EA45" s="4">
        <f t="shared" ca="1" si="221"/>
        <v>0</v>
      </c>
      <c r="EB45" s="4">
        <f t="shared" ca="1" si="222"/>
        <v>847793.70511009695</v>
      </c>
      <c r="EC45" s="4">
        <f t="shared" si="223"/>
        <v>1</v>
      </c>
      <c r="ED45" s="4"/>
      <c r="EE45" s="4">
        <f t="shared" ca="1" si="274"/>
        <v>0</v>
      </c>
      <c r="EF45" s="4">
        <f t="shared" ca="1" si="224"/>
        <v>0</v>
      </c>
      <c r="EG45" s="4">
        <f t="shared" ca="1" si="141"/>
        <v>0</v>
      </c>
      <c r="EH45" s="4">
        <f t="shared" ca="1" si="225"/>
        <v>0</v>
      </c>
      <c r="EI45" s="4">
        <f t="shared" ca="1" si="226"/>
        <v>0</v>
      </c>
      <c r="EJ45" s="4">
        <f t="shared" ca="1" si="227"/>
        <v>0</v>
      </c>
      <c r="EK45" s="4">
        <f t="shared" si="228"/>
        <v>1</v>
      </c>
      <c r="EL45" s="4">
        <f t="shared" si="229"/>
        <v>0</v>
      </c>
      <c r="EM45" s="4"/>
      <c r="EN45" s="4">
        <f t="shared" ca="1" si="275"/>
        <v>762086.70232806937</v>
      </c>
      <c r="EO45" s="4">
        <f t="shared" ca="1" si="230"/>
        <v>12000</v>
      </c>
      <c r="EP45" s="4">
        <f t="shared" ca="1" si="143"/>
        <v>38104.335116403468</v>
      </c>
      <c r="EQ45" s="4">
        <f t="shared" ca="1" si="231"/>
        <v>0</v>
      </c>
      <c r="ER45" s="4">
        <v>0</v>
      </c>
      <c r="ES45" s="4">
        <f t="shared" ca="1" si="144"/>
        <v>800191.03744447278</v>
      </c>
      <c r="ET45" s="4"/>
      <c r="EU45" s="4">
        <f t="shared" ca="1" si="276"/>
        <v>684245.08720270602</v>
      </c>
      <c r="EV45" s="4">
        <f t="shared" ca="1" si="232"/>
        <v>0</v>
      </c>
      <c r="EW45" s="4">
        <f t="shared" ca="1" si="146"/>
        <v>34212.254360135303</v>
      </c>
      <c r="EX45" s="4">
        <f t="shared" ca="1" si="233"/>
        <v>60088.133627581221</v>
      </c>
      <c r="EY45" s="4">
        <v>0</v>
      </c>
      <c r="EZ45" s="4">
        <f t="shared" ca="1" si="147"/>
        <v>718457.34156284132</v>
      </c>
      <c r="FA45" s="4">
        <f t="shared" ca="1" si="277"/>
        <v>102469.12848655971</v>
      </c>
      <c r="FB45" s="1">
        <f t="shared" ca="1" si="234"/>
        <v>0.14975500796866295</v>
      </c>
      <c r="FC45" s="4">
        <f t="shared" ca="1" si="149"/>
        <v>13684.901744054121</v>
      </c>
      <c r="FD45" s="4">
        <f t="shared" ca="1" si="150"/>
        <v>17106.127180067651</v>
      </c>
      <c r="FE45" s="4">
        <f t="shared" ca="1" si="235"/>
        <v>4721.2911016986718</v>
      </c>
      <c r="FF45" s="4">
        <f t="shared" ca="1" si="236"/>
        <v>709.1379234751405</v>
      </c>
      <c r="FG45" s="4">
        <f t="shared" ca="1" si="237"/>
        <v>472.1291101698672</v>
      </c>
      <c r="FH45" s="17">
        <f t="shared" ca="1" si="238"/>
        <v>8998.4989302205104</v>
      </c>
      <c r="FI45" s="4">
        <f t="shared" ca="1" si="239"/>
        <v>4499.2494651102552</v>
      </c>
      <c r="FJ45" s="4"/>
      <c r="FK45" s="4">
        <f t="shared" ca="1" si="240"/>
        <v>2366442.0841174107</v>
      </c>
      <c r="FL45" s="4"/>
      <c r="FM45" s="4">
        <v>0</v>
      </c>
      <c r="FN45" s="4">
        <f t="shared" si="241"/>
        <v>0</v>
      </c>
      <c r="FO45" s="4">
        <f t="shared" si="242"/>
        <v>0</v>
      </c>
      <c r="FP45" s="4">
        <f t="shared" si="243"/>
        <v>0</v>
      </c>
      <c r="FQ45" s="4">
        <f t="shared" si="244"/>
        <v>0</v>
      </c>
      <c r="FR45" s="4">
        <f t="shared" si="245"/>
        <v>0</v>
      </c>
      <c r="FS45" s="4">
        <f t="shared" si="246"/>
        <v>15917.240943013639</v>
      </c>
      <c r="FT45" s="4">
        <f t="shared" ca="1" si="247"/>
        <v>0</v>
      </c>
      <c r="FU45" s="4"/>
      <c r="FV45" s="3">
        <f t="shared" si="248"/>
        <v>0.4711871879587195</v>
      </c>
      <c r="FW45" s="3">
        <f t="shared" si="249"/>
        <v>0.4711871879587195</v>
      </c>
      <c r="FX45" s="4">
        <f t="shared" si="151"/>
        <v>2055</v>
      </c>
      <c r="FY45" s="18">
        <f t="shared" si="250"/>
        <v>0</v>
      </c>
      <c r="FZ45" s="18">
        <f t="shared" si="251"/>
        <v>0</v>
      </c>
      <c r="GA45" s="18">
        <f t="shared" si="252"/>
        <v>0</v>
      </c>
      <c r="GB45" s="18">
        <f t="shared" si="253"/>
        <v>22.499999999999982</v>
      </c>
      <c r="GC45" s="18">
        <f t="shared" ca="1" si="254"/>
        <v>12.649237634419453</v>
      </c>
      <c r="GD45" s="18">
        <f t="shared" ca="1" si="255"/>
        <v>0</v>
      </c>
      <c r="GE45" s="18">
        <f t="shared" ca="1" si="256"/>
        <v>28.312758713667765</v>
      </c>
      <c r="GF45" s="18">
        <f t="shared" ca="1" si="257"/>
        <v>0</v>
      </c>
      <c r="GG45" s="18" t="e">
        <f t="shared" ca="1" si="258"/>
        <v>#NAME?</v>
      </c>
      <c r="GH45" s="18" t="e">
        <f t="shared" ca="1" si="259"/>
        <v>#NAME?</v>
      </c>
      <c r="GI45" s="4"/>
      <c r="GJ45" s="4">
        <f t="shared" si="260"/>
        <v>2055</v>
      </c>
      <c r="GK45" s="4">
        <f t="shared" ca="1" si="261"/>
        <v>380.44717321898139</v>
      </c>
      <c r="GL45" s="4">
        <f t="shared" ca="1" si="262"/>
        <v>0</v>
      </c>
      <c r="GM45" s="4">
        <f t="shared" ca="1" si="263"/>
        <v>359.08549025069669</v>
      </c>
      <c r="GN45" s="4">
        <f t="shared" ca="1" si="264"/>
        <v>322.40751851361188</v>
      </c>
      <c r="GO45" s="4"/>
      <c r="GP45" s="3">
        <f t="shared" ca="1" si="152"/>
        <v>0.35825668872276267</v>
      </c>
      <c r="GQ45" s="3">
        <f t="shared" ca="1" si="265"/>
        <v>0</v>
      </c>
      <c r="GR45" s="3">
        <f t="shared" ca="1" si="266"/>
        <v>0.30360233465455694</v>
      </c>
      <c r="GS45" s="3">
        <f t="shared" ca="1" si="267"/>
        <v>0.33814097662268056</v>
      </c>
      <c r="GT45" s="3">
        <f t="array" aca="1" ref="GT45" ca="1">SUM(GP45:GS45*$GU$6:$GX$6)</f>
        <v>1.0000000000000002</v>
      </c>
      <c r="GU45" s="3">
        <f t="shared" ca="1" si="155"/>
        <v>0.35825668872276262</v>
      </c>
      <c r="GV45" s="3">
        <f t="shared" ca="1" si="156"/>
        <v>0</v>
      </c>
      <c r="GW45" s="3">
        <f t="shared" ca="1" si="157"/>
        <v>0.30360233465455688</v>
      </c>
      <c r="GX45" s="3">
        <f t="shared" ca="1" si="158"/>
        <v>0.3381409766226805</v>
      </c>
      <c r="GY45" s="11"/>
      <c r="GZ45" s="27">
        <v>87</v>
      </c>
      <c r="HA45" s="30">
        <v>9.5500000000000002E-2</v>
      </c>
      <c r="HB45" s="29">
        <f t="shared" ca="1" si="153"/>
        <v>0.51459999999999995</v>
      </c>
      <c r="HC45" s="29">
        <v>0.51459999999999995</v>
      </c>
      <c r="HD45" s="29">
        <v>0.2</v>
      </c>
      <c r="HE45" s="29">
        <v>0.50539999999999996</v>
      </c>
      <c r="HG45" s="27">
        <v>85</v>
      </c>
      <c r="HH45" s="30">
        <v>8.5099999999999995E-2</v>
      </c>
      <c r="HJ45">
        <f t="shared" si="159"/>
        <v>2048</v>
      </c>
      <c r="HK45" s="28">
        <f t="shared" si="164"/>
        <v>42080</v>
      </c>
      <c r="HL45" s="27">
        <f t="shared" si="162"/>
        <v>10500</v>
      </c>
      <c r="HM45" s="28">
        <f t="shared" si="163"/>
        <v>10364.973256556217</v>
      </c>
      <c r="HO45" t="s">
        <v>170</v>
      </c>
      <c r="HQ45" s="27">
        <v>0.15</v>
      </c>
      <c r="HR45" s="27">
        <v>8.6999999999999994E-2</v>
      </c>
      <c r="HS45" s="27">
        <v>9.8000000000000004E-2</v>
      </c>
      <c r="HT45" s="27">
        <v>8.7900000000000006E-2</v>
      </c>
      <c r="HU45" s="27">
        <v>9.6799999999999997E-2</v>
      </c>
      <c r="HV45" s="27">
        <v>0.2</v>
      </c>
      <c r="HW45" s="27">
        <v>5.0500000000000003E-2</v>
      </c>
      <c r="HX45" s="27">
        <v>0.108</v>
      </c>
      <c r="HY45" s="27">
        <v>0.11</v>
      </c>
      <c r="HZ45" s="27">
        <v>0.1</v>
      </c>
      <c r="IA45" s="27">
        <v>5.0599999999999999E-2</v>
      </c>
      <c r="IB45" s="27">
        <v>6.4000000000000001E-2</v>
      </c>
      <c r="IC45" s="27">
        <v>5.8999999999999997E-2</v>
      </c>
      <c r="ID45" s="27">
        <v>0.04</v>
      </c>
      <c r="IE45" s="27">
        <v>0.1</v>
      </c>
      <c r="IF45" s="27">
        <v>0.1</v>
      </c>
      <c r="IG45" s="27">
        <v>0.1</v>
      </c>
    </row>
    <row r="46" spans="1:241" x14ac:dyDescent="0.25">
      <c r="A46" t="s">
        <v>268</v>
      </c>
      <c r="B46" s="62">
        <f>Inputs_Summary!AJ43</f>
        <v>6846</v>
      </c>
      <c r="D46">
        <f t="shared" si="107"/>
        <v>2056</v>
      </c>
      <c r="E46">
        <f t="shared" si="108"/>
        <v>61</v>
      </c>
      <c r="F46" s="8"/>
      <c r="G46" s="8"/>
      <c r="H46" s="9"/>
      <c r="I46" s="8"/>
      <c r="J46" s="92"/>
      <c r="K46" s="91"/>
      <c r="L46" s="91"/>
      <c r="N46" s="93">
        <f t="shared" si="109"/>
        <v>0.05</v>
      </c>
      <c r="O46" s="23">
        <f t="shared" si="110"/>
        <v>0.4</v>
      </c>
      <c r="P46" s="23">
        <f t="shared" si="111"/>
        <v>0.1</v>
      </c>
      <c r="Q46" s="4">
        <f t="shared" si="169"/>
        <v>0</v>
      </c>
      <c r="R46" s="4">
        <f t="shared" si="269"/>
        <v>0</v>
      </c>
      <c r="S46" s="4">
        <f t="shared" si="113"/>
        <v>0</v>
      </c>
      <c r="T46" s="4">
        <f t="shared" ca="1" si="114"/>
        <v>0</v>
      </c>
      <c r="V46" s="18" t="e">
        <f t="shared" ca="1" si="170"/>
        <v>#NAME?</v>
      </c>
      <c r="W46" s="18" t="e">
        <f t="shared" ca="1" si="171"/>
        <v>#NAME?</v>
      </c>
      <c r="X46" s="18" t="e">
        <f t="shared" ca="1" si="172"/>
        <v>#NAME?</v>
      </c>
      <c r="Y46" s="18">
        <f t="shared" ca="1" si="173"/>
        <v>-12.705384599053533</v>
      </c>
      <c r="Z46" s="18">
        <f t="shared" ca="1" si="174"/>
        <v>0</v>
      </c>
      <c r="AA46" s="18">
        <f t="shared" ca="1" si="175"/>
        <v>5.5433786818672885</v>
      </c>
      <c r="AB46" s="18">
        <f t="shared" ca="1" si="176"/>
        <v>-28.302466900753544</v>
      </c>
      <c r="AC46" s="18">
        <f t="shared" ca="1" si="177"/>
        <v>379.2355825936383</v>
      </c>
      <c r="AD46" s="18">
        <f t="shared" ca="1" si="178"/>
        <v>0</v>
      </c>
      <c r="AE46" s="18">
        <f t="shared" ca="1" si="179"/>
        <v>375.19020688111391</v>
      </c>
      <c r="AF46" s="18">
        <f t="shared" ca="1" si="180"/>
        <v>304.13248600551447</v>
      </c>
      <c r="AG46" s="18">
        <f t="shared" ca="1" si="181"/>
        <v>1058.5582754802667</v>
      </c>
      <c r="AI46">
        <f>Person2!E46</f>
        <v>61</v>
      </c>
      <c r="AJ46">
        <f>Person2!AZ46</f>
        <v>2</v>
      </c>
      <c r="AK46">
        <f>IF($AZ46&lt;&gt;3,Person2!FM46,0)</f>
        <v>0</v>
      </c>
      <c r="AL46" s="4">
        <f ca="1">IF($AZ46&lt;&gt;3,Person2!FN46+Person2!FT46,0)</f>
        <v>0</v>
      </c>
      <c r="AM46">
        <f>IF($AZ46&lt;&gt;3,Person2!FO46,0)</f>
        <v>0</v>
      </c>
      <c r="AN46">
        <f>IF($AZ46&lt;&gt;3,Person2!FP46,0)</f>
        <v>0</v>
      </c>
      <c r="AO46">
        <f>IF($AZ46&lt;&gt;3,Person2!FQ46,0)</f>
        <v>0</v>
      </c>
      <c r="AP46">
        <f>IF($AZ46&lt;&gt;3,Person2!FR46,0)</f>
        <v>0</v>
      </c>
      <c r="AQ46">
        <v>0</v>
      </c>
      <c r="AR46" s="4">
        <f>Person2!FS46</f>
        <v>0</v>
      </c>
      <c r="AS46" s="4">
        <v>0</v>
      </c>
      <c r="AT46" s="4">
        <v>0</v>
      </c>
      <c r="AV46">
        <f t="shared" si="270"/>
        <v>2056</v>
      </c>
      <c r="AW46">
        <f t="shared" si="271"/>
        <v>61</v>
      </c>
      <c r="AX46">
        <f t="shared" si="272"/>
        <v>2.1647447682498568</v>
      </c>
      <c r="AY46">
        <f t="shared" si="118"/>
        <v>0.46194822348894071</v>
      </c>
      <c r="AZ46">
        <f t="shared" si="119"/>
        <v>2</v>
      </c>
      <c r="BB46" s="4">
        <f t="shared" si="182"/>
        <v>0</v>
      </c>
      <c r="BC46">
        <f t="shared" si="183"/>
        <v>0</v>
      </c>
      <c r="BD46" s="4">
        <f t="shared" si="184"/>
        <v>0</v>
      </c>
      <c r="BE46" s="4">
        <f t="shared" si="120"/>
        <v>0</v>
      </c>
      <c r="BF46" s="4">
        <f t="shared" si="121"/>
        <v>47990.481443186116</v>
      </c>
      <c r="BG46" s="4">
        <f t="shared" si="122"/>
        <v>0</v>
      </c>
      <c r="BH46" s="4">
        <f t="shared" si="185"/>
        <v>0</v>
      </c>
      <c r="BI46" s="4">
        <f t="shared" si="123"/>
        <v>47990.481443186116</v>
      </c>
      <c r="BJ46" s="4"/>
      <c r="BK46" s="4">
        <f t="shared" si="186"/>
        <v>108237.23841249284</v>
      </c>
      <c r="BL46" s="4">
        <f t="shared" si="124"/>
        <v>0</v>
      </c>
      <c r="BM46" s="4">
        <f t="shared" si="125"/>
        <v>108237.23841249284</v>
      </c>
      <c r="BN46" s="4">
        <v>16524.775022067704</v>
      </c>
      <c r="BO46" s="4">
        <f t="shared" si="126"/>
        <v>124762.01343456053</v>
      </c>
      <c r="BP46" s="4">
        <f t="shared" si="127"/>
        <v>-76771.531991374417</v>
      </c>
      <c r="BQ46" s="4"/>
      <c r="BR46" s="4">
        <v>0</v>
      </c>
      <c r="BS46" s="4">
        <f t="shared" ca="1" si="187"/>
        <v>0</v>
      </c>
      <c r="BT46" s="4">
        <f t="shared" ca="1" si="188"/>
        <v>12000</v>
      </c>
      <c r="BU46" s="4">
        <f t="shared" si="189"/>
        <v>76771.531991374417</v>
      </c>
      <c r="BV46" s="4">
        <f t="shared" si="190"/>
        <v>1</v>
      </c>
      <c r="BW46" s="4">
        <f t="shared" ca="1" si="191"/>
        <v>27503.914839403438</v>
      </c>
      <c r="BX46" s="4">
        <f t="shared" ca="1" si="192"/>
        <v>0</v>
      </c>
      <c r="BY46" s="4">
        <f t="shared" ca="1" si="193"/>
        <v>61267.617151970975</v>
      </c>
      <c r="BZ46" s="4">
        <f t="shared" ca="1" si="194"/>
        <v>0</v>
      </c>
      <c r="CA46" s="4">
        <f t="shared" ca="1" si="26"/>
        <v>88771.531991374417</v>
      </c>
      <c r="CB46" s="4">
        <f t="shared" ca="1" si="160"/>
        <v>12000</v>
      </c>
      <c r="CC46" s="4"/>
      <c r="CD46" s="4">
        <f t="shared" ca="1" si="195"/>
        <v>136762.01343456053</v>
      </c>
      <c r="CE46" s="4">
        <f t="shared" ca="1" si="128"/>
        <v>101482.30287471354</v>
      </c>
      <c r="CF46" s="16">
        <f t="shared" si="196"/>
        <v>0</v>
      </c>
      <c r="CG46" s="4">
        <f t="shared" si="129"/>
        <v>0</v>
      </c>
      <c r="CH46" s="4" t="e">
        <f t="shared" ca="1" si="197"/>
        <v>#NAME?</v>
      </c>
      <c r="CI46" s="4" t="e">
        <f t="shared" ca="1" si="198"/>
        <v>#NAME?</v>
      </c>
      <c r="CJ46" s="4" t="e">
        <f t="shared" ca="1" si="130"/>
        <v>#NAME?</v>
      </c>
      <c r="CK46" s="4" t="e">
        <f t="shared" ca="1" si="31"/>
        <v>#NAME?</v>
      </c>
      <c r="CL46" s="4" t="e">
        <f t="shared" ca="1" si="199"/>
        <v>#NAME?</v>
      </c>
      <c r="CM46" s="16"/>
      <c r="CN46" s="4" t="e">
        <f t="shared" ca="1" si="200"/>
        <v>#NAME?</v>
      </c>
      <c r="CO46" s="4" t="e">
        <f t="shared" ca="1" si="201"/>
        <v>#NAME?</v>
      </c>
      <c r="CP46" s="4">
        <f t="shared" ca="1" si="279"/>
        <v>2291508.4887334979</v>
      </c>
      <c r="CQ46" s="4"/>
      <c r="CR46" s="4">
        <f t="shared" ca="1" si="202"/>
        <v>12000</v>
      </c>
      <c r="CS46" s="4">
        <f t="shared" ca="1" si="203"/>
        <v>49300</v>
      </c>
      <c r="CT46" s="4">
        <f t="shared" ca="1" si="204"/>
        <v>0</v>
      </c>
      <c r="CU46" s="4"/>
      <c r="CV46" s="4">
        <f t="shared" ca="1" si="132"/>
        <v>12000</v>
      </c>
      <c r="CW46" s="4">
        <f t="shared" ca="1" si="205"/>
        <v>0</v>
      </c>
      <c r="CX46" s="4">
        <f t="shared" ca="1" si="206"/>
        <v>0</v>
      </c>
      <c r="CY46" s="4">
        <f t="shared" ca="1" si="133"/>
        <v>12000</v>
      </c>
      <c r="CZ46" s="4"/>
      <c r="DA46" s="4">
        <f t="shared" ca="1" si="207"/>
        <v>12000</v>
      </c>
      <c r="DB46" s="4">
        <f t="shared" si="208"/>
        <v>0</v>
      </c>
      <c r="DC46" s="4">
        <f t="shared" ca="1" si="134"/>
        <v>0</v>
      </c>
      <c r="DD46" s="4">
        <f t="shared" ca="1" si="209"/>
        <v>0</v>
      </c>
      <c r="DE46" s="4">
        <f t="shared" ca="1" si="210"/>
        <v>0</v>
      </c>
      <c r="DF46" s="4">
        <f t="shared" ca="1" si="135"/>
        <v>0</v>
      </c>
      <c r="DG46" s="4">
        <f t="shared" ca="1" si="136"/>
        <v>0</v>
      </c>
      <c r="DH46" s="4">
        <f t="shared" ca="1" si="211"/>
        <v>0</v>
      </c>
      <c r="DI46" s="4"/>
      <c r="DJ46" s="4">
        <f t="shared" ca="1" si="212"/>
        <v>12000</v>
      </c>
      <c r="DK46" s="4">
        <f t="shared" ca="1" si="213"/>
        <v>12000</v>
      </c>
      <c r="DL46" s="4">
        <f t="shared" ca="1" si="214"/>
        <v>12000</v>
      </c>
      <c r="DM46" s="4">
        <f t="shared" ca="1" si="215"/>
        <v>12000</v>
      </c>
      <c r="DN46" s="4">
        <f t="shared" ca="1" si="216"/>
        <v>12000</v>
      </c>
      <c r="DO46" s="4">
        <f t="shared" ca="1" si="50"/>
        <v>0</v>
      </c>
      <c r="DP46" s="4"/>
      <c r="DQ46" s="4">
        <f t="shared" ca="1" si="217"/>
        <v>0</v>
      </c>
      <c r="DR46" s="4"/>
      <c r="DS46" s="4">
        <f t="shared" si="137"/>
        <v>0</v>
      </c>
      <c r="DT46" s="4">
        <f t="shared" ref="DT46:DT86" ca="1" si="282">IF(AZ46=2,MAX(0,MIN(EB46,DS46-CE46+BR46)),0)</f>
        <v>0</v>
      </c>
      <c r="DU46" s="4">
        <f t="shared" si="218"/>
        <v>0</v>
      </c>
      <c r="DV46" s="4"/>
      <c r="DW46" s="4">
        <f t="shared" ca="1" si="273"/>
        <v>820948.24335376488</v>
      </c>
      <c r="DX46" s="4">
        <f t="shared" ca="1" si="219"/>
        <v>0</v>
      </c>
      <c r="DY46" s="4">
        <f t="shared" ca="1" si="139"/>
        <v>41047.41216768825</v>
      </c>
      <c r="DZ46" s="4">
        <f t="shared" ca="1" si="220"/>
        <v>27503.914839403438</v>
      </c>
      <c r="EA46" s="4">
        <f t="shared" ca="1" si="221"/>
        <v>0</v>
      </c>
      <c r="EB46" s="4">
        <f t="shared" ca="1" si="222"/>
        <v>861995.65552145313</v>
      </c>
      <c r="EC46" s="4">
        <f t="shared" si="223"/>
        <v>1</v>
      </c>
      <c r="ED46" s="4"/>
      <c r="EE46" s="4">
        <f t="shared" ca="1" si="274"/>
        <v>0</v>
      </c>
      <c r="EF46" s="4">
        <f t="shared" ca="1" si="224"/>
        <v>0</v>
      </c>
      <c r="EG46" s="4">
        <f t="shared" ca="1" si="141"/>
        <v>0</v>
      </c>
      <c r="EH46" s="4">
        <f t="shared" ca="1" si="225"/>
        <v>0</v>
      </c>
      <c r="EI46" s="4">
        <f t="shared" ca="1" si="226"/>
        <v>0</v>
      </c>
      <c r="EJ46" s="4">
        <f t="shared" ca="1" si="227"/>
        <v>0</v>
      </c>
      <c r="EK46" s="4">
        <f t="shared" si="228"/>
        <v>1</v>
      </c>
      <c r="EL46" s="4">
        <f t="shared" si="229"/>
        <v>0</v>
      </c>
      <c r="EM46" s="4"/>
      <c r="EN46" s="4">
        <f t="shared" ca="1" si="275"/>
        <v>812191.03744447278</v>
      </c>
      <c r="EO46" s="4">
        <f t="shared" ca="1" si="230"/>
        <v>12000</v>
      </c>
      <c r="EP46" s="4">
        <f t="shared" ca="1" si="143"/>
        <v>40609.551872223645</v>
      </c>
      <c r="EQ46" s="4">
        <f t="shared" ca="1" si="231"/>
        <v>0</v>
      </c>
      <c r="ER46" s="4">
        <v>0</v>
      </c>
      <c r="ES46" s="4">
        <f t="shared" ca="1" si="144"/>
        <v>852800.58931669639</v>
      </c>
      <c r="ET46" s="4"/>
      <c r="EU46" s="4">
        <f t="shared" ca="1" si="276"/>
        <v>658369.20793526014</v>
      </c>
      <c r="EV46" s="4">
        <f t="shared" ca="1" si="232"/>
        <v>0</v>
      </c>
      <c r="EW46" s="4">
        <f t="shared" ca="1" si="146"/>
        <v>32918.46039676301</v>
      </c>
      <c r="EX46" s="4">
        <f t="shared" ca="1" si="233"/>
        <v>61267.617151970975</v>
      </c>
      <c r="EY46" s="4">
        <v>0</v>
      </c>
      <c r="EZ46" s="4">
        <f t="shared" ca="1" si="147"/>
        <v>691287.6683320232</v>
      </c>
      <c r="FA46" s="4">
        <f t="shared" ca="1" si="277"/>
        <v>107155.53130039333</v>
      </c>
      <c r="FB46" s="1">
        <f t="shared" ca="1" si="234"/>
        <v>0.16275902640776346</v>
      </c>
      <c r="FC46" s="4">
        <f t="shared" ca="1" si="149"/>
        <v>13167.384158705205</v>
      </c>
      <c r="FD46" s="4">
        <f t="shared" ca="1" si="150"/>
        <v>16459.230198381505</v>
      </c>
      <c r="FE46" s="4">
        <f t="shared" ca="1" si="235"/>
        <v>4542.7475347532954</v>
      </c>
      <c r="FF46" s="4">
        <f t="shared" ca="1" si="236"/>
        <v>682.32067971994502</v>
      </c>
      <c r="FG46" s="4">
        <f t="shared" ca="1" si="237"/>
        <v>454.27475347532959</v>
      </c>
      <c r="FH46" s="17">
        <f t="shared" ca="1" si="238"/>
        <v>9971.8577179783861</v>
      </c>
      <c r="FI46" s="4">
        <f t="shared" ca="1" si="239"/>
        <v>4985.928858989193</v>
      </c>
      <c r="FJ46" s="4"/>
      <c r="FK46" s="4">
        <f t="shared" ca="1" si="240"/>
        <v>2406083.9131701728</v>
      </c>
      <c r="FL46" s="4"/>
      <c r="FM46" s="4">
        <v>0</v>
      </c>
      <c r="FN46" s="4">
        <f t="shared" si="241"/>
        <v>0</v>
      </c>
      <c r="FO46" s="4">
        <f t="shared" si="242"/>
        <v>0</v>
      </c>
      <c r="FP46" s="4">
        <f t="shared" si="243"/>
        <v>0</v>
      </c>
      <c r="FQ46" s="4">
        <f t="shared" si="244"/>
        <v>0</v>
      </c>
      <c r="FR46" s="4">
        <f t="shared" si="245"/>
        <v>0</v>
      </c>
      <c r="FS46" s="4">
        <f t="shared" si="246"/>
        <v>15996.827147728705</v>
      </c>
      <c r="FT46" s="4">
        <f t="shared" ca="1" si="247"/>
        <v>0</v>
      </c>
      <c r="FU46" s="4"/>
      <c r="FV46" s="3">
        <f t="shared" si="248"/>
        <v>0.46194822348894071</v>
      </c>
      <c r="FW46" s="3">
        <f t="shared" si="249"/>
        <v>0.46194822348894071</v>
      </c>
      <c r="FX46" s="4">
        <f t="shared" si="151"/>
        <v>2056</v>
      </c>
      <c r="FY46" s="18">
        <f t="shared" si="250"/>
        <v>0</v>
      </c>
      <c r="FZ46" s="18">
        <f t="shared" si="251"/>
        <v>0</v>
      </c>
      <c r="GA46" s="18">
        <f t="shared" si="252"/>
        <v>0</v>
      </c>
      <c r="GB46" s="18">
        <f t="shared" si="253"/>
        <v>22.169117647058805</v>
      </c>
      <c r="GC46" s="18">
        <f t="shared" ca="1" si="254"/>
        <v>12.705384599053533</v>
      </c>
      <c r="GD46" s="18">
        <f t="shared" ca="1" si="255"/>
        <v>0</v>
      </c>
      <c r="GE46" s="18">
        <f t="shared" ca="1" si="256"/>
        <v>28.302466900753544</v>
      </c>
      <c r="GF46" s="18">
        <f t="shared" ca="1" si="257"/>
        <v>0</v>
      </c>
      <c r="GG46" s="18" t="e">
        <f t="shared" ca="1" si="258"/>
        <v>#NAME?</v>
      </c>
      <c r="GH46" s="18" t="e">
        <f t="shared" ca="1" si="259"/>
        <v>#NAME?</v>
      </c>
      <c r="GI46" s="4"/>
      <c r="GJ46" s="4">
        <f t="shared" si="260"/>
        <v>2056</v>
      </c>
      <c r="GK46" s="4">
        <f t="shared" ca="1" si="261"/>
        <v>379.2355825936383</v>
      </c>
      <c r="GL46" s="4">
        <f t="shared" ca="1" si="262"/>
        <v>0</v>
      </c>
      <c r="GM46" s="4">
        <f t="shared" ca="1" si="263"/>
        <v>375.19020688111391</v>
      </c>
      <c r="GN46" s="4">
        <f t="shared" ca="1" si="264"/>
        <v>304.13248600551447</v>
      </c>
      <c r="GO46" s="4"/>
      <c r="GP46" s="3">
        <f t="shared" ca="1" si="152"/>
        <v>0.35825668872276256</v>
      </c>
      <c r="GQ46" s="3">
        <f t="shared" ca="1" si="265"/>
        <v>0</v>
      </c>
      <c r="GR46" s="3">
        <f t="shared" ca="1" si="266"/>
        <v>0.28730821254741962</v>
      </c>
      <c r="GS46" s="3">
        <f t="shared" ca="1" si="267"/>
        <v>0.35443509872981771</v>
      </c>
      <c r="GT46" s="3">
        <f t="array" aca="1" ref="GT46" ca="1">SUM(GP46:GS46*$GU$6:$GX$6)</f>
        <v>0.99999999999999989</v>
      </c>
      <c r="GU46" s="3">
        <f t="shared" ca="1" si="155"/>
        <v>0.35825668872276262</v>
      </c>
      <c r="GV46" s="3">
        <f t="shared" ca="1" si="156"/>
        <v>0</v>
      </c>
      <c r="GW46" s="3">
        <f t="shared" ca="1" si="157"/>
        <v>0.28730821254741967</v>
      </c>
      <c r="GX46" s="3">
        <f t="shared" ca="1" si="158"/>
        <v>0.35443509872981777</v>
      </c>
      <c r="GY46" s="11"/>
      <c r="GZ46" s="27">
        <v>88</v>
      </c>
      <c r="HA46" s="30">
        <v>0.1021</v>
      </c>
      <c r="HB46" s="29">
        <f t="shared" ca="1" si="153"/>
        <v>1</v>
      </c>
      <c r="HC46" s="29">
        <v>1</v>
      </c>
      <c r="HD46" s="29">
        <v>0.2</v>
      </c>
      <c r="HE46" s="29">
        <v>1</v>
      </c>
      <c r="HG46" s="27">
        <v>86</v>
      </c>
      <c r="HH46" s="30">
        <v>8.9899999999999994E-2</v>
      </c>
      <c r="HJ46">
        <f t="shared" si="159"/>
        <v>2049</v>
      </c>
      <c r="HK46" s="28">
        <f t="shared" si="164"/>
        <v>42920</v>
      </c>
      <c r="HL46" s="27">
        <f t="shared" si="162"/>
        <v>10500</v>
      </c>
      <c r="HM46" s="28">
        <f t="shared" si="163"/>
        <v>10572.272721687341</v>
      </c>
    </row>
    <row r="47" spans="1:241" x14ac:dyDescent="0.25">
      <c r="A47" s="15" t="s">
        <v>83</v>
      </c>
      <c r="D47">
        <f t="shared" si="107"/>
        <v>2057</v>
      </c>
      <c r="E47">
        <f t="shared" si="108"/>
        <v>62</v>
      </c>
      <c r="F47" s="8"/>
      <c r="G47" s="8"/>
      <c r="H47" s="9"/>
      <c r="I47" s="8"/>
      <c r="J47" s="92"/>
      <c r="K47" s="91"/>
      <c r="L47" s="91"/>
      <c r="N47" s="93">
        <f t="shared" si="109"/>
        <v>0.05</v>
      </c>
      <c r="O47" s="23">
        <f t="shared" si="110"/>
        <v>0.4</v>
      </c>
      <c r="P47" s="23">
        <f t="shared" si="111"/>
        <v>0.1</v>
      </c>
      <c r="Q47" s="4">
        <f t="shared" si="169"/>
        <v>0</v>
      </c>
      <c r="R47" s="4">
        <f t="shared" si="269"/>
        <v>0</v>
      </c>
      <c r="S47" s="4">
        <f t="shared" si="113"/>
        <v>0</v>
      </c>
      <c r="T47" s="4">
        <f t="shared" ca="1" si="114"/>
        <v>0</v>
      </c>
      <c r="V47" s="18" t="e">
        <f t="shared" ca="1" si="170"/>
        <v>#NAME?</v>
      </c>
      <c r="W47" s="18" t="e">
        <f t="shared" ca="1" si="171"/>
        <v>#NAME?</v>
      </c>
      <c r="X47" s="18" t="e">
        <f t="shared" ca="1" si="172"/>
        <v>#NAME?</v>
      </c>
      <c r="Y47" s="18">
        <f t="shared" ca="1" si="173"/>
        <v>-12.759825127969581</v>
      </c>
      <c r="Z47" s="18">
        <f t="shared" ca="1" si="174"/>
        <v>0</v>
      </c>
      <c r="AA47" s="18">
        <f t="shared" ca="1" si="175"/>
        <v>5.6611301898154496</v>
      </c>
      <c r="AB47" s="18">
        <f t="shared" ca="1" si="176"/>
        <v>-28.517737440150427</v>
      </c>
      <c r="AC47" s="18">
        <f t="shared" ca="1" si="177"/>
        <v>377.93331090614373</v>
      </c>
      <c r="AD47" s="18">
        <f t="shared" ca="1" si="178"/>
        <v>0</v>
      </c>
      <c r="AE47" s="18">
        <f t="shared" ca="1" si="179"/>
        <v>391.65989794807535</v>
      </c>
      <c r="AF47" s="18">
        <f t="shared" ca="1" si="180"/>
        <v>285.33004255395747</v>
      </c>
      <c r="AG47" s="18">
        <f t="shared" ca="1" si="181"/>
        <v>1054.9232514081764</v>
      </c>
      <c r="AI47">
        <f>Person2!E47</f>
        <v>62</v>
      </c>
      <c r="AJ47">
        <f>Person2!AZ47</f>
        <v>2</v>
      </c>
      <c r="AK47">
        <f>IF($AZ47&lt;&gt;3,Person2!FM47,0)</f>
        <v>0</v>
      </c>
      <c r="AL47" s="4">
        <f ca="1">IF($AZ47&lt;&gt;3,Person2!FN47+Person2!FT47,0)</f>
        <v>0</v>
      </c>
      <c r="AM47">
        <f>IF($AZ47&lt;&gt;3,Person2!FO47,0)</f>
        <v>0</v>
      </c>
      <c r="AN47">
        <f>IF($AZ47&lt;&gt;3,Person2!FP47,0)</f>
        <v>0</v>
      </c>
      <c r="AO47">
        <f>IF($AZ47&lt;&gt;3,Person2!FQ47,0)</f>
        <v>0</v>
      </c>
      <c r="AP47">
        <f>IF($AZ47&lt;&gt;3,Person2!FR47,0)</f>
        <v>0</v>
      </c>
      <c r="AQ47">
        <v>0</v>
      </c>
      <c r="AR47" s="4">
        <f>Person2!FS47</f>
        <v>0</v>
      </c>
      <c r="AS47" s="4">
        <v>0</v>
      </c>
      <c r="AT47" s="4">
        <v>0</v>
      </c>
      <c r="AV47">
        <f t="shared" si="270"/>
        <v>2057</v>
      </c>
      <c r="AW47">
        <f t="shared" si="271"/>
        <v>62</v>
      </c>
      <c r="AX47">
        <f t="shared" si="272"/>
        <v>2.208039663614854</v>
      </c>
      <c r="AY47">
        <f t="shared" si="118"/>
        <v>0.45289041518523598</v>
      </c>
      <c r="AZ47">
        <f t="shared" si="119"/>
        <v>2</v>
      </c>
      <c r="BB47" s="4">
        <f t="shared" si="182"/>
        <v>0</v>
      </c>
      <c r="BC47">
        <f t="shared" si="183"/>
        <v>0</v>
      </c>
      <c r="BD47" s="4">
        <f t="shared" si="184"/>
        <v>0</v>
      </c>
      <c r="BE47" s="4">
        <f t="shared" si="120"/>
        <v>0</v>
      </c>
      <c r="BF47" s="4">
        <f t="shared" si="121"/>
        <v>48230.433850402042</v>
      </c>
      <c r="BG47" s="4">
        <f t="shared" si="122"/>
        <v>0</v>
      </c>
      <c r="BH47" s="4">
        <f t="shared" si="185"/>
        <v>0</v>
      </c>
      <c r="BI47" s="4">
        <f t="shared" si="123"/>
        <v>48230.433850402042</v>
      </c>
      <c r="BJ47" s="4"/>
      <c r="BK47" s="4">
        <f t="shared" si="186"/>
        <v>110401.9831807427</v>
      </c>
      <c r="BL47" s="4">
        <f t="shared" si="124"/>
        <v>0</v>
      </c>
      <c r="BM47" s="4">
        <f t="shared" si="125"/>
        <v>110401.9831807427</v>
      </c>
      <c r="BN47" s="4">
        <v>16470.946037412134</v>
      </c>
      <c r="BO47" s="4">
        <f t="shared" si="126"/>
        <v>126872.92921815484</v>
      </c>
      <c r="BP47" s="4">
        <f t="shared" si="127"/>
        <v>-78642.495367752796</v>
      </c>
      <c r="BQ47" s="4"/>
      <c r="BR47" s="4">
        <v>0</v>
      </c>
      <c r="BS47" s="4">
        <f t="shared" ca="1" si="187"/>
        <v>0</v>
      </c>
      <c r="BT47" s="4">
        <f t="shared" ca="1" si="188"/>
        <v>12500</v>
      </c>
      <c r="BU47" s="4">
        <f t="shared" si="189"/>
        <v>78642.495367752796</v>
      </c>
      <c r="BV47" s="4">
        <f t="shared" si="190"/>
        <v>1</v>
      </c>
      <c r="BW47" s="4">
        <f t="shared" ca="1" si="191"/>
        <v>28174.199983346316</v>
      </c>
      <c r="BX47" s="4">
        <f t="shared" ca="1" si="192"/>
        <v>0</v>
      </c>
      <c r="BY47" s="4">
        <f t="shared" ca="1" si="193"/>
        <v>62968.295384406476</v>
      </c>
      <c r="BZ47" s="4">
        <f t="shared" ca="1" si="194"/>
        <v>0</v>
      </c>
      <c r="CA47" s="4">
        <f t="shared" ca="1" si="26"/>
        <v>91142.495367752796</v>
      </c>
      <c r="CB47" s="4">
        <f t="shared" ca="1" si="160"/>
        <v>12500</v>
      </c>
      <c r="CC47" s="4"/>
      <c r="CD47" s="4">
        <f t="shared" ca="1" si="195"/>
        <v>139372.92921815484</v>
      </c>
      <c r="CE47" s="4">
        <f t="shared" ca="1" si="128"/>
        <v>102016.87414204475</v>
      </c>
      <c r="CF47" s="16">
        <f t="shared" si="196"/>
        <v>0</v>
      </c>
      <c r="CG47" s="4">
        <f t="shared" si="129"/>
        <v>0</v>
      </c>
      <c r="CH47" s="4" t="e">
        <f t="shared" ca="1" si="197"/>
        <v>#NAME?</v>
      </c>
      <c r="CI47" s="4" t="e">
        <f t="shared" ca="1" si="198"/>
        <v>#NAME?</v>
      </c>
      <c r="CJ47" s="4" t="e">
        <f t="shared" ca="1" si="130"/>
        <v>#NAME?</v>
      </c>
      <c r="CK47" s="4" t="e">
        <f t="shared" ca="1" si="31"/>
        <v>#NAME?</v>
      </c>
      <c r="CL47" s="4" t="e">
        <f t="shared" ca="1" si="199"/>
        <v>#NAME?</v>
      </c>
      <c r="CM47" s="16"/>
      <c r="CN47" s="4" t="e">
        <f t="shared" ca="1" si="200"/>
        <v>#NAME?</v>
      </c>
      <c r="CO47" s="4" t="e">
        <f t="shared" ca="1" si="201"/>
        <v>#NAME?</v>
      </c>
      <c r="CP47" s="4">
        <f t="shared" ca="1" si="279"/>
        <v>2329312.3811787982</v>
      </c>
      <c r="CQ47" s="4"/>
      <c r="CR47" s="4">
        <f t="shared" ca="1" si="202"/>
        <v>12500</v>
      </c>
      <c r="CS47" s="4">
        <f t="shared" ca="1" si="203"/>
        <v>50290</v>
      </c>
      <c r="CT47" s="4">
        <f t="shared" ca="1" si="204"/>
        <v>0</v>
      </c>
      <c r="CU47" s="4"/>
      <c r="CV47" s="4">
        <f t="shared" ca="1" si="132"/>
        <v>12500</v>
      </c>
      <c r="CW47" s="4">
        <f t="shared" ca="1" si="205"/>
        <v>0</v>
      </c>
      <c r="CX47" s="4">
        <f t="shared" ca="1" si="206"/>
        <v>0</v>
      </c>
      <c r="CY47" s="4">
        <f t="shared" ca="1" si="133"/>
        <v>12500</v>
      </c>
      <c r="CZ47" s="4"/>
      <c r="DA47" s="4">
        <f t="shared" ca="1" si="207"/>
        <v>12500</v>
      </c>
      <c r="DB47" s="4">
        <f t="shared" si="208"/>
        <v>0</v>
      </c>
      <c r="DC47" s="4">
        <f t="shared" ca="1" si="134"/>
        <v>0</v>
      </c>
      <c r="DD47" s="4">
        <f t="shared" ca="1" si="209"/>
        <v>0</v>
      </c>
      <c r="DE47" s="4">
        <f t="shared" ca="1" si="210"/>
        <v>0</v>
      </c>
      <c r="DF47" s="4">
        <f t="shared" ca="1" si="135"/>
        <v>0</v>
      </c>
      <c r="DG47" s="4">
        <f t="shared" ca="1" si="136"/>
        <v>0</v>
      </c>
      <c r="DH47" s="4">
        <f t="shared" ca="1" si="211"/>
        <v>0</v>
      </c>
      <c r="DI47" s="4"/>
      <c r="DJ47" s="4">
        <f t="shared" ca="1" si="212"/>
        <v>12500</v>
      </c>
      <c r="DK47" s="4">
        <f t="shared" ca="1" si="213"/>
        <v>12500</v>
      </c>
      <c r="DL47" s="4">
        <f t="shared" ca="1" si="214"/>
        <v>12500</v>
      </c>
      <c r="DM47" s="4">
        <f t="shared" ca="1" si="215"/>
        <v>12500</v>
      </c>
      <c r="DN47" s="4">
        <f t="shared" ca="1" si="216"/>
        <v>12500</v>
      </c>
      <c r="DO47" s="4">
        <f t="shared" ca="1" si="50"/>
        <v>0</v>
      </c>
      <c r="DP47" s="4"/>
      <c r="DQ47" s="4">
        <f t="shared" ca="1" si="217"/>
        <v>0</v>
      </c>
      <c r="DR47" s="4"/>
      <c r="DS47" s="4">
        <f t="shared" si="137"/>
        <v>0</v>
      </c>
      <c r="DT47" s="4">
        <f t="shared" ca="1" si="282"/>
        <v>0</v>
      </c>
      <c r="DU47" s="4">
        <f t="shared" si="218"/>
        <v>0</v>
      </c>
      <c r="DV47" s="4"/>
      <c r="DW47" s="4">
        <f t="shared" ca="1" si="273"/>
        <v>834491.74068204965</v>
      </c>
      <c r="DX47" s="4">
        <f t="shared" ca="1" si="219"/>
        <v>0</v>
      </c>
      <c r="DY47" s="4">
        <f t="shared" ca="1" si="139"/>
        <v>41724.587034102486</v>
      </c>
      <c r="DZ47" s="4">
        <f t="shared" ca="1" si="220"/>
        <v>28174.199983346316</v>
      </c>
      <c r="EA47" s="4">
        <f t="shared" ca="1" si="221"/>
        <v>0</v>
      </c>
      <c r="EB47" s="4">
        <f t="shared" ca="1" si="222"/>
        <v>876216.32771615218</v>
      </c>
      <c r="EC47" s="4">
        <f t="shared" si="223"/>
        <v>1</v>
      </c>
      <c r="ED47" s="4"/>
      <c r="EE47" s="4">
        <f t="shared" ca="1" si="274"/>
        <v>0</v>
      </c>
      <c r="EF47" s="4">
        <f t="shared" ca="1" si="224"/>
        <v>0</v>
      </c>
      <c r="EG47" s="4">
        <f t="shared" ca="1" si="141"/>
        <v>0</v>
      </c>
      <c r="EH47" s="4">
        <f t="shared" ca="1" si="225"/>
        <v>0</v>
      </c>
      <c r="EI47" s="4">
        <f t="shared" ca="1" si="226"/>
        <v>0</v>
      </c>
      <c r="EJ47" s="4">
        <f t="shared" ca="1" si="227"/>
        <v>0</v>
      </c>
      <c r="EK47" s="4">
        <f t="shared" si="228"/>
        <v>1</v>
      </c>
      <c r="EL47" s="4">
        <f t="shared" si="229"/>
        <v>0</v>
      </c>
      <c r="EM47" s="4"/>
      <c r="EN47" s="4">
        <f t="shared" ca="1" si="275"/>
        <v>864800.58931669639</v>
      </c>
      <c r="EO47" s="4">
        <f t="shared" ca="1" si="230"/>
        <v>12500</v>
      </c>
      <c r="EP47" s="4">
        <f t="shared" ca="1" si="143"/>
        <v>43240.029465834821</v>
      </c>
      <c r="EQ47" s="4">
        <f t="shared" ca="1" si="231"/>
        <v>0</v>
      </c>
      <c r="ER47" s="4">
        <v>0</v>
      </c>
      <c r="ES47" s="4">
        <f t="shared" ca="1" si="144"/>
        <v>908040.61878253124</v>
      </c>
      <c r="ET47" s="4"/>
      <c r="EU47" s="4">
        <f t="shared" ca="1" si="276"/>
        <v>630020.05118005222</v>
      </c>
      <c r="EV47" s="4">
        <f t="shared" ca="1" si="232"/>
        <v>0</v>
      </c>
      <c r="EW47" s="4">
        <f t="shared" ca="1" si="146"/>
        <v>31501.002559002613</v>
      </c>
      <c r="EX47" s="4">
        <f t="shared" ca="1" si="233"/>
        <v>62968.295384406476</v>
      </c>
      <c r="EY47" s="4">
        <v>0</v>
      </c>
      <c r="EZ47" s="4">
        <f t="shared" ca="1" si="147"/>
        <v>661521.05373905483</v>
      </c>
      <c r="FA47" s="4">
        <f t="shared" ca="1" si="277"/>
        <v>110351.05774112014</v>
      </c>
      <c r="FB47" s="1">
        <f t="shared" ca="1" si="234"/>
        <v>0.17515483441269572</v>
      </c>
      <c r="FC47" s="4">
        <f t="shared" ca="1" si="149"/>
        <v>12600.401023601045</v>
      </c>
      <c r="FD47" s="4">
        <f t="shared" ca="1" si="150"/>
        <v>15750.501279501306</v>
      </c>
      <c r="FE47" s="4">
        <f t="shared" ca="1" si="235"/>
        <v>4347.1383531423608</v>
      </c>
      <c r="FF47" s="4">
        <f t="shared" ca="1" si="236"/>
        <v>652.94018064198258</v>
      </c>
      <c r="FG47" s="4">
        <f t="shared" ca="1" si="237"/>
        <v>434.71383531423612</v>
      </c>
      <c r="FH47" s="17">
        <f t="shared" ca="1" si="238"/>
        <v>11029.201351305428</v>
      </c>
      <c r="FI47" s="4">
        <f t="shared" ca="1" si="239"/>
        <v>5514.600675652714</v>
      </c>
      <c r="FJ47" s="4"/>
      <c r="FK47" s="4">
        <f t="shared" ca="1" si="240"/>
        <v>2445778.0002377382</v>
      </c>
      <c r="FL47" s="4"/>
      <c r="FM47" s="4">
        <v>0</v>
      </c>
      <c r="FN47" s="4">
        <f t="shared" si="241"/>
        <v>0</v>
      </c>
      <c r="FO47" s="4">
        <f t="shared" si="242"/>
        <v>0</v>
      </c>
      <c r="FP47" s="4">
        <f t="shared" si="243"/>
        <v>0</v>
      </c>
      <c r="FQ47" s="4">
        <f t="shared" si="244"/>
        <v>0</v>
      </c>
      <c r="FR47" s="4">
        <f t="shared" si="245"/>
        <v>0</v>
      </c>
      <c r="FS47" s="4">
        <f t="shared" si="246"/>
        <v>16076.811283467347</v>
      </c>
      <c r="FT47" s="4">
        <f t="shared" ca="1" si="247"/>
        <v>0</v>
      </c>
      <c r="FU47" s="4"/>
      <c r="FV47" s="3">
        <f t="shared" si="248"/>
        <v>0.45289041518523598</v>
      </c>
      <c r="FW47" s="3">
        <f t="shared" si="249"/>
        <v>0.45289041518523598</v>
      </c>
      <c r="FX47" s="4">
        <f t="shared" si="151"/>
        <v>2057</v>
      </c>
      <c r="FY47" s="18">
        <f t="shared" si="250"/>
        <v>0</v>
      </c>
      <c r="FZ47" s="18">
        <f t="shared" si="251"/>
        <v>0</v>
      </c>
      <c r="GA47" s="18">
        <f t="shared" si="252"/>
        <v>0</v>
      </c>
      <c r="GB47" s="18">
        <f t="shared" si="253"/>
        <v>21.843101211072639</v>
      </c>
      <c r="GC47" s="18">
        <f t="shared" ca="1" si="254"/>
        <v>12.759825127969581</v>
      </c>
      <c r="GD47" s="18">
        <f t="shared" ca="1" si="255"/>
        <v>0</v>
      </c>
      <c r="GE47" s="18">
        <f t="shared" ca="1" si="256"/>
        <v>28.517737440150427</v>
      </c>
      <c r="GF47" s="18">
        <f t="shared" ca="1" si="257"/>
        <v>0</v>
      </c>
      <c r="GG47" s="18" t="e">
        <f t="shared" ca="1" si="258"/>
        <v>#NAME?</v>
      </c>
      <c r="GH47" s="18" t="e">
        <f t="shared" ca="1" si="259"/>
        <v>#NAME?</v>
      </c>
      <c r="GI47" s="4"/>
      <c r="GJ47" s="4">
        <f t="shared" si="260"/>
        <v>2057</v>
      </c>
      <c r="GK47" s="4">
        <f t="shared" ca="1" si="261"/>
        <v>377.93331090614373</v>
      </c>
      <c r="GL47" s="4">
        <f t="shared" ca="1" si="262"/>
        <v>0</v>
      </c>
      <c r="GM47" s="4">
        <f t="shared" ca="1" si="263"/>
        <v>391.65989794807535</v>
      </c>
      <c r="GN47" s="4">
        <f t="shared" ca="1" si="264"/>
        <v>285.33004255395747</v>
      </c>
      <c r="GO47" s="4"/>
      <c r="GP47" s="3">
        <f t="shared" ca="1" si="152"/>
        <v>0.35825668872276262</v>
      </c>
      <c r="GQ47" s="3">
        <f t="shared" ca="1" si="265"/>
        <v>0</v>
      </c>
      <c r="GR47" s="3">
        <f t="shared" ca="1" si="266"/>
        <v>0.27047469299124965</v>
      </c>
      <c r="GS47" s="3">
        <f t="shared" ca="1" si="267"/>
        <v>0.37126861828598773</v>
      </c>
      <c r="GT47" s="3">
        <f t="array" aca="1" ref="GT47" ca="1">SUM(GP47:GS47*$GU$6:$GX$6)</f>
        <v>1</v>
      </c>
      <c r="GU47" s="3">
        <f t="shared" ca="1" si="155"/>
        <v>0.35825668872276262</v>
      </c>
      <c r="GV47" s="3">
        <f t="shared" ca="1" si="156"/>
        <v>0</v>
      </c>
      <c r="GW47" s="3">
        <f t="shared" ca="1" si="157"/>
        <v>0.27047469299124965</v>
      </c>
      <c r="GX47" s="3">
        <f t="shared" ca="1" si="158"/>
        <v>0.37126861828598773</v>
      </c>
      <c r="GY47" s="11"/>
      <c r="GZ47" s="27">
        <v>89</v>
      </c>
      <c r="HA47" s="30">
        <v>0.1099</v>
      </c>
      <c r="HB47" s="29">
        <f t="shared" ca="1" si="153"/>
        <v>1</v>
      </c>
      <c r="HC47" s="29">
        <v>1</v>
      </c>
      <c r="HD47" s="29">
        <v>0.2</v>
      </c>
      <c r="HE47" s="29">
        <v>1</v>
      </c>
      <c r="HG47" s="27">
        <v>87</v>
      </c>
      <c r="HH47" s="30">
        <v>9.5500000000000002E-2</v>
      </c>
      <c r="HJ47">
        <f t="shared" si="159"/>
        <v>2050</v>
      </c>
      <c r="HK47" s="28">
        <f t="shared" si="164"/>
        <v>43780</v>
      </c>
      <c r="HL47" s="27">
        <f t="shared" si="162"/>
        <v>11000</v>
      </c>
      <c r="HM47" s="28">
        <f t="shared" si="163"/>
        <v>10783.718176121089</v>
      </c>
      <c r="HO47" t="s">
        <v>171</v>
      </c>
      <c r="HQ47" s="27">
        <v>11635</v>
      </c>
      <c r="HR47" s="27">
        <v>8978</v>
      </c>
      <c r="HS47" s="27">
        <v>8000</v>
      </c>
      <c r="HT47" s="27">
        <v>8481</v>
      </c>
      <c r="HU47" s="27">
        <v>9895</v>
      </c>
      <c r="HV47" s="27">
        <v>11635</v>
      </c>
      <c r="HW47" s="27">
        <v>10171</v>
      </c>
      <c r="HX47" s="27">
        <v>9271</v>
      </c>
      <c r="HY47" s="27">
        <v>16065</v>
      </c>
      <c r="HZ47" s="27">
        <v>18690</v>
      </c>
      <c r="IA47" s="27">
        <v>10208</v>
      </c>
      <c r="IB47" s="27">
        <v>11635</v>
      </c>
      <c r="IC47" s="27">
        <v>14278</v>
      </c>
      <c r="ID47" s="27">
        <v>13128</v>
      </c>
      <c r="IE47" s="27">
        <v>11635</v>
      </c>
      <c r="IF47" s="27">
        <v>11635</v>
      </c>
      <c r="IG47" s="27">
        <v>11635</v>
      </c>
    </row>
    <row r="48" spans="1:241" x14ac:dyDescent="0.25">
      <c r="A48" t="s">
        <v>54</v>
      </c>
      <c r="B48" s="62">
        <f>Inputs_Summary!AJ45</f>
        <v>71</v>
      </c>
      <c r="D48">
        <f t="shared" si="107"/>
        <v>2058</v>
      </c>
      <c r="E48">
        <f t="shared" si="108"/>
        <v>63</v>
      </c>
      <c r="F48" s="8"/>
      <c r="G48" s="8"/>
      <c r="H48" s="8"/>
      <c r="I48" s="8"/>
      <c r="J48" s="92"/>
      <c r="K48" s="91"/>
      <c r="L48" s="91"/>
      <c r="N48" s="93">
        <f t="shared" si="109"/>
        <v>0.05</v>
      </c>
      <c r="O48" s="23">
        <f t="shared" si="110"/>
        <v>0.4</v>
      </c>
      <c r="P48" s="23">
        <f t="shared" si="111"/>
        <v>0.1</v>
      </c>
      <c r="Q48" s="4">
        <f t="shared" si="169"/>
        <v>0</v>
      </c>
      <c r="R48" s="4">
        <f t="shared" si="269"/>
        <v>0</v>
      </c>
      <c r="S48" s="4">
        <f t="shared" si="113"/>
        <v>0</v>
      </c>
      <c r="T48" s="4">
        <f t="shared" ca="1" si="114"/>
        <v>0</v>
      </c>
      <c r="V48" s="18" t="e">
        <f t="shared" ca="1" si="170"/>
        <v>#NAME?</v>
      </c>
      <c r="W48" s="18" t="e">
        <f t="shared" ca="1" si="171"/>
        <v>#NAME?</v>
      </c>
      <c r="X48" s="18" t="e">
        <f t="shared" ca="1" si="172"/>
        <v>#NAME?</v>
      </c>
      <c r="Y48" s="18">
        <f t="shared" ca="1" si="173"/>
        <v>-12.816832284370241</v>
      </c>
      <c r="Z48" s="18">
        <f t="shared" ca="1" si="174"/>
        <v>0</v>
      </c>
      <c r="AA48" s="18">
        <f t="shared" ca="1" si="175"/>
        <v>5.5501276370739703</v>
      </c>
      <c r="AB48" s="18">
        <f t="shared" ca="1" si="176"/>
        <v>-28.508851505093013</v>
      </c>
      <c r="AC48" s="18">
        <f t="shared" ca="1" si="177"/>
        <v>376.53936404262885</v>
      </c>
      <c r="AD48" s="18">
        <f t="shared" ca="1" si="178"/>
        <v>0</v>
      </c>
      <c r="AE48" s="18">
        <f t="shared" ca="1" si="179"/>
        <v>408.72943434832803</v>
      </c>
      <c r="AF48" s="18">
        <f t="shared" ca="1" si="180"/>
        <v>265.76353651127937</v>
      </c>
      <c r="AG48" s="18">
        <f t="shared" ca="1" si="181"/>
        <v>1051.0323349022362</v>
      </c>
      <c r="AI48">
        <f>Person2!E48</f>
        <v>63</v>
      </c>
      <c r="AJ48">
        <f>Person2!AZ48</f>
        <v>2</v>
      </c>
      <c r="AK48">
        <f>IF($AZ48&lt;&gt;3,Person2!FM48,0)</f>
        <v>0</v>
      </c>
      <c r="AL48" s="4">
        <f ca="1">IF($AZ48&lt;&gt;3,Person2!FN48+Person2!FT48,0)</f>
        <v>0</v>
      </c>
      <c r="AM48">
        <f>IF($AZ48&lt;&gt;3,Person2!FO48,0)</f>
        <v>0</v>
      </c>
      <c r="AN48">
        <f>IF($AZ48&lt;&gt;3,Person2!FP48,0)</f>
        <v>0</v>
      </c>
      <c r="AO48">
        <f>IF($AZ48&lt;&gt;3,Person2!FQ48,0)</f>
        <v>0</v>
      </c>
      <c r="AP48">
        <f>IF($AZ48&lt;&gt;3,Person2!FR48,0)</f>
        <v>0</v>
      </c>
      <c r="AQ48">
        <v>0</v>
      </c>
      <c r="AR48" s="4">
        <f>Person2!FS48</f>
        <v>0</v>
      </c>
      <c r="AS48" s="4">
        <v>0</v>
      </c>
      <c r="AT48" s="4">
        <v>0</v>
      </c>
      <c r="AV48">
        <f t="shared" si="270"/>
        <v>2058</v>
      </c>
      <c r="AW48">
        <f t="shared" si="271"/>
        <v>63</v>
      </c>
      <c r="AX48">
        <f t="shared" si="272"/>
        <v>2.252200456887151</v>
      </c>
      <c r="AY48">
        <f t="shared" si="118"/>
        <v>0.44401021096591764</v>
      </c>
      <c r="AZ48">
        <f t="shared" si="119"/>
        <v>2</v>
      </c>
      <c r="BB48" s="4">
        <f t="shared" si="182"/>
        <v>0</v>
      </c>
      <c r="BC48">
        <f t="shared" si="183"/>
        <v>0</v>
      </c>
      <c r="BD48" s="4">
        <f t="shared" si="184"/>
        <v>0</v>
      </c>
      <c r="BE48" s="4">
        <f t="shared" si="120"/>
        <v>0</v>
      </c>
      <c r="BF48" s="4">
        <f t="shared" si="121"/>
        <v>48471.586019654045</v>
      </c>
      <c r="BG48" s="4">
        <f t="shared" si="122"/>
        <v>0</v>
      </c>
      <c r="BH48" s="4">
        <f t="shared" si="185"/>
        <v>0</v>
      </c>
      <c r="BI48" s="4">
        <f t="shared" si="123"/>
        <v>48471.586019654045</v>
      </c>
      <c r="BJ48" s="4"/>
      <c r="BK48" s="4">
        <f t="shared" si="186"/>
        <v>112610.02284435755</v>
      </c>
      <c r="BL48" s="4">
        <f t="shared" si="124"/>
        <v>0</v>
      </c>
      <c r="BM48" s="4">
        <f t="shared" si="125"/>
        <v>112610.02284435755</v>
      </c>
      <c r="BN48" s="4">
        <v>16435.287087099568</v>
      </c>
      <c r="BO48" s="4">
        <f t="shared" si="126"/>
        <v>129045.30993145712</v>
      </c>
      <c r="BP48" s="4">
        <f t="shared" si="127"/>
        <v>-80573.72391180307</v>
      </c>
      <c r="BQ48" s="4"/>
      <c r="BR48" s="4">
        <v>0</v>
      </c>
      <c r="BS48" s="4">
        <f t="shared" ca="1" si="187"/>
        <v>0</v>
      </c>
      <c r="BT48" s="4">
        <f t="shared" ca="1" si="188"/>
        <v>12500</v>
      </c>
      <c r="BU48" s="4">
        <f t="shared" si="189"/>
        <v>80573.72391180307</v>
      </c>
      <c r="BV48" s="4">
        <f t="shared" si="190"/>
        <v>1</v>
      </c>
      <c r="BW48" s="4">
        <f t="shared" ca="1" si="191"/>
        <v>28866.075526704644</v>
      </c>
      <c r="BX48" s="4">
        <f t="shared" ca="1" si="192"/>
        <v>0</v>
      </c>
      <c r="BY48" s="4">
        <f t="shared" ca="1" si="193"/>
        <v>64207.648385098422</v>
      </c>
      <c r="BZ48" s="4">
        <f t="shared" ca="1" si="194"/>
        <v>0</v>
      </c>
      <c r="CA48" s="4">
        <f t="shared" ca="1" si="26"/>
        <v>93073.72391180307</v>
      </c>
      <c r="CB48" s="4">
        <f t="shared" ca="1" si="160"/>
        <v>12500</v>
      </c>
      <c r="CC48" s="4"/>
      <c r="CD48" s="4">
        <f t="shared" ca="1" si="195"/>
        <v>141545.3099314571</v>
      </c>
      <c r="CE48" s="4">
        <f t="shared" ca="1" si="128"/>
        <v>102434.52839759494</v>
      </c>
      <c r="CF48" s="16">
        <f t="shared" si="196"/>
        <v>0</v>
      </c>
      <c r="CG48" s="4">
        <f t="shared" si="129"/>
        <v>0</v>
      </c>
      <c r="CH48" s="4" t="e">
        <f t="shared" ca="1" si="197"/>
        <v>#NAME?</v>
      </c>
      <c r="CI48" s="4" t="e">
        <f t="shared" ca="1" si="198"/>
        <v>#NAME?</v>
      </c>
      <c r="CJ48" s="4" t="e">
        <f t="shared" ca="1" si="130"/>
        <v>#NAME?</v>
      </c>
      <c r="CK48" s="4" t="e">
        <f t="shared" ca="1" si="31"/>
        <v>#NAME?</v>
      </c>
      <c r="CL48" s="4" t="e">
        <f t="shared" ca="1" si="199"/>
        <v>#NAME?</v>
      </c>
      <c r="CM48" s="16"/>
      <c r="CN48" s="4" t="e">
        <f t="shared" ca="1" si="200"/>
        <v>#NAME?</v>
      </c>
      <c r="CO48" s="4" t="e">
        <f t="shared" ca="1" si="201"/>
        <v>#NAME?</v>
      </c>
      <c r="CP48" s="4">
        <f t="shared" ca="1" si="279"/>
        <v>2367135.5048699854</v>
      </c>
      <c r="CQ48" s="4"/>
      <c r="CR48" s="4">
        <f t="shared" ca="1" si="202"/>
        <v>12500</v>
      </c>
      <c r="CS48" s="4">
        <f t="shared" ca="1" si="203"/>
        <v>51290</v>
      </c>
      <c r="CT48" s="4">
        <f t="shared" ca="1" si="204"/>
        <v>0</v>
      </c>
      <c r="CU48" s="4"/>
      <c r="CV48" s="4">
        <f t="shared" ca="1" si="132"/>
        <v>12500</v>
      </c>
      <c r="CW48" s="4">
        <f t="shared" ca="1" si="205"/>
        <v>0</v>
      </c>
      <c r="CX48" s="4">
        <f t="shared" ca="1" si="206"/>
        <v>0</v>
      </c>
      <c r="CY48" s="4">
        <f t="shared" ca="1" si="133"/>
        <v>12500</v>
      </c>
      <c r="CZ48" s="4"/>
      <c r="DA48" s="4">
        <f t="shared" ca="1" si="207"/>
        <v>12500</v>
      </c>
      <c r="DB48" s="4">
        <f t="shared" si="208"/>
        <v>0</v>
      </c>
      <c r="DC48" s="4">
        <f t="shared" ca="1" si="134"/>
        <v>0</v>
      </c>
      <c r="DD48" s="4">
        <f t="shared" ca="1" si="209"/>
        <v>0</v>
      </c>
      <c r="DE48" s="4">
        <f t="shared" ca="1" si="210"/>
        <v>0</v>
      </c>
      <c r="DF48" s="4">
        <f t="shared" ca="1" si="135"/>
        <v>0</v>
      </c>
      <c r="DG48" s="4">
        <f t="shared" ca="1" si="136"/>
        <v>0</v>
      </c>
      <c r="DH48" s="4">
        <f t="shared" ca="1" si="211"/>
        <v>0</v>
      </c>
      <c r="DI48" s="4"/>
      <c r="DJ48" s="4">
        <f t="shared" ca="1" si="212"/>
        <v>12500</v>
      </c>
      <c r="DK48" s="4">
        <f t="shared" ca="1" si="213"/>
        <v>12500</v>
      </c>
      <c r="DL48" s="4">
        <f t="shared" ca="1" si="214"/>
        <v>12500</v>
      </c>
      <c r="DM48" s="4">
        <f t="shared" ca="1" si="215"/>
        <v>12500</v>
      </c>
      <c r="DN48" s="4">
        <f t="shared" ca="1" si="216"/>
        <v>12500</v>
      </c>
      <c r="DO48" s="4">
        <f t="shared" ca="1" si="50"/>
        <v>0</v>
      </c>
      <c r="DP48" s="4"/>
      <c r="DQ48" s="4">
        <f t="shared" ca="1" si="217"/>
        <v>0</v>
      </c>
      <c r="DR48" s="4"/>
      <c r="DS48" s="4">
        <f t="shared" si="137"/>
        <v>0</v>
      </c>
      <c r="DT48" s="4">
        <f t="shared" ca="1" si="282"/>
        <v>0</v>
      </c>
      <c r="DU48" s="4">
        <f t="shared" si="218"/>
        <v>0</v>
      </c>
      <c r="DV48" s="4"/>
      <c r="DW48" s="4">
        <f t="shared" ca="1" si="273"/>
        <v>848042.12773280591</v>
      </c>
      <c r="DX48" s="4">
        <f t="shared" ca="1" si="219"/>
        <v>0</v>
      </c>
      <c r="DY48" s="4">
        <f t="shared" ca="1" si="139"/>
        <v>42402.106386640298</v>
      </c>
      <c r="DZ48" s="4">
        <f t="shared" ca="1" si="220"/>
        <v>28866.075526704644</v>
      </c>
      <c r="EA48" s="4">
        <f t="shared" ca="1" si="221"/>
        <v>0</v>
      </c>
      <c r="EB48" s="4">
        <f t="shared" ca="1" si="222"/>
        <v>890444.23411944625</v>
      </c>
      <c r="EC48" s="4">
        <f t="shared" si="223"/>
        <v>1</v>
      </c>
      <c r="ED48" s="4"/>
      <c r="EE48" s="4">
        <f t="shared" ca="1" si="274"/>
        <v>0</v>
      </c>
      <c r="EF48" s="4">
        <f t="shared" ca="1" si="224"/>
        <v>0</v>
      </c>
      <c r="EG48" s="4">
        <f t="shared" ca="1" si="141"/>
        <v>0</v>
      </c>
      <c r="EH48" s="4">
        <f t="shared" ca="1" si="225"/>
        <v>0</v>
      </c>
      <c r="EI48" s="4">
        <f t="shared" ca="1" si="226"/>
        <v>0</v>
      </c>
      <c r="EJ48" s="4">
        <f t="shared" ca="1" si="227"/>
        <v>0</v>
      </c>
      <c r="EK48" s="4">
        <f t="shared" si="228"/>
        <v>1</v>
      </c>
      <c r="EL48" s="4">
        <f t="shared" si="229"/>
        <v>0</v>
      </c>
      <c r="EM48" s="4"/>
      <c r="EN48" s="4">
        <f t="shared" ca="1" si="275"/>
        <v>920540.61878253124</v>
      </c>
      <c r="EO48" s="4">
        <f t="shared" ca="1" si="230"/>
        <v>12500</v>
      </c>
      <c r="EP48" s="4">
        <f t="shared" ca="1" si="143"/>
        <v>46027.030939126562</v>
      </c>
      <c r="EQ48" s="4">
        <f t="shared" ca="1" si="231"/>
        <v>0</v>
      </c>
      <c r="ER48" s="4">
        <v>0</v>
      </c>
      <c r="ES48" s="4">
        <f t="shared" ca="1" si="144"/>
        <v>966567.64972165786</v>
      </c>
      <c r="ET48" s="4"/>
      <c r="EU48" s="4">
        <f t="shared" ca="1" si="276"/>
        <v>598552.75835464837</v>
      </c>
      <c r="EV48" s="4">
        <f t="shared" ca="1" si="232"/>
        <v>0</v>
      </c>
      <c r="EW48" s="4">
        <f t="shared" ca="1" si="146"/>
        <v>29927.63791773242</v>
      </c>
      <c r="EX48" s="4">
        <f t="shared" ca="1" si="233"/>
        <v>64207.648385098422</v>
      </c>
      <c r="EY48" s="4">
        <v>0</v>
      </c>
      <c r="EZ48" s="4">
        <f t="shared" ca="1" si="147"/>
        <v>628480.39627238084</v>
      </c>
      <c r="FA48" s="4">
        <f t="shared" ca="1" si="277"/>
        <v>111922.25741341576</v>
      </c>
      <c r="FB48" s="1">
        <f t="shared" ca="1" si="234"/>
        <v>0.18698812402281292</v>
      </c>
      <c r="FC48" s="4">
        <f t="shared" ca="1" si="149"/>
        <v>11971.055167092969</v>
      </c>
      <c r="FD48" s="4">
        <f t="shared" ca="1" si="150"/>
        <v>14963.81895886621</v>
      </c>
      <c r="FE48" s="4">
        <f t="shared" ca="1" si="235"/>
        <v>4130.0140326470737</v>
      </c>
      <c r="FF48" s="4">
        <f t="shared" ca="1" si="236"/>
        <v>620.32810770359049</v>
      </c>
      <c r="FG48" s="4">
        <f t="shared" ca="1" si="237"/>
        <v>413.00140326470739</v>
      </c>
      <c r="FH48" s="17">
        <f t="shared" ca="1" si="238"/>
        <v>12006.067719445948</v>
      </c>
      <c r="FI48" s="4">
        <f t="shared" ca="1" si="239"/>
        <v>6003.0338597229738</v>
      </c>
      <c r="FJ48" s="4"/>
      <c r="FK48" s="4">
        <f t="shared" ca="1" si="240"/>
        <v>2485492.2801134847</v>
      </c>
      <c r="FL48" s="4"/>
      <c r="FM48" s="4">
        <v>0</v>
      </c>
      <c r="FN48" s="4">
        <f t="shared" si="241"/>
        <v>0</v>
      </c>
      <c r="FO48" s="4">
        <f t="shared" si="242"/>
        <v>0</v>
      </c>
      <c r="FP48" s="4">
        <f t="shared" si="243"/>
        <v>0</v>
      </c>
      <c r="FQ48" s="4">
        <f t="shared" si="244"/>
        <v>0</v>
      </c>
      <c r="FR48" s="4">
        <f t="shared" si="245"/>
        <v>0</v>
      </c>
      <c r="FS48" s="4">
        <f t="shared" si="246"/>
        <v>16157.195339884682</v>
      </c>
      <c r="FT48" s="4">
        <f t="shared" ca="1" si="247"/>
        <v>0</v>
      </c>
      <c r="FU48" s="4"/>
      <c r="FV48" s="3">
        <f t="shared" si="248"/>
        <v>0.44401021096591764</v>
      </c>
      <c r="FW48" s="3">
        <f t="shared" si="249"/>
        <v>0.44401021096591764</v>
      </c>
      <c r="FX48" s="4">
        <f t="shared" si="151"/>
        <v>2058</v>
      </c>
      <c r="FY48" s="18">
        <f t="shared" si="250"/>
        <v>0</v>
      </c>
      <c r="FZ48" s="18">
        <f t="shared" si="251"/>
        <v>0</v>
      </c>
      <c r="GA48" s="18">
        <f t="shared" si="252"/>
        <v>0</v>
      </c>
      <c r="GB48" s="18">
        <f t="shared" si="253"/>
        <v>21.521879134439217</v>
      </c>
      <c r="GC48" s="18">
        <f t="shared" ca="1" si="254"/>
        <v>12.816832284370241</v>
      </c>
      <c r="GD48" s="18">
        <f t="shared" ca="1" si="255"/>
        <v>0</v>
      </c>
      <c r="GE48" s="18">
        <f t="shared" ca="1" si="256"/>
        <v>28.508851505093013</v>
      </c>
      <c r="GF48" s="18">
        <f t="shared" ca="1" si="257"/>
        <v>0</v>
      </c>
      <c r="GG48" s="18" t="e">
        <f t="shared" ca="1" si="258"/>
        <v>#NAME?</v>
      </c>
      <c r="GH48" s="18" t="e">
        <f t="shared" ca="1" si="259"/>
        <v>#NAME?</v>
      </c>
      <c r="GI48" s="4"/>
      <c r="GJ48" s="4">
        <f t="shared" si="260"/>
        <v>2058</v>
      </c>
      <c r="GK48" s="4">
        <f t="shared" ca="1" si="261"/>
        <v>376.53936404262885</v>
      </c>
      <c r="GL48" s="4">
        <f t="shared" ca="1" si="262"/>
        <v>0</v>
      </c>
      <c r="GM48" s="4">
        <f t="shared" ca="1" si="263"/>
        <v>408.72943434832803</v>
      </c>
      <c r="GN48" s="4">
        <f t="shared" ca="1" si="264"/>
        <v>265.76353651127937</v>
      </c>
      <c r="GO48" s="4"/>
      <c r="GP48" s="3">
        <f t="shared" ca="1" si="152"/>
        <v>0.35825668872276262</v>
      </c>
      <c r="GQ48" s="3">
        <f t="shared" ca="1" si="265"/>
        <v>0</v>
      </c>
      <c r="GR48" s="3">
        <f t="shared" ca="1" si="266"/>
        <v>0.25285952457019306</v>
      </c>
      <c r="GS48" s="3">
        <f t="shared" ca="1" si="267"/>
        <v>0.38888378670704443</v>
      </c>
      <c r="GT48" s="3">
        <f t="array" aca="1" ref="GT48" ca="1">SUM(GP48:GS48*$GU$6:$GX$6)</f>
        <v>1.0000000000000002</v>
      </c>
      <c r="GU48" s="3">
        <f t="shared" ca="1" si="155"/>
        <v>0.35825668872276256</v>
      </c>
      <c r="GV48" s="3">
        <f t="shared" ca="1" si="156"/>
        <v>0</v>
      </c>
      <c r="GW48" s="3">
        <f t="shared" ca="1" si="157"/>
        <v>0.25285952457019301</v>
      </c>
      <c r="GX48" s="3">
        <f t="shared" ca="1" si="158"/>
        <v>0.38888378670704432</v>
      </c>
      <c r="GY48" s="11"/>
      <c r="GZ48" s="27">
        <v>90</v>
      </c>
      <c r="HA48" s="30">
        <v>0.1192</v>
      </c>
      <c r="HB48" s="29">
        <f t="shared" ca="1" si="153"/>
        <v>1</v>
      </c>
      <c r="HC48" s="29">
        <v>1</v>
      </c>
      <c r="HD48" s="29">
        <v>0.2</v>
      </c>
      <c r="HE48" s="29">
        <v>1</v>
      </c>
      <c r="HG48" s="27">
        <v>88</v>
      </c>
      <c r="HH48" s="30">
        <v>0.1021</v>
      </c>
      <c r="HJ48">
        <f t="shared" si="159"/>
        <v>2051</v>
      </c>
      <c r="HK48" s="28">
        <f t="shared" si="164"/>
        <v>44650</v>
      </c>
      <c r="HL48" s="27">
        <f t="shared" si="162"/>
        <v>11000</v>
      </c>
      <c r="HM48" s="28">
        <f t="shared" si="163"/>
        <v>10999.39253964351</v>
      </c>
      <c r="HO48" t="s">
        <v>172</v>
      </c>
      <c r="HQ48" s="27">
        <v>7225</v>
      </c>
      <c r="HR48" s="27">
        <v>5731</v>
      </c>
      <c r="HS48" s="27">
        <v>3764</v>
      </c>
      <c r="HT48" s="27">
        <v>4141</v>
      </c>
      <c r="HU48" s="27">
        <v>4831</v>
      </c>
      <c r="HV48" s="88">
        <v>2500</v>
      </c>
      <c r="HW48" s="27">
        <v>4966</v>
      </c>
      <c r="HX48" s="27">
        <v>3728</v>
      </c>
      <c r="HY48" s="27">
        <v>4894</v>
      </c>
      <c r="HZ48" s="27">
        <v>5208</v>
      </c>
      <c r="IA48" s="27">
        <v>4578</v>
      </c>
      <c r="IB48" s="27">
        <v>7225</v>
      </c>
      <c r="IC48" s="27">
        <v>6984</v>
      </c>
      <c r="ID48" s="27">
        <v>9846</v>
      </c>
      <c r="IE48" s="27">
        <v>7225</v>
      </c>
      <c r="IF48" s="27">
        <v>7225</v>
      </c>
      <c r="IG48" s="27">
        <v>7225</v>
      </c>
    </row>
    <row r="49" spans="1:241" x14ac:dyDescent="0.25">
      <c r="A49" t="s">
        <v>55</v>
      </c>
      <c r="B49" s="62">
        <f>Inputs_Summary!AJ46</f>
        <v>71</v>
      </c>
      <c r="D49">
        <f t="shared" si="107"/>
        <v>2059</v>
      </c>
      <c r="E49">
        <f t="shared" si="108"/>
        <v>64</v>
      </c>
      <c r="F49" s="8"/>
      <c r="G49" s="8"/>
      <c r="H49" s="8"/>
      <c r="I49" s="8"/>
      <c r="J49" s="92"/>
      <c r="K49" s="91"/>
      <c r="L49" s="91"/>
      <c r="N49" s="93">
        <f t="shared" si="109"/>
        <v>0.05</v>
      </c>
      <c r="O49" s="23">
        <f t="shared" si="110"/>
        <v>0.4</v>
      </c>
      <c r="P49" s="23">
        <f t="shared" si="111"/>
        <v>0.1</v>
      </c>
      <c r="Q49" s="4">
        <f t="shared" si="169"/>
        <v>0</v>
      </c>
      <c r="R49" s="4">
        <f t="shared" si="269"/>
        <v>0</v>
      </c>
      <c r="S49" s="4">
        <f t="shared" si="113"/>
        <v>0</v>
      </c>
      <c r="T49" s="4">
        <f t="shared" ca="1" si="114"/>
        <v>0</v>
      </c>
      <c r="V49" s="18" t="e">
        <f t="shared" ca="1" si="170"/>
        <v>#NAME?</v>
      </c>
      <c r="W49" s="18" t="e">
        <f t="shared" ca="1" si="171"/>
        <v>#NAME?</v>
      </c>
      <c r="X49" s="18" t="e">
        <f t="shared" ca="1" si="172"/>
        <v>#NAME?</v>
      </c>
      <c r="Y49" s="18">
        <f t="shared" ca="1" si="173"/>
        <v>-12.878719549108816</v>
      </c>
      <c r="Z49" s="18">
        <f t="shared" ca="1" si="174"/>
        <v>0</v>
      </c>
      <c r="AA49" s="18">
        <f t="shared" ca="1" si="175"/>
        <v>5.658953669173461</v>
      </c>
      <c r="AB49" s="18">
        <f t="shared" ca="1" si="176"/>
        <v>-28.728535867125753</v>
      </c>
      <c r="AC49" s="18">
        <f t="shared" ca="1" si="177"/>
        <v>375.04852937293145</v>
      </c>
      <c r="AD49" s="18">
        <f t="shared" ca="1" si="178"/>
        <v>0</v>
      </c>
      <c r="AE49" s="18">
        <f t="shared" ca="1" si="179"/>
        <v>426.19218990472399</v>
      </c>
      <c r="AF49" s="18">
        <f t="shared" ca="1" si="180"/>
        <v>245.63025669779447</v>
      </c>
      <c r="AG49" s="18">
        <f t="shared" ca="1" si="181"/>
        <v>1046.8709759754497</v>
      </c>
      <c r="AI49">
        <f>Person2!E49</f>
        <v>64</v>
      </c>
      <c r="AJ49">
        <f>Person2!AZ49</f>
        <v>2</v>
      </c>
      <c r="AK49">
        <f>IF($AZ49&lt;&gt;3,Person2!FM49,0)</f>
        <v>0</v>
      </c>
      <c r="AL49" s="4">
        <f ca="1">IF($AZ49&lt;&gt;3,Person2!FN49+Person2!FT49,0)</f>
        <v>0</v>
      </c>
      <c r="AM49">
        <f>IF($AZ49&lt;&gt;3,Person2!FO49,0)</f>
        <v>0</v>
      </c>
      <c r="AN49">
        <f>IF($AZ49&lt;&gt;3,Person2!FP49,0)</f>
        <v>0</v>
      </c>
      <c r="AO49">
        <f>IF($AZ49&lt;&gt;3,Person2!FQ49,0)</f>
        <v>0</v>
      </c>
      <c r="AP49">
        <f>IF($AZ49&lt;&gt;3,Person2!FR49,0)</f>
        <v>0</v>
      </c>
      <c r="AQ49">
        <v>0</v>
      </c>
      <c r="AR49" s="4">
        <f>Person2!FS49</f>
        <v>0</v>
      </c>
      <c r="AS49" s="4">
        <v>0</v>
      </c>
      <c r="AT49" s="4">
        <v>0</v>
      </c>
      <c r="AV49">
        <f t="shared" si="270"/>
        <v>2059</v>
      </c>
      <c r="AW49">
        <f t="shared" si="271"/>
        <v>64</v>
      </c>
      <c r="AX49">
        <f t="shared" si="272"/>
        <v>2.2972444660248938</v>
      </c>
      <c r="AY49">
        <f t="shared" si="118"/>
        <v>0.43530412839795851</v>
      </c>
      <c r="AZ49">
        <f t="shared" si="119"/>
        <v>2</v>
      </c>
      <c r="BB49" s="4">
        <f t="shared" si="182"/>
        <v>0</v>
      </c>
      <c r="BC49">
        <f t="shared" si="183"/>
        <v>0</v>
      </c>
      <c r="BD49" s="4">
        <f t="shared" si="184"/>
        <v>0</v>
      </c>
      <c r="BE49" s="4">
        <f t="shared" si="120"/>
        <v>0</v>
      </c>
      <c r="BF49" s="4">
        <f t="shared" si="121"/>
        <v>48713.943949752298</v>
      </c>
      <c r="BG49" s="4">
        <f t="shared" si="122"/>
        <v>0</v>
      </c>
      <c r="BH49" s="4">
        <f t="shared" si="185"/>
        <v>0</v>
      </c>
      <c r="BI49" s="4">
        <f t="shared" si="123"/>
        <v>48713.943949752298</v>
      </c>
      <c r="BJ49" s="4"/>
      <c r="BK49" s="4">
        <f t="shared" si="186"/>
        <v>114862.2233012447</v>
      </c>
      <c r="BL49" s="4">
        <f t="shared" si="124"/>
        <v>0</v>
      </c>
      <c r="BM49" s="4">
        <f t="shared" si="125"/>
        <v>114862.2233012447</v>
      </c>
      <c r="BN49" s="4">
        <v>16433.757899936747</v>
      </c>
      <c r="BO49" s="4">
        <f t="shared" si="126"/>
        <v>131295.98120118145</v>
      </c>
      <c r="BP49" s="4">
        <f t="shared" si="127"/>
        <v>-82582.037251429152</v>
      </c>
      <c r="BQ49" s="4"/>
      <c r="BR49" s="4">
        <v>0</v>
      </c>
      <c r="BS49" s="4">
        <f t="shared" ca="1" si="187"/>
        <v>0</v>
      </c>
      <c r="BT49" s="4">
        <f t="shared" ca="1" si="188"/>
        <v>13000</v>
      </c>
      <c r="BU49" s="4">
        <f t="shared" si="189"/>
        <v>82582.037251429152</v>
      </c>
      <c r="BV49" s="4">
        <f t="shared" si="190"/>
        <v>1</v>
      </c>
      <c r="BW49" s="4">
        <f t="shared" ca="1" si="191"/>
        <v>29585.567213676841</v>
      </c>
      <c r="BX49" s="4">
        <f t="shared" ca="1" si="192"/>
        <v>0</v>
      </c>
      <c r="BY49" s="4">
        <f t="shared" ca="1" si="193"/>
        <v>65996.470037752311</v>
      </c>
      <c r="BZ49" s="4">
        <f t="shared" ca="1" si="194"/>
        <v>0</v>
      </c>
      <c r="CA49" s="4">
        <f t="shared" ca="1" si="26"/>
        <v>95582.037251429152</v>
      </c>
      <c r="CB49" s="4">
        <f t="shared" ca="1" si="160"/>
        <v>13000</v>
      </c>
      <c r="CC49" s="4"/>
      <c r="CD49" s="4">
        <f t="shared" ca="1" si="195"/>
        <v>144295.98120118145</v>
      </c>
      <c r="CE49" s="4">
        <f t="shared" ca="1" si="128"/>
        <v>102842.89159116868</v>
      </c>
      <c r="CF49" s="16">
        <f t="shared" si="196"/>
        <v>0</v>
      </c>
      <c r="CG49" s="4">
        <f t="shared" si="129"/>
        <v>0</v>
      </c>
      <c r="CH49" s="4" t="e">
        <f t="shared" ca="1" si="197"/>
        <v>#NAME?</v>
      </c>
      <c r="CI49" s="4" t="e">
        <f t="shared" ca="1" si="198"/>
        <v>#NAME?</v>
      </c>
      <c r="CJ49" s="4" t="e">
        <f t="shared" ca="1" si="130"/>
        <v>#NAME?</v>
      </c>
      <c r="CK49" s="4" t="e">
        <f t="shared" ca="1" si="31"/>
        <v>#NAME?</v>
      </c>
      <c r="CL49" s="4" t="e">
        <f t="shared" ca="1" si="199"/>
        <v>#NAME?</v>
      </c>
      <c r="CM49" s="16"/>
      <c r="CN49" s="4" t="e">
        <f t="shared" ca="1" si="200"/>
        <v>#NAME?</v>
      </c>
      <c r="CO49" s="4" t="e">
        <f t="shared" ca="1" si="201"/>
        <v>#NAME?</v>
      </c>
      <c r="CP49" s="4">
        <f t="shared" ca="1" si="279"/>
        <v>2404918.5562016815</v>
      </c>
      <c r="CQ49" s="4"/>
      <c r="CR49" s="4">
        <f t="shared" ca="1" si="202"/>
        <v>13000</v>
      </c>
      <c r="CS49" s="4">
        <f t="shared" ca="1" si="203"/>
        <v>52320</v>
      </c>
      <c r="CT49" s="4">
        <f t="shared" ca="1" si="204"/>
        <v>0</v>
      </c>
      <c r="CU49" s="4"/>
      <c r="CV49" s="4">
        <f t="shared" ca="1" si="132"/>
        <v>13000</v>
      </c>
      <c r="CW49" s="4">
        <f t="shared" ca="1" si="205"/>
        <v>0</v>
      </c>
      <c r="CX49" s="4">
        <f t="shared" ca="1" si="206"/>
        <v>0</v>
      </c>
      <c r="CY49" s="4">
        <f t="shared" ca="1" si="133"/>
        <v>13000</v>
      </c>
      <c r="CZ49" s="4"/>
      <c r="DA49" s="4">
        <f t="shared" ca="1" si="207"/>
        <v>13000</v>
      </c>
      <c r="DB49" s="4">
        <f t="shared" si="208"/>
        <v>0</v>
      </c>
      <c r="DC49" s="4">
        <f t="shared" ca="1" si="134"/>
        <v>0</v>
      </c>
      <c r="DD49" s="4">
        <f t="shared" ca="1" si="209"/>
        <v>0</v>
      </c>
      <c r="DE49" s="4">
        <f t="shared" ca="1" si="210"/>
        <v>0</v>
      </c>
      <c r="DF49" s="4">
        <f t="shared" ca="1" si="135"/>
        <v>0</v>
      </c>
      <c r="DG49" s="4">
        <f t="shared" ca="1" si="136"/>
        <v>0</v>
      </c>
      <c r="DH49" s="4">
        <f t="shared" ca="1" si="211"/>
        <v>0</v>
      </c>
      <c r="DI49" s="4"/>
      <c r="DJ49" s="4">
        <f t="shared" ca="1" si="212"/>
        <v>13000</v>
      </c>
      <c r="DK49" s="4">
        <f t="shared" ca="1" si="213"/>
        <v>13000</v>
      </c>
      <c r="DL49" s="4">
        <f t="shared" ca="1" si="214"/>
        <v>13000</v>
      </c>
      <c r="DM49" s="4">
        <f t="shared" ca="1" si="215"/>
        <v>13000</v>
      </c>
      <c r="DN49" s="4">
        <f t="shared" ca="1" si="216"/>
        <v>13000</v>
      </c>
      <c r="DO49" s="4">
        <f t="shared" ca="1" si="50"/>
        <v>0</v>
      </c>
      <c r="DP49" s="4"/>
      <c r="DQ49" s="4">
        <f t="shared" ca="1" si="217"/>
        <v>0</v>
      </c>
      <c r="DR49" s="4"/>
      <c r="DS49" s="4">
        <f t="shared" si="137"/>
        <v>0</v>
      </c>
      <c r="DT49" s="4">
        <f t="shared" ca="1" si="282"/>
        <v>0</v>
      </c>
      <c r="DU49" s="4">
        <f t="shared" si="218"/>
        <v>0</v>
      </c>
      <c r="DV49" s="4"/>
      <c r="DW49" s="4">
        <f t="shared" ca="1" si="273"/>
        <v>861578.15859274159</v>
      </c>
      <c r="DX49" s="4">
        <f t="shared" ca="1" si="219"/>
        <v>0</v>
      </c>
      <c r="DY49" s="4">
        <f t="shared" ca="1" si="139"/>
        <v>43078.907929637084</v>
      </c>
      <c r="DZ49" s="4">
        <f t="shared" ca="1" si="220"/>
        <v>29585.567213676841</v>
      </c>
      <c r="EA49" s="4">
        <f t="shared" ca="1" si="221"/>
        <v>0</v>
      </c>
      <c r="EB49" s="4">
        <f t="shared" ca="1" si="222"/>
        <v>904657.06652237871</v>
      </c>
      <c r="EC49" s="4">
        <f t="shared" si="223"/>
        <v>1</v>
      </c>
      <c r="ED49" s="4"/>
      <c r="EE49" s="4">
        <f t="shared" ca="1" si="274"/>
        <v>0</v>
      </c>
      <c r="EF49" s="4">
        <f t="shared" ca="1" si="224"/>
        <v>0</v>
      </c>
      <c r="EG49" s="4">
        <f t="shared" ca="1" si="141"/>
        <v>0</v>
      </c>
      <c r="EH49" s="4">
        <f t="shared" ca="1" si="225"/>
        <v>0</v>
      </c>
      <c r="EI49" s="4">
        <f t="shared" ca="1" si="226"/>
        <v>0</v>
      </c>
      <c r="EJ49" s="4">
        <f t="shared" ca="1" si="227"/>
        <v>0</v>
      </c>
      <c r="EK49" s="4">
        <f t="shared" si="228"/>
        <v>1</v>
      </c>
      <c r="EL49" s="4">
        <f t="shared" si="229"/>
        <v>0</v>
      </c>
      <c r="EM49" s="4"/>
      <c r="EN49" s="4">
        <f t="shared" ca="1" si="275"/>
        <v>979067.64972165786</v>
      </c>
      <c r="EO49" s="4">
        <f t="shared" ca="1" si="230"/>
        <v>13000</v>
      </c>
      <c r="EP49" s="4">
        <f t="shared" ca="1" si="143"/>
        <v>48953.382486082897</v>
      </c>
      <c r="EQ49" s="4">
        <f t="shared" ca="1" si="231"/>
        <v>0</v>
      </c>
      <c r="ER49" s="4">
        <v>0</v>
      </c>
      <c r="ES49" s="4">
        <f t="shared" ca="1" si="144"/>
        <v>1028021.0322077407</v>
      </c>
      <c r="ET49" s="4"/>
      <c r="EU49" s="4">
        <f t="shared" ca="1" si="276"/>
        <v>564272.7478872824</v>
      </c>
      <c r="EV49" s="4">
        <f t="shared" ca="1" si="232"/>
        <v>0</v>
      </c>
      <c r="EW49" s="4">
        <f t="shared" ca="1" si="146"/>
        <v>28213.637394364123</v>
      </c>
      <c r="EX49" s="4">
        <f t="shared" ca="1" si="233"/>
        <v>65996.470037752311</v>
      </c>
      <c r="EY49" s="4">
        <v>0</v>
      </c>
      <c r="EZ49" s="4">
        <f t="shared" ca="1" si="147"/>
        <v>592486.38528164651</v>
      </c>
      <c r="FA49" s="4">
        <f t="shared" ca="1" si="277"/>
        <v>111887.24486106279</v>
      </c>
      <c r="FB49" s="1">
        <f t="shared" ca="1" si="234"/>
        <v>0.19828574971941243</v>
      </c>
      <c r="FC49" s="4">
        <f t="shared" ca="1" si="149"/>
        <v>11285.454957745649</v>
      </c>
      <c r="FD49" s="4">
        <f t="shared" ca="1" si="150"/>
        <v>14106.818697182061</v>
      </c>
      <c r="FE49" s="4">
        <f t="shared" ca="1" si="235"/>
        <v>3893.4819604222484</v>
      </c>
      <c r="FF49" s="4">
        <f t="shared" ca="1" si="236"/>
        <v>584.8009904554217</v>
      </c>
      <c r="FG49" s="4">
        <f t="shared" ca="1" si="237"/>
        <v>389.34819604222486</v>
      </c>
      <c r="FH49" s="17">
        <f t="shared" ca="1" si="238"/>
        <v>13086.159540270457</v>
      </c>
      <c r="FI49" s="4">
        <f t="shared" ca="1" si="239"/>
        <v>6543.0797701352285</v>
      </c>
      <c r="FJ49" s="4"/>
      <c r="FK49" s="4">
        <f t="shared" ca="1" si="240"/>
        <v>2525164.484011766</v>
      </c>
      <c r="FL49" s="4"/>
      <c r="FM49" s="4">
        <v>0</v>
      </c>
      <c r="FN49" s="4">
        <f t="shared" si="241"/>
        <v>0</v>
      </c>
      <c r="FO49" s="4">
        <f t="shared" si="242"/>
        <v>0</v>
      </c>
      <c r="FP49" s="4">
        <f t="shared" si="243"/>
        <v>0</v>
      </c>
      <c r="FQ49" s="4">
        <f t="shared" si="244"/>
        <v>0</v>
      </c>
      <c r="FR49" s="4">
        <f t="shared" si="245"/>
        <v>0</v>
      </c>
      <c r="FS49" s="4">
        <f t="shared" si="246"/>
        <v>16237.981316584099</v>
      </c>
      <c r="FT49" s="4">
        <f t="shared" ca="1" si="247"/>
        <v>0</v>
      </c>
      <c r="FU49" s="4"/>
      <c r="FV49" s="3">
        <f t="shared" si="248"/>
        <v>0.43530412839795851</v>
      </c>
      <c r="FW49" s="3">
        <f t="shared" si="249"/>
        <v>0.43530412839795851</v>
      </c>
      <c r="FX49" s="4">
        <f t="shared" si="151"/>
        <v>2059</v>
      </c>
      <c r="FY49" s="18">
        <f t="shared" si="250"/>
        <v>0</v>
      </c>
      <c r="FZ49" s="18">
        <f t="shared" si="251"/>
        <v>0</v>
      </c>
      <c r="GA49" s="18">
        <f t="shared" si="252"/>
        <v>0</v>
      </c>
      <c r="GB49" s="18">
        <f t="shared" si="253"/>
        <v>21.205380911873931</v>
      </c>
      <c r="GC49" s="18">
        <f t="shared" ca="1" si="254"/>
        <v>12.878719549108816</v>
      </c>
      <c r="GD49" s="18">
        <f t="shared" ca="1" si="255"/>
        <v>0</v>
      </c>
      <c r="GE49" s="18">
        <f t="shared" ca="1" si="256"/>
        <v>28.728535867125753</v>
      </c>
      <c r="GF49" s="18">
        <f t="shared" ca="1" si="257"/>
        <v>0</v>
      </c>
      <c r="GG49" s="18" t="e">
        <f t="shared" ca="1" si="258"/>
        <v>#NAME?</v>
      </c>
      <c r="GH49" s="18" t="e">
        <f t="shared" ca="1" si="259"/>
        <v>#NAME?</v>
      </c>
      <c r="GI49" s="4"/>
      <c r="GJ49" s="4">
        <f t="shared" si="260"/>
        <v>2059</v>
      </c>
      <c r="GK49" s="4">
        <f t="shared" ca="1" si="261"/>
        <v>375.04852937293145</v>
      </c>
      <c r="GL49" s="4">
        <f t="shared" ca="1" si="262"/>
        <v>0</v>
      </c>
      <c r="GM49" s="4">
        <f t="shared" ca="1" si="263"/>
        <v>426.19218990472399</v>
      </c>
      <c r="GN49" s="4">
        <f t="shared" ca="1" si="264"/>
        <v>245.63025669779447</v>
      </c>
      <c r="GO49" s="4"/>
      <c r="GP49" s="3">
        <f t="shared" ca="1" si="152"/>
        <v>0.35825668872276262</v>
      </c>
      <c r="GQ49" s="3">
        <f t="shared" ca="1" si="265"/>
        <v>0</v>
      </c>
      <c r="GR49" s="3">
        <f t="shared" ca="1" si="266"/>
        <v>0.23463278888682715</v>
      </c>
      <c r="GS49" s="3">
        <f t="shared" ca="1" si="267"/>
        <v>0.40711052239041018</v>
      </c>
      <c r="GT49" s="3">
        <f t="array" aca="1" ref="GT49" ca="1">SUM(GP49:GS49*$GU$6:$GX$6)</f>
        <v>1</v>
      </c>
      <c r="GU49" s="3">
        <f t="shared" ca="1" si="155"/>
        <v>0.35825668872276262</v>
      </c>
      <c r="GV49" s="3">
        <f t="shared" ca="1" si="156"/>
        <v>0</v>
      </c>
      <c r="GW49" s="3">
        <f t="shared" ca="1" si="157"/>
        <v>0.23463278888682715</v>
      </c>
      <c r="GX49" s="3">
        <f t="shared" ca="1" si="158"/>
        <v>0.40711052239041018</v>
      </c>
      <c r="GY49" s="11"/>
      <c r="GZ49" s="27">
        <v>91</v>
      </c>
      <c r="HA49" s="30">
        <v>0.13059999999999999</v>
      </c>
      <c r="HB49" s="29">
        <f t="shared" ca="1" si="153"/>
        <v>1</v>
      </c>
      <c r="HC49" s="29">
        <v>1</v>
      </c>
      <c r="HD49" s="29">
        <v>0.2</v>
      </c>
      <c r="HE49" s="29">
        <v>1</v>
      </c>
      <c r="HG49" s="27">
        <v>89</v>
      </c>
      <c r="HH49" s="30">
        <v>0.1099</v>
      </c>
      <c r="HJ49">
        <f t="shared" si="159"/>
        <v>2052</v>
      </c>
      <c r="HK49" s="28">
        <f t="shared" si="164"/>
        <v>45550</v>
      </c>
      <c r="HL49" s="27">
        <f t="shared" si="162"/>
        <v>11000</v>
      </c>
      <c r="HM49" s="28">
        <f t="shared" si="163"/>
        <v>11219.380390436379</v>
      </c>
      <c r="HO49" t="s">
        <v>278</v>
      </c>
      <c r="HQ49" s="27">
        <v>65</v>
      </c>
      <c r="HT49" s="2" t="s">
        <v>656</v>
      </c>
    </row>
    <row r="50" spans="1:241" x14ac:dyDescent="0.25">
      <c r="A50" t="s">
        <v>657</v>
      </c>
      <c r="B50" s="62">
        <f>Inputs_Summary!AJ47</f>
        <v>0</v>
      </c>
      <c r="D50">
        <f t="shared" si="107"/>
        <v>2060</v>
      </c>
      <c r="E50">
        <f t="shared" si="108"/>
        <v>65</v>
      </c>
      <c r="F50" s="8"/>
      <c r="G50" s="8"/>
      <c r="H50" s="8"/>
      <c r="I50" s="8"/>
      <c r="J50" s="92"/>
      <c r="K50" s="91"/>
      <c r="L50" s="91"/>
      <c r="N50" s="93">
        <f t="shared" si="109"/>
        <v>0.05</v>
      </c>
      <c r="O50" s="23">
        <f t="shared" si="110"/>
        <v>0.4</v>
      </c>
      <c r="P50" s="23">
        <f t="shared" si="111"/>
        <v>0.1</v>
      </c>
      <c r="Q50" s="4">
        <f t="shared" si="169"/>
        <v>0</v>
      </c>
      <c r="R50" s="4">
        <f t="shared" si="269"/>
        <v>0</v>
      </c>
      <c r="S50" s="4">
        <f t="shared" si="113"/>
        <v>0</v>
      </c>
      <c r="T50" s="4">
        <f t="shared" ca="1" si="114"/>
        <v>0</v>
      </c>
      <c r="V50" s="18" t="e">
        <f t="shared" ca="1" si="170"/>
        <v>#NAME?</v>
      </c>
      <c r="W50" s="18" t="e">
        <f t="shared" ca="1" si="171"/>
        <v>#NAME?</v>
      </c>
      <c r="X50" s="18" t="e">
        <f t="shared" ca="1" si="172"/>
        <v>#NAME?</v>
      </c>
      <c r="Y50" s="18">
        <f t="shared" ca="1" si="173"/>
        <v>-9.8723760579448587</v>
      </c>
      <c r="Z50" s="18">
        <f t="shared" ca="1" si="174"/>
        <v>0</v>
      </c>
      <c r="AA50" s="18">
        <f t="shared" ca="1" si="175"/>
        <v>5.5479937933073131</v>
      </c>
      <c r="AB50" s="18">
        <f t="shared" ca="1" si="176"/>
        <v>-23.232328799547524</v>
      </c>
      <c r="AC50" s="18">
        <f t="shared" ca="1" si="177"/>
        <v>373.45317283575406</v>
      </c>
      <c r="AD50" s="18">
        <f t="shared" ca="1" si="178"/>
        <v>0</v>
      </c>
      <c r="AE50" s="18">
        <f t="shared" ca="1" si="179"/>
        <v>444.27524810699367</v>
      </c>
      <c r="AF50" s="18">
        <f t="shared" ca="1" si="180"/>
        <v>224.68944477015526</v>
      </c>
      <c r="AG50" s="18">
        <f t="shared" ca="1" si="181"/>
        <v>1042.417865712903</v>
      </c>
      <c r="AI50">
        <f>Person2!E50</f>
        <v>65</v>
      </c>
      <c r="AJ50">
        <f>Person2!AZ50</f>
        <v>2</v>
      </c>
      <c r="AK50">
        <f>IF($AZ50&lt;&gt;3,Person2!FM50,0)</f>
        <v>0</v>
      </c>
      <c r="AL50" s="4">
        <f ca="1">IF($AZ50&lt;&gt;3,Person2!FN50+Person2!FT50,0)</f>
        <v>0</v>
      </c>
      <c r="AM50">
        <f>IF($AZ50&lt;&gt;3,Person2!FO50,0)</f>
        <v>0</v>
      </c>
      <c r="AN50">
        <f>IF($AZ50&lt;&gt;3,Person2!FP50,0)</f>
        <v>0</v>
      </c>
      <c r="AO50">
        <f>IF($AZ50&lt;&gt;3,Person2!FQ50,0)</f>
        <v>0</v>
      </c>
      <c r="AP50">
        <f>IF($AZ50&lt;&gt;3,Person2!FR50,0)</f>
        <v>0</v>
      </c>
      <c r="AQ50">
        <v>0</v>
      </c>
      <c r="AR50" s="4">
        <f>Person2!FS50</f>
        <v>0</v>
      </c>
      <c r="AS50" s="4">
        <v>0</v>
      </c>
      <c r="AT50" s="4">
        <v>0</v>
      </c>
      <c r="AV50">
        <f t="shared" si="270"/>
        <v>2060</v>
      </c>
      <c r="AW50">
        <f t="shared" si="271"/>
        <v>65</v>
      </c>
      <c r="AX50">
        <f t="shared" si="272"/>
        <v>2.343189355345392</v>
      </c>
      <c r="AY50">
        <f t="shared" si="118"/>
        <v>0.4267687533313318</v>
      </c>
      <c r="AZ50">
        <f t="shared" si="119"/>
        <v>2</v>
      </c>
      <c r="BB50" s="4">
        <f t="shared" si="182"/>
        <v>0</v>
      </c>
      <c r="BC50">
        <f t="shared" si="183"/>
        <v>0</v>
      </c>
      <c r="BD50" s="4">
        <f t="shared" si="184"/>
        <v>28118.272264144704</v>
      </c>
      <c r="BE50" s="4">
        <f t="shared" ca="1" si="120"/>
        <v>16041.474326694553</v>
      </c>
      <c r="BF50" s="4">
        <f t="shared" si="121"/>
        <v>27868.809471392531</v>
      </c>
      <c r="BG50" s="4">
        <f t="shared" si="122"/>
        <v>0</v>
      </c>
      <c r="BH50" s="4">
        <f t="shared" si="185"/>
        <v>0</v>
      </c>
      <c r="BI50" s="4">
        <f t="shared" ca="1" si="123"/>
        <v>72028.556062231786</v>
      </c>
      <c r="BJ50" s="4"/>
      <c r="BK50" s="4">
        <f t="shared" si="186"/>
        <v>117159.4677672696</v>
      </c>
      <c r="BL50" s="4">
        <f t="shared" si="124"/>
        <v>0</v>
      </c>
      <c r="BM50" s="4">
        <f t="shared" si="125"/>
        <v>117159.4677672696</v>
      </c>
      <c r="BN50" s="4">
        <v>19439.68032888923</v>
      </c>
      <c r="BO50" s="4">
        <f t="shared" si="126"/>
        <v>136599.14809615884</v>
      </c>
      <c r="BP50" s="4">
        <f t="shared" ca="1" si="127"/>
        <v>-64570.592033927052</v>
      </c>
      <c r="BQ50" s="4"/>
      <c r="BR50" s="4">
        <v>0</v>
      </c>
      <c r="BS50" s="4">
        <f t="shared" ca="1" si="187"/>
        <v>0</v>
      </c>
      <c r="BT50" s="4">
        <f t="shared" ca="1" si="188"/>
        <v>13000</v>
      </c>
      <c r="BU50" s="4">
        <f t="shared" ca="1" si="189"/>
        <v>64570.592033927052</v>
      </c>
      <c r="BV50" s="4">
        <f t="shared" si="190"/>
        <v>1</v>
      </c>
      <c r="BW50" s="4">
        <f t="shared" ca="1" si="191"/>
        <v>23132.846490943099</v>
      </c>
      <c r="BX50" s="4">
        <f t="shared" ca="1" si="192"/>
        <v>0</v>
      </c>
      <c r="BY50" s="4">
        <f t="shared" ca="1" si="193"/>
        <v>54437.745542983954</v>
      </c>
      <c r="BZ50" s="4">
        <f t="shared" ca="1" si="194"/>
        <v>0</v>
      </c>
      <c r="CA50" s="4">
        <f t="shared" ca="1" si="26"/>
        <v>77570.592033927052</v>
      </c>
      <c r="CB50" s="4">
        <f t="shared" ca="1" si="160"/>
        <v>13000</v>
      </c>
      <c r="CC50" s="4"/>
      <c r="CD50" s="4">
        <f t="shared" ca="1" si="195"/>
        <v>149599.14809615884</v>
      </c>
      <c r="CE50" s="4">
        <f t="shared" ca="1" si="128"/>
        <v>117647.76784744332</v>
      </c>
      <c r="CF50" s="16">
        <f t="shared" ca="1" si="196"/>
        <v>0.30524559422942388</v>
      </c>
      <c r="CG50" s="4">
        <f t="shared" si="129"/>
        <v>0</v>
      </c>
      <c r="CH50" s="4" t="e">
        <f t="shared" ca="1" si="197"/>
        <v>#NAME?</v>
      </c>
      <c r="CI50" s="4" t="e">
        <f t="shared" ca="1" si="198"/>
        <v>#NAME?</v>
      </c>
      <c r="CJ50" s="4" t="e">
        <f t="shared" ca="1" si="130"/>
        <v>#NAME?</v>
      </c>
      <c r="CK50" s="4" t="e">
        <f t="shared" ca="1" si="31"/>
        <v>#NAME?</v>
      </c>
      <c r="CL50" s="4" t="e">
        <f t="shared" ca="1" si="199"/>
        <v>#NAME?</v>
      </c>
      <c r="CM50" s="16"/>
      <c r="CN50" s="4" t="e">
        <f t="shared" ca="1" si="200"/>
        <v>#NAME?</v>
      </c>
      <c r="CO50" s="4" t="e">
        <f t="shared" ca="1" si="201"/>
        <v>#NAME?</v>
      </c>
      <c r="CP50" s="4">
        <f t="shared" ca="1" si="279"/>
        <v>2442582.4467603369</v>
      </c>
      <c r="CQ50" s="4"/>
      <c r="CR50" s="4">
        <f t="shared" ca="1" si="202"/>
        <v>13000</v>
      </c>
      <c r="CS50" s="4">
        <f t="shared" ca="1" si="203"/>
        <v>53360</v>
      </c>
      <c r="CT50" s="4">
        <f t="shared" ca="1" si="204"/>
        <v>0</v>
      </c>
      <c r="CU50" s="4"/>
      <c r="CV50" s="4">
        <f t="shared" ca="1" si="132"/>
        <v>13000</v>
      </c>
      <c r="CW50" s="4">
        <f t="shared" ca="1" si="205"/>
        <v>0</v>
      </c>
      <c r="CX50" s="4">
        <f t="shared" ca="1" si="206"/>
        <v>0</v>
      </c>
      <c r="CY50" s="4">
        <f t="shared" ca="1" si="133"/>
        <v>13000</v>
      </c>
      <c r="CZ50" s="4"/>
      <c r="DA50" s="4">
        <f t="shared" ca="1" si="207"/>
        <v>13000</v>
      </c>
      <c r="DB50" s="4">
        <f t="shared" si="208"/>
        <v>0</v>
      </c>
      <c r="DC50" s="4">
        <f t="shared" ca="1" si="134"/>
        <v>0</v>
      </c>
      <c r="DD50" s="4">
        <f t="shared" ca="1" si="209"/>
        <v>0</v>
      </c>
      <c r="DE50" s="4">
        <f t="shared" ca="1" si="210"/>
        <v>0</v>
      </c>
      <c r="DF50" s="4">
        <f t="shared" ca="1" si="135"/>
        <v>0</v>
      </c>
      <c r="DG50" s="4">
        <f t="shared" ca="1" si="136"/>
        <v>0</v>
      </c>
      <c r="DH50" s="4">
        <f t="shared" ca="1" si="211"/>
        <v>0</v>
      </c>
      <c r="DI50" s="4"/>
      <c r="DJ50" s="4">
        <f t="shared" ca="1" si="212"/>
        <v>13000</v>
      </c>
      <c r="DK50" s="4">
        <f t="shared" ca="1" si="213"/>
        <v>13000</v>
      </c>
      <c r="DL50" s="4">
        <f t="shared" ca="1" si="214"/>
        <v>13000</v>
      </c>
      <c r="DM50" s="4">
        <f t="shared" ca="1" si="215"/>
        <v>13000</v>
      </c>
      <c r="DN50" s="4">
        <f t="shared" ca="1" si="216"/>
        <v>13000</v>
      </c>
      <c r="DO50" s="4">
        <f t="shared" ca="1" si="50"/>
        <v>0</v>
      </c>
      <c r="DP50" s="4"/>
      <c r="DQ50" s="4">
        <f t="shared" ca="1" si="217"/>
        <v>0</v>
      </c>
      <c r="DR50" s="4"/>
      <c r="DS50" s="4">
        <f t="shared" si="137"/>
        <v>0</v>
      </c>
      <c r="DT50" s="4">
        <f t="shared" ca="1" si="282"/>
        <v>0</v>
      </c>
      <c r="DU50" s="4">
        <f t="shared" si="218"/>
        <v>0</v>
      </c>
      <c r="DV50" s="4"/>
      <c r="DW50" s="4">
        <f t="shared" ca="1" si="273"/>
        <v>875071.49930870184</v>
      </c>
      <c r="DX50" s="4">
        <f t="shared" ca="1" si="219"/>
        <v>0</v>
      </c>
      <c r="DY50" s="4">
        <f t="shared" ca="1" si="139"/>
        <v>43753.574965435095</v>
      </c>
      <c r="DZ50" s="4">
        <f t="shared" ca="1" si="220"/>
        <v>23132.846490943099</v>
      </c>
      <c r="EA50" s="4">
        <f t="shared" ca="1" si="221"/>
        <v>0</v>
      </c>
      <c r="EB50" s="4">
        <f t="shared" ca="1" si="222"/>
        <v>918825.07427413692</v>
      </c>
      <c r="EC50" s="4">
        <f t="shared" si="223"/>
        <v>1</v>
      </c>
      <c r="ED50" s="4"/>
      <c r="EE50" s="4">
        <f t="shared" ca="1" si="274"/>
        <v>0</v>
      </c>
      <c r="EF50" s="4">
        <f t="shared" ca="1" si="224"/>
        <v>0</v>
      </c>
      <c r="EG50" s="4">
        <f t="shared" ca="1" si="141"/>
        <v>0</v>
      </c>
      <c r="EH50" s="4">
        <f t="shared" ca="1" si="225"/>
        <v>0</v>
      </c>
      <c r="EI50" s="4">
        <f t="shared" ca="1" si="226"/>
        <v>0</v>
      </c>
      <c r="EJ50" s="4">
        <f t="shared" ca="1" si="227"/>
        <v>0</v>
      </c>
      <c r="EK50" s="4">
        <f t="shared" si="228"/>
        <v>1</v>
      </c>
      <c r="EL50" s="4">
        <f t="shared" si="229"/>
        <v>0</v>
      </c>
      <c r="EM50" s="4"/>
      <c r="EN50" s="4">
        <f t="shared" ca="1" si="275"/>
        <v>1041021.0322077407</v>
      </c>
      <c r="EO50" s="4">
        <f t="shared" ca="1" si="230"/>
        <v>13000</v>
      </c>
      <c r="EP50" s="4">
        <f t="shared" ca="1" si="143"/>
        <v>52051.05161038704</v>
      </c>
      <c r="EQ50" s="4">
        <f t="shared" ca="1" si="231"/>
        <v>0</v>
      </c>
      <c r="ER50" s="4">
        <v>0</v>
      </c>
      <c r="ES50" s="4">
        <f t="shared" ca="1" si="144"/>
        <v>1093072.0838181276</v>
      </c>
      <c r="ET50" s="4"/>
      <c r="EU50" s="4">
        <f t="shared" ca="1" si="276"/>
        <v>526489.91524389421</v>
      </c>
      <c r="EV50" s="4">
        <f t="shared" ca="1" si="232"/>
        <v>0</v>
      </c>
      <c r="EW50" s="4">
        <f t="shared" ca="1" si="146"/>
        <v>26324.495762194711</v>
      </c>
      <c r="EX50" s="4">
        <f t="shared" ca="1" si="233"/>
        <v>54437.745542983954</v>
      </c>
      <c r="EY50" s="4">
        <v>0</v>
      </c>
      <c r="EZ50" s="4">
        <f t="shared" ca="1" si="147"/>
        <v>552814.41100608895</v>
      </c>
      <c r="FA50" s="4">
        <f t="shared" ca="1" si="277"/>
        <v>110086.54027853798</v>
      </c>
      <c r="FB50" s="1">
        <f t="shared" ca="1" si="234"/>
        <v>0.20909524967356852</v>
      </c>
      <c r="FC50" s="4">
        <f t="shared" ca="1" si="149"/>
        <v>10529.798304877884</v>
      </c>
      <c r="FD50" s="4">
        <f t="shared" ca="1" si="150"/>
        <v>13162.247881097355</v>
      </c>
      <c r="FE50" s="4">
        <f t="shared" ca="1" si="235"/>
        <v>3632.78041518287</v>
      </c>
      <c r="FF50" s="4">
        <f t="shared" ca="1" si="236"/>
        <v>545.64361836046703</v>
      </c>
      <c r="FG50" s="4">
        <f t="shared" ca="1" si="237"/>
        <v>363.27804151828701</v>
      </c>
      <c r="FH50" s="17">
        <f t="shared" ca="1" si="238"/>
        <v>11382.673995976422</v>
      </c>
      <c r="FI50" s="4">
        <f t="shared" ca="1" si="239"/>
        <v>5691.3369979882109</v>
      </c>
      <c r="FJ50" s="4"/>
      <c r="FK50" s="4">
        <f t="shared" ca="1" si="240"/>
        <v>2564711.5690983534</v>
      </c>
      <c r="FL50" s="4"/>
      <c r="FM50" s="4">
        <v>0</v>
      </c>
      <c r="FN50" s="4">
        <f t="shared" si="241"/>
        <v>0</v>
      </c>
      <c r="FO50" s="4">
        <f t="shared" si="242"/>
        <v>0</v>
      </c>
      <c r="FP50" s="4">
        <f t="shared" si="243"/>
        <v>0</v>
      </c>
      <c r="FQ50" s="4">
        <f t="shared" si="244"/>
        <v>0</v>
      </c>
      <c r="FR50" s="4">
        <f t="shared" si="245"/>
        <v>0</v>
      </c>
      <c r="FS50" s="4">
        <f t="shared" si="246"/>
        <v>9289.6031571308431</v>
      </c>
      <c r="FT50" s="4">
        <f t="shared" ca="1" si="247"/>
        <v>0</v>
      </c>
      <c r="FU50" s="4"/>
      <c r="FV50" s="3">
        <f t="shared" si="248"/>
        <v>0.4267687533313318</v>
      </c>
      <c r="FW50" s="3">
        <f t="shared" si="249"/>
        <v>0.4267687533313318</v>
      </c>
      <c r="FX50" s="4">
        <f t="shared" si="151"/>
        <v>2060</v>
      </c>
      <c r="FY50" s="18">
        <f t="shared" si="250"/>
        <v>0</v>
      </c>
      <c r="FZ50" s="18">
        <f t="shared" si="251"/>
        <v>12</v>
      </c>
      <c r="GA50" s="18">
        <f t="shared" ca="1" si="252"/>
        <v>6.8460000000000001</v>
      </c>
      <c r="GB50" s="18">
        <f t="shared" si="253"/>
        <v>11.893537074934603</v>
      </c>
      <c r="GC50" s="18">
        <f t="shared" ca="1" si="254"/>
        <v>9.8723760579448587</v>
      </c>
      <c r="GD50" s="18">
        <f t="shared" ca="1" si="255"/>
        <v>0</v>
      </c>
      <c r="GE50" s="18">
        <f t="shared" ca="1" si="256"/>
        <v>23.232328799547524</v>
      </c>
      <c r="GF50" s="18">
        <f t="shared" ca="1" si="257"/>
        <v>0</v>
      </c>
      <c r="GG50" s="18" t="e">
        <f t="shared" ca="1" si="258"/>
        <v>#NAME?</v>
      </c>
      <c r="GH50" s="18" t="e">
        <f t="shared" ca="1" si="259"/>
        <v>#NAME?</v>
      </c>
      <c r="GI50" s="4"/>
      <c r="GJ50" s="4">
        <f t="shared" si="260"/>
        <v>2060</v>
      </c>
      <c r="GK50" s="4">
        <f t="shared" ca="1" si="261"/>
        <v>373.45317283575406</v>
      </c>
      <c r="GL50" s="4">
        <f t="shared" ca="1" si="262"/>
        <v>0</v>
      </c>
      <c r="GM50" s="4">
        <f t="shared" ca="1" si="263"/>
        <v>444.27524810699367</v>
      </c>
      <c r="GN50" s="4">
        <f t="shared" ca="1" si="264"/>
        <v>224.68944477015526</v>
      </c>
      <c r="GO50" s="4"/>
      <c r="GP50" s="3">
        <f t="shared" ca="1" si="152"/>
        <v>0.35825668872276262</v>
      </c>
      <c r="GQ50" s="3">
        <f t="shared" ca="1" si="265"/>
        <v>0</v>
      </c>
      <c r="GR50" s="3">
        <f t="shared" ca="1" si="266"/>
        <v>0.21554642544090666</v>
      </c>
      <c r="GS50" s="3">
        <f t="shared" ca="1" si="267"/>
        <v>0.42619688583633075</v>
      </c>
      <c r="GT50" s="3">
        <f t="array" aca="1" ref="GT50" ca="1">SUM(GP50:GS50*$GU$6:$GX$6)</f>
        <v>1</v>
      </c>
      <c r="GU50" s="3">
        <f t="shared" ca="1" si="155"/>
        <v>0.35825668872276262</v>
      </c>
      <c r="GV50" s="3">
        <f t="shared" ca="1" si="156"/>
        <v>0</v>
      </c>
      <c r="GW50" s="3">
        <f t="shared" ca="1" si="157"/>
        <v>0.21554642544090666</v>
      </c>
      <c r="GX50" s="3">
        <f t="shared" ca="1" si="158"/>
        <v>0.42619688583633075</v>
      </c>
      <c r="GY50" s="11"/>
      <c r="GZ50" s="27">
        <v>92</v>
      </c>
      <c r="HA50" s="30">
        <v>0.1449</v>
      </c>
      <c r="HB50" s="29">
        <f t="shared" ca="1" si="153"/>
        <v>1</v>
      </c>
      <c r="HC50" s="29">
        <v>1</v>
      </c>
      <c r="HD50" s="29">
        <v>0.2</v>
      </c>
      <c r="HE50" s="29">
        <v>1</v>
      </c>
      <c r="HG50" s="27">
        <v>90</v>
      </c>
      <c r="HH50" s="30">
        <v>0.1192</v>
      </c>
      <c r="HJ50">
        <f t="shared" si="159"/>
        <v>2053</v>
      </c>
      <c r="HK50" s="28">
        <f t="shared" si="164"/>
        <v>46460</v>
      </c>
      <c r="HL50" s="27">
        <f t="shared" si="162"/>
        <v>11500</v>
      </c>
      <c r="HM50" s="28">
        <f t="shared" si="163"/>
        <v>11443.767998245106</v>
      </c>
      <c r="HO50" t="s">
        <v>582</v>
      </c>
      <c r="HQ50" s="27">
        <v>35927</v>
      </c>
      <c r="HR50" s="4">
        <f>HQ50*(1+$B$15)^($B$7-$HP$26)</f>
        <v>35927</v>
      </c>
      <c r="HT50" s="2" t="s">
        <v>654</v>
      </c>
    </row>
    <row r="51" spans="1:241" x14ac:dyDescent="0.25">
      <c r="D51">
        <f t="shared" si="107"/>
        <v>2061</v>
      </c>
      <c r="E51">
        <f t="shared" si="108"/>
        <v>66</v>
      </c>
      <c r="F51" s="8"/>
      <c r="G51" s="8"/>
      <c r="H51" s="8"/>
      <c r="I51" s="8"/>
      <c r="J51" s="92"/>
      <c r="K51" s="91"/>
      <c r="L51" s="91"/>
      <c r="N51" s="93">
        <f t="shared" si="109"/>
        <v>0.05</v>
      </c>
      <c r="O51" s="23">
        <f t="shared" si="110"/>
        <v>0.4</v>
      </c>
      <c r="P51" s="23">
        <f t="shared" si="111"/>
        <v>0.1</v>
      </c>
      <c r="Q51" s="4">
        <f t="shared" si="169"/>
        <v>0</v>
      </c>
      <c r="R51" s="4">
        <f t="shared" si="269"/>
        <v>0</v>
      </c>
      <c r="S51" s="4">
        <f t="shared" si="113"/>
        <v>0</v>
      </c>
      <c r="T51" s="4">
        <f t="shared" ca="1" si="114"/>
        <v>0</v>
      </c>
      <c r="V51" s="18" t="e">
        <f t="shared" ca="1" si="170"/>
        <v>#NAME?</v>
      </c>
      <c r="W51" s="18" t="e">
        <f t="shared" ca="1" si="171"/>
        <v>#NAME?</v>
      </c>
      <c r="X51" s="18" t="e">
        <f t="shared" ca="1" si="172"/>
        <v>#NAME?</v>
      </c>
      <c r="Y51" s="18">
        <f t="shared" ca="1" si="173"/>
        <v>-9.9110686560784202</v>
      </c>
      <c r="Z51" s="18">
        <f t="shared" ca="1" si="174"/>
        <v>0</v>
      </c>
      <c r="AA51" s="18">
        <f t="shared" ca="1" si="175"/>
        <v>5.6484099705617457</v>
      </c>
      <c r="AB51" s="18">
        <f t="shared" ca="1" si="176"/>
        <v>-23.402054823148934</v>
      </c>
      <c r="AC51" s="18">
        <f t="shared" ca="1" si="177"/>
        <v>374.75828962705583</v>
      </c>
      <c r="AD51" s="18">
        <f t="shared" ca="1" si="178"/>
        <v>0</v>
      </c>
      <c r="AE51" s="18">
        <f t="shared" ca="1" si="179"/>
        <v>462.7813767702458</v>
      </c>
      <c r="AF51" s="18">
        <f t="shared" ca="1" si="180"/>
        <v>208.52116491089762</v>
      </c>
      <c r="AG51" s="18">
        <f t="shared" ca="1" si="181"/>
        <v>1046.0608313081993</v>
      </c>
      <c r="AI51">
        <f>Person2!E51</f>
        <v>66</v>
      </c>
      <c r="AJ51">
        <f>Person2!AZ51</f>
        <v>2</v>
      </c>
      <c r="AK51">
        <f>IF($AZ51&lt;&gt;3,Person2!FM51,0)</f>
        <v>0</v>
      </c>
      <c r="AL51" s="4">
        <f ca="1">IF($AZ51&lt;&gt;3,Person2!FN51+Person2!FT51,0)</f>
        <v>0</v>
      </c>
      <c r="AM51">
        <f>IF($AZ51&lt;&gt;3,Person2!FO51,0)</f>
        <v>0</v>
      </c>
      <c r="AN51">
        <f>IF($AZ51&lt;&gt;3,Person2!FP51,0)</f>
        <v>0</v>
      </c>
      <c r="AO51">
        <f>IF($AZ51&lt;&gt;3,Person2!FQ51,0)</f>
        <v>0</v>
      </c>
      <c r="AP51">
        <f>IF($AZ51&lt;&gt;3,Person2!FR51,0)</f>
        <v>0</v>
      </c>
      <c r="AQ51">
        <v>0</v>
      </c>
      <c r="AR51" s="4">
        <f>Person2!FS51</f>
        <v>0</v>
      </c>
      <c r="AS51" s="4">
        <v>0</v>
      </c>
      <c r="AT51" s="4">
        <v>0</v>
      </c>
      <c r="AV51">
        <f t="shared" si="270"/>
        <v>2061</v>
      </c>
      <c r="AW51">
        <f t="shared" si="271"/>
        <v>66</v>
      </c>
      <c r="AX51">
        <f t="shared" si="272"/>
        <v>2.3900531424522997</v>
      </c>
      <c r="AY51">
        <f t="shared" si="118"/>
        <v>0.41840073856012927</v>
      </c>
      <c r="AZ51">
        <f t="shared" si="119"/>
        <v>2</v>
      </c>
      <c r="BB51" s="4">
        <f t="shared" si="182"/>
        <v>0</v>
      </c>
      <c r="BC51">
        <f t="shared" si="183"/>
        <v>0</v>
      </c>
      <c r="BD51" s="4">
        <f t="shared" si="184"/>
        <v>28680.637709427596</v>
      </c>
      <c r="BE51" s="4">
        <f t="shared" ca="1" si="120"/>
        <v>16362.303813228444</v>
      </c>
      <c r="BF51" s="4">
        <f t="shared" si="121"/>
        <v>27691.822955777854</v>
      </c>
      <c r="BG51" s="4">
        <f t="shared" si="122"/>
        <v>0</v>
      </c>
      <c r="BH51" s="4">
        <f t="shared" si="185"/>
        <v>0</v>
      </c>
      <c r="BI51" s="4">
        <f t="shared" ca="1" si="123"/>
        <v>72734.764478433892</v>
      </c>
      <c r="BJ51" s="4"/>
      <c r="BK51" s="4">
        <f t="shared" si="186"/>
        <v>119502.65712261498</v>
      </c>
      <c r="BL51" s="4">
        <f t="shared" si="124"/>
        <v>0</v>
      </c>
      <c r="BM51" s="4">
        <f t="shared" si="125"/>
        <v>119502.65712261498</v>
      </c>
      <c r="BN51" s="4">
        <v>19352.242812247721</v>
      </c>
      <c r="BO51" s="4">
        <f t="shared" si="126"/>
        <v>138854.89993486271</v>
      </c>
      <c r="BP51" s="4">
        <f t="shared" ca="1" si="127"/>
        <v>-66120.135456428819</v>
      </c>
      <c r="BQ51" s="4"/>
      <c r="BR51" s="4">
        <v>0</v>
      </c>
      <c r="BS51" s="4">
        <f t="shared" ca="1" si="187"/>
        <v>0</v>
      </c>
      <c r="BT51" s="4">
        <f t="shared" ca="1" si="188"/>
        <v>13500</v>
      </c>
      <c r="BU51" s="4">
        <f t="shared" ca="1" si="189"/>
        <v>66120.135456428819</v>
      </c>
      <c r="BV51" s="4">
        <f t="shared" si="190"/>
        <v>1</v>
      </c>
      <c r="BW51" s="4">
        <f t="shared" ca="1" si="191"/>
        <v>23687.980786520719</v>
      </c>
      <c r="BX51" s="4">
        <f t="shared" ca="1" si="192"/>
        <v>0</v>
      </c>
      <c r="BY51" s="4">
        <f t="shared" ca="1" si="193"/>
        <v>55932.154669908101</v>
      </c>
      <c r="BZ51" s="4">
        <f t="shared" ca="1" si="194"/>
        <v>0</v>
      </c>
      <c r="CA51" s="4">
        <f t="shared" ca="1" si="26"/>
        <v>79620.135456428819</v>
      </c>
      <c r="CB51" s="4">
        <f t="shared" ca="1" si="160"/>
        <v>13500</v>
      </c>
      <c r="CC51" s="4"/>
      <c r="CD51" s="4">
        <f t="shared" ca="1" si="195"/>
        <v>152354.89993486271</v>
      </c>
      <c r="CE51" s="4">
        <f t="shared" ca="1" si="128"/>
        <v>118450.53581743508</v>
      </c>
      <c r="CF51" s="16">
        <f t="shared" ca="1" si="196"/>
        <v>0.32353432729651266</v>
      </c>
      <c r="CG51" s="4">
        <f t="shared" si="129"/>
        <v>0</v>
      </c>
      <c r="CH51" s="4" t="e">
        <f t="shared" ca="1" si="197"/>
        <v>#NAME?</v>
      </c>
      <c r="CI51" s="4" t="e">
        <f t="shared" ca="1" si="198"/>
        <v>#NAME?</v>
      </c>
      <c r="CJ51" s="4" t="e">
        <f t="shared" ca="1" si="130"/>
        <v>#NAME?</v>
      </c>
      <c r="CK51" s="4" t="e">
        <f t="shared" ca="1" si="31"/>
        <v>#NAME?</v>
      </c>
      <c r="CL51" s="4" t="e">
        <f t="shared" ca="1" si="199"/>
        <v>#NAME?</v>
      </c>
      <c r="CM51" s="16"/>
      <c r="CN51" s="4" t="e">
        <f t="shared" ca="1" si="200"/>
        <v>#NAME?</v>
      </c>
      <c r="CO51" s="4" t="e">
        <f t="shared" ca="1" si="201"/>
        <v>#NAME?</v>
      </c>
      <c r="CP51" s="4">
        <f t="shared" ca="1" si="279"/>
        <v>2500140.9770644265</v>
      </c>
      <c r="CQ51" s="4"/>
      <c r="CR51" s="4">
        <f t="shared" ca="1" si="202"/>
        <v>13500</v>
      </c>
      <c r="CS51" s="4">
        <f t="shared" ca="1" si="203"/>
        <v>54430</v>
      </c>
      <c r="CT51" s="4">
        <f t="shared" ca="1" si="204"/>
        <v>0</v>
      </c>
      <c r="CU51" s="4"/>
      <c r="CV51" s="4">
        <f t="shared" ca="1" si="132"/>
        <v>13500</v>
      </c>
      <c r="CW51" s="4">
        <f t="shared" ca="1" si="205"/>
        <v>0</v>
      </c>
      <c r="CX51" s="4">
        <f t="shared" ca="1" si="206"/>
        <v>0</v>
      </c>
      <c r="CY51" s="4">
        <f t="shared" ca="1" si="133"/>
        <v>13500</v>
      </c>
      <c r="CZ51" s="4"/>
      <c r="DA51" s="4">
        <f t="shared" ca="1" si="207"/>
        <v>13500</v>
      </c>
      <c r="DB51" s="4">
        <f t="shared" si="208"/>
        <v>0</v>
      </c>
      <c r="DC51" s="4">
        <f t="shared" ca="1" si="134"/>
        <v>0</v>
      </c>
      <c r="DD51" s="4">
        <f t="shared" ca="1" si="209"/>
        <v>0</v>
      </c>
      <c r="DE51" s="4">
        <f t="shared" ca="1" si="210"/>
        <v>0</v>
      </c>
      <c r="DF51" s="4">
        <f t="shared" ca="1" si="135"/>
        <v>0</v>
      </c>
      <c r="DG51" s="4">
        <f t="shared" ca="1" si="136"/>
        <v>0</v>
      </c>
      <c r="DH51" s="4">
        <f t="shared" ca="1" si="211"/>
        <v>0</v>
      </c>
      <c r="DI51" s="4"/>
      <c r="DJ51" s="4">
        <f t="shared" ca="1" si="212"/>
        <v>13500</v>
      </c>
      <c r="DK51" s="4">
        <f t="shared" ca="1" si="213"/>
        <v>13500</v>
      </c>
      <c r="DL51" s="4">
        <f t="shared" ca="1" si="214"/>
        <v>13500</v>
      </c>
      <c r="DM51" s="4">
        <f t="shared" ca="1" si="215"/>
        <v>13500</v>
      </c>
      <c r="DN51" s="4">
        <f t="shared" ca="1" si="216"/>
        <v>13500</v>
      </c>
      <c r="DO51" s="4">
        <f t="shared" ca="1" si="50"/>
        <v>0</v>
      </c>
      <c r="DP51" s="4"/>
      <c r="DQ51" s="4">
        <f t="shared" ca="1" si="217"/>
        <v>0</v>
      </c>
      <c r="DR51" s="4"/>
      <c r="DS51" s="4">
        <f t="shared" si="137"/>
        <v>0</v>
      </c>
      <c r="DT51" s="4">
        <f t="shared" ca="1" si="282"/>
        <v>0</v>
      </c>
      <c r="DU51" s="4">
        <f t="shared" si="218"/>
        <v>0</v>
      </c>
      <c r="DV51" s="4"/>
      <c r="DW51" s="4">
        <f t="shared" ca="1" si="273"/>
        <v>895692.22778319381</v>
      </c>
      <c r="DX51" s="4">
        <f t="shared" ca="1" si="219"/>
        <v>0</v>
      </c>
      <c r="DY51" s="4">
        <f t="shared" ca="1" si="139"/>
        <v>44784.611389159691</v>
      </c>
      <c r="DZ51" s="4">
        <f t="shared" ca="1" si="220"/>
        <v>23687.980786520719</v>
      </c>
      <c r="EA51" s="4">
        <f t="shared" ca="1" si="221"/>
        <v>0</v>
      </c>
      <c r="EB51" s="4">
        <f t="shared" ca="1" si="222"/>
        <v>940476.8391723535</v>
      </c>
      <c r="EC51" s="4">
        <f t="shared" si="223"/>
        <v>1</v>
      </c>
      <c r="ED51" s="4"/>
      <c r="EE51" s="4">
        <f t="shared" ca="1" si="274"/>
        <v>0</v>
      </c>
      <c r="EF51" s="4">
        <f t="shared" ca="1" si="224"/>
        <v>0</v>
      </c>
      <c r="EG51" s="4">
        <f t="shared" ca="1" si="141"/>
        <v>0</v>
      </c>
      <c r="EH51" s="4">
        <f t="shared" ca="1" si="225"/>
        <v>0</v>
      </c>
      <c r="EI51" s="4">
        <f t="shared" ca="1" si="226"/>
        <v>0</v>
      </c>
      <c r="EJ51" s="4">
        <f t="shared" ca="1" si="227"/>
        <v>0</v>
      </c>
      <c r="EK51" s="4">
        <f t="shared" si="228"/>
        <v>1</v>
      </c>
      <c r="EL51" s="4">
        <f t="shared" si="229"/>
        <v>0</v>
      </c>
      <c r="EM51" s="4"/>
      <c r="EN51" s="4">
        <f t="shared" ca="1" si="275"/>
        <v>1106072.0838181276</v>
      </c>
      <c r="EO51" s="4">
        <f t="shared" ca="1" si="230"/>
        <v>13500</v>
      </c>
      <c r="EP51" s="4">
        <f t="shared" ca="1" si="143"/>
        <v>55303.604190906386</v>
      </c>
      <c r="EQ51" s="4">
        <f t="shared" ca="1" si="231"/>
        <v>0</v>
      </c>
      <c r="ER51" s="4">
        <v>0</v>
      </c>
      <c r="ES51" s="4">
        <f t="shared" ca="1" si="144"/>
        <v>1161375.6880090339</v>
      </c>
      <c r="ET51" s="4"/>
      <c r="EU51" s="4">
        <f t="shared" ca="1" si="276"/>
        <v>498376.66546310502</v>
      </c>
      <c r="EV51" s="4">
        <f t="shared" ca="1" si="232"/>
        <v>0</v>
      </c>
      <c r="EW51" s="4">
        <f t="shared" ca="1" si="146"/>
        <v>24918.833273155251</v>
      </c>
      <c r="EX51" s="4">
        <f t="shared" ca="1" si="233"/>
        <v>55932.154669908101</v>
      </c>
      <c r="EY51" s="4">
        <v>0</v>
      </c>
      <c r="EZ51" s="4">
        <f t="shared" ca="1" si="147"/>
        <v>523295.49873626028</v>
      </c>
      <c r="FA51" s="4">
        <f t="shared" ca="1" si="277"/>
        <v>109233.66458743945</v>
      </c>
      <c r="FB51" s="1">
        <f t="shared" ca="1" si="234"/>
        <v>0.21917893063058355</v>
      </c>
      <c r="FC51" s="4">
        <f t="shared" ca="1" si="149"/>
        <v>9967.5333092621004</v>
      </c>
      <c r="FD51" s="4">
        <f t="shared" ca="1" si="150"/>
        <v>12459.416636577625</v>
      </c>
      <c r="FE51" s="4">
        <f t="shared" ca="1" si="235"/>
        <v>3438.7989916954243</v>
      </c>
      <c r="FF51" s="4">
        <f t="shared" ca="1" si="236"/>
        <v>516.50760855265275</v>
      </c>
      <c r="FG51" s="4">
        <f t="shared" ca="1" si="237"/>
        <v>343.87989916954245</v>
      </c>
      <c r="FH51" s="17">
        <f t="shared" ca="1" si="238"/>
        <v>12259.149848414858</v>
      </c>
      <c r="FI51" s="4">
        <f t="shared" ca="1" si="239"/>
        <v>6129.5749242074289</v>
      </c>
      <c r="FJ51" s="4"/>
      <c r="FK51" s="4">
        <f t="shared" ca="1" si="240"/>
        <v>2625148.0259176479</v>
      </c>
      <c r="FL51" s="4"/>
      <c r="FM51" s="4">
        <v>0</v>
      </c>
      <c r="FN51" s="4">
        <f t="shared" si="241"/>
        <v>0</v>
      </c>
      <c r="FO51" s="4">
        <f t="shared" si="242"/>
        <v>0</v>
      </c>
      <c r="FP51" s="4">
        <f t="shared" si="243"/>
        <v>0</v>
      </c>
      <c r="FQ51" s="4">
        <f t="shared" si="244"/>
        <v>0</v>
      </c>
      <c r="FR51" s="4">
        <f t="shared" si="245"/>
        <v>0</v>
      </c>
      <c r="FS51" s="4">
        <f t="shared" si="246"/>
        <v>9230.6076519259514</v>
      </c>
      <c r="FT51" s="4">
        <f t="shared" ca="1" si="247"/>
        <v>0</v>
      </c>
      <c r="FU51" s="4"/>
      <c r="FV51" s="3">
        <f t="shared" si="248"/>
        <v>0.41840073856012927</v>
      </c>
      <c r="FW51" s="3">
        <f t="shared" si="249"/>
        <v>0.41840073856012927</v>
      </c>
      <c r="FX51" s="4">
        <f t="shared" si="151"/>
        <v>2061</v>
      </c>
      <c r="FY51" s="18">
        <f t="shared" si="250"/>
        <v>0</v>
      </c>
      <c r="FZ51" s="18">
        <f t="shared" si="251"/>
        <v>12</v>
      </c>
      <c r="GA51" s="18">
        <f t="shared" ca="1" si="252"/>
        <v>6.8460000000000001</v>
      </c>
      <c r="GB51" s="18">
        <f t="shared" si="253"/>
        <v>11.586279176773797</v>
      </c>
      <c r="GC51" s="18">
        <f t="shared" ca="1" si="254"/>
        <v>9.9110686560784202</v>
      </c>
      <c r="GD51" s="18">
        <f t="shared" ca="1" si="255"/>
        <v>0</v>
      </c>
      <c r="GE51" s="18">
        <f t="shared" ca="1" si="256"/>
        <v>23.402054823148934</v>
      </c>
      <c r="GF51" s="18">
        <f t="shared" ca="1" si="257"/>
        <v>0</v>
      </c>
      <c r="GG51" s="18" t="e">
        <f t="shared" ca="1" si="258"/>
        <v>#NAME?</v>
      </c>
      <c r="GH51" s="18" t="e">
        <f t="shared" ca="1" si="259"/>
        <v>#NAME?</v>
      </c>
      <c r="GI51" s="4"/>
      <c r="GJ51" s="4">
        <f t="shared" si="260"/>
        <v>2061</v>
      </c>
      <c r="GK51" s="4">
        <f t="shared" ca="1" si="261"/>
        <v>374.75828962705583</v>
      </c>
      <c r="GL51" s="4">
        <f t="shared" ca="1" si="262"/>
        <v>0</v>
      </c>
      <c r="GM51" s="4">
        <f t="shared" ca="1" si="263"/>
        <v>462.7813767702458</v>
      </c>
      <c r="GN51" s="4">
        <f t="shared" ca="1" si="264"/>
        <v>208.52116491089762</v>
      </c>
      <c r="GO51" s="4"/>
      <c r="GP51" s="3">
        <f t="shared" ca="1" si="152"/>
        <v>0.35825668872276262</v>
      </c>
      <c r="GQ51" s="3">
        <f t="shared" ca="1" si="265"/>
        <v>0</v>
      </c>
      <c r="GR51" s="3">
        <f t="shared" ca="1" si="266"/>
        <v>0.19933942527044238</v>
      </c>
      <c r="GS51" s="3">
        <f t="shared" ca="1" si="267"/>
        <v>0.44240388600679498</v>
      </c>
      <c r="GT51" s="3">
        <f t="array" aca="1" ref="GT51" ca="1">SUM(GP51:GS51*$GU$6:$GX$6)</f>
        <v>1</v>
      </c>
      <c r="GU51" s="3">
        <f t="shared" ca="1" si="155"/>
        <v>0.35825668872276262</v>
      </c>
      <c r="GV51" s="3">
        <f t="shared" ca="1" si="156"/>
        <v>0</v>
      </c>
      <c r="GW51" s="3">
        <f t="shared" ca="1" si="157"/>
        <v>0.19933942527044238</v>
      </c>
      <c r="GX51" s="3">
        <f t="shared" ca="1" si="158"/>
        <v>0.44240388600679498</v>
      </c>
      <c r="GY51" s="11"/>
      <c r="GZ51" s="27">
        <v>93</v>
      </c>
      <c r="HA51" s="30">
        <v>0.16339999999999999</v>
      </c>
      <c r="HB51" s="29">
        <f t="shared" ca="1" si="153"/>
        <v>1</v>
      </c>
      <c r="HC51" s="29">
        <v>1</v>
      </c>
      <c r="HD51" s="29">
        <v>0.2</v>
      </c>
      <c r="HE51" s="29">
        <v>1</v>
      </c>
      <c r="HG51" s="27">
        <v>91</v>
      </c>
      <c r="HH51" s="30">
        <v>0.13059999999999999</v>
      </c>
      <c r="HJ51">
        <f t="shared" si="159"/>
        <v>2054</v>
      </c>
      <c r="HK51" s="28">
        <f t="shared" si="164"/>
        <v>47390</v>
      </c>
      <c r="HL51" s="27">
        <f t="shared" si="162"/>
        <v>11500</v>
      </c>
      <c r="HM51" s="28">
        <f t="shared" si="163"/>
        <v>11672.643358210009</v>
      </c>
      <c r="HO51" t="s">
        <v>583</v>
      </c>
      <c r="HQ51" s="66">
        <v>0.15</v>
      </c>
      <c r="HT51" s="2"/>
    </row>
    <row r="52" spans="1:241" x14ac:dyDescent="0.25">
      <c r="A52" s="15" t="s">
        <v>417</v>
      </c>
      <c r="D52">
        <f t="shared" si="107"/>
        <v>2062</v>
      </c>
      <c r="E52">
        <f t="shared" si="108"/>
        <v>67</v>
      </c>
      <c r="F52" s="8"/>
      <c r="G52" s="8"/>
      <c r="H52" s="8"/>
      <c r="I52" s="8"/>
      <c r="J52" s="92"/>
      <c r="K52" s="91"/>
      <c r="L52" s="91"/>
      <c r="N52" s="93">
        <f t="shared" si="109"/>
        <v>0.05</v>
      </c>
      <c r="O52" s="23">
        <f t="shared" si="110"/>
        <v>0.4</v>
      </c>
      <c r="P52" s="23">
        <f t="shared" si="111"/>
        <v>0.1</v>
      </c>
      <c r="Q52" s="4">
        <f t="shared" si="169"/>
        <v>0</v>
      </c>
      <c r="R52" s="4">
        <f t="shared" si="269"/>
        <v>0</v>
      </c>
      <c r="S52" s="4">
        <f t="shared" si="113"/>
        <v>0</v>
      </c>
      <c r="T52" s="4">
        <f t="shared" ca="1" si="114"/>
        <v>0</v>
      </c>
      <c r="V52" s="18" t="e">
        <f t="shared" ca="1" si="170"/>
        <v>#NAME?</v>
      </c>
      <c r="W52" s="18" t="e">
        <f t="shared" ca="1" si="171"/>
        <v>#NAME?</v>
      </c>
      <c r="X52" s="18" t="e">
        <f t="shared" ca="1" si="172"/>
        <v>#NAME?</v>
      </c>
      <c r="Y52" s="18">
        <f t="shared" ca="1" si="173"/>
        <v>-9.9403549392605175</v>
      </c>
      <c r="Z52" s="18">
        <f t="shared" ca="1" si="174"/>
        <v>0</v>
      </c>
      <c r="AA52" s="18">
        <f t="shared" ca="1" si="175"/>
        <v>5.5376568338840633</v>
      </c>
      <c r="AB52" s="18">
        <f t="shared" ca="1" si="176"/>
        <v>-23.343762050606497</v>
      </c>
      <c r="AC52" s="18">
        <f t="shared" ca="1" si="177"/>
        <v>376.06385828659819</v>
      </c>
      <c r="AD52" s="18">
        <f t="shared" ca="1" si="178"/>
        <v>0</v>
      </c>
      <c r="AE52" s="18">
        <f t="shared" ca="1" si="179"/>
        <v>481.93025056796057</v>
      </c>
      <c r="AF52" s="18">
        <f t="shared" ca="1" si="180"/>
        <v>191.71094934636622</v>
      </c>
      <c r="AG52" s="18">
        <f t="shared" ca="1" si="181"/>
        <v>1049.7050582009251</v>
      </c>
      <c r="AI52">
        <f>Person2!E52</f>
        <v>67</v>
      </c>
      <c r="AJ52">
        <f>Person2!AZ52</f>
        <v>2</v>
      </c>
      <c r="AK52">
        <f>IF($AZ52&lt;&gt;3,Person2!FM52,0)</f>
        <v>0</v>
      </c>
      <c r="AL52" s="4">
        <f ca="1">IF($AZ52&lt;&gt;3,Person2!FN52+Person2!FT52,0)</f>
        <v>0</v>
      </c>
      <c r="AM52">
        <f>IF($AZ52&lt;&gt;3,Person2!FO52,0)</f>
        <v>0</v>
      </c>
      <c r="AN52">
        <f>IF($AZ52&lt;&gt;3,Person2!FP52,0)</f>
        <v>0</v>
      </c>
      <c r="AO52">
        <f>IF($AZ52&lt;&gt;3,Person2!FQ52,0)</f>
        <v>0</v>
      </c>
      <c r="AP52">
        <f>IF($AZ52&lt;&gt;3,Person2!FR52,0)</f>
        <v>0</v>
      </c>
      <c r="AQ52">
        <v>0</v>
      </c>
      <c r="AR52" s="4">
        <f>Person2!FS52</f>
        <v>0</v>
      </c>
      <c r="AS52" s="4">
        <v>0</v>
      </c>
      <c r="AT52" s="4">
        <v>0</v>
      </c>
      <c r="AV52">
        <f t="shared" si="270"/>
        <v>2062</v>
      </c>
      <c r="AW52">
        <f t="shared" si="271"/>
        <v>67</v>
      </c>
      <c r="AX52">
        <f t="shared" si="272"/>
        <v>2.4378542053013459</v>
      </c>
      <c r="AY52">
        <f t="shared" si="118"/>
        <v>0.41019680250993062</v>
      </c>
      <c r="AZ52">
        <f t="shared" si="119"/>
        <v>2</v>
      </c>
      <c r="BB52" s="4">
        <f t="shared" si="182"/>
        <v>0</v>
      </c>
      <c r="BC52">
        <f t="shared" si="183"/>
        <v>0</v>
      </c>
      <c r="BD52" s="4">
        <f t="shared" si="184"/>
        <v>29254.25046361615</v>
      </c>
      <c r="BE52" s="4">
        <f t="shared" ca="1" si="120"/>
        <v>16689.549889493013</v>
      </c>
      <c r="BF52" s="4">
        <f t="shared" si="121"/>
        <v>27507.624896325677</v>
      </c>
      <c r="BG52" s="4">
        <f t="shared" si="122"/>
        <v>0</v>
      </c>
      <c r="BH52" s="4">
        <f t="shared" si="185"/>
        <v>0</v>
      </c>
      <c r="BI52" s="4">
        <f t="shared" ca="1" si="123"/>
        <v>73451.425249434848</v>
      </c>
      <c r="BJ52" s="4"/>
      <c r="BK52" s="4">
        <f t="shared" si="186"/>
        <v>121892.71026506729</v>
      </c>
      <c r="BL52" s="4">
        <f t="shared" si="124"/>
        <v>0</v>
      </c>
      <c r="BM52" s="4">
        <f t="shared" si="125"/>
        <v>121892.71026506729</v>
      </c>
      <c r="BN52" s="4">
        <v>19200.53955785682</v>
      </c>
      <c r="BO52" s="4">
        <f t="shared" si="126"/>
        <v>141093.24982292412</v>
      </c>
      <c r="BP52" s="4">
        <f t="shared" ca="1" si="127"/>
        <v>-67641.82457348927</v>
      </c>
      <c r="BQ52" s="4"/>
      <c r="BR52" s="4">
        <v>0</v>
      </c>
      <c r="BS52" s="4">
        <f t="shared" ca="1" si="187"/>
        <v>0</v>
      </c>
      <c r="BT52" s="4">
        <f t="shared" ca="1" si="188"/>
        <v>13500</v>
      </c>
      <c r="BU52" s="4">
        <f t="shared" ca="1" si="189"/>
        <v>67641.82457348927</v>
      </c>
      <c r="BV52" s="4">
        <f t="shared" si="190"/>
        <v>1</v>
      </c>
      <c r="BW52" s="4">
        <f t="shared" ca="1" si="191"/>
        <v>24233.13609086426</v>
      </c>
      <c r="BX52" s="4">
        <f t="shared" ca="1" si="192"/>
        <v>0</v>
      </c>
      <c r="BY52" s="4">
        <f t="shared" ca="1" si="193"/>
        <v>56908.68848262501</v>
      </c>
      <c r="BZ52" s="4">
        <f t="shared" ca="1" si="194"/>
        <v>0</v>
      </c>
      <c r="CA52" s="4">
        <f t="shared" ca="1" si="26"/>
        <v>81141.82457348927</v>
      </c>
      <c r="CB52" s="4">
        <f t="shared" ca="1" si="160"/>
        <v>13500</v>
      </c>
      <c r="CC52" s="4"/>
      <c r="CD52" s="4">
        <f t="shared" ca="1" si="195"/>
        <v>154593.24982292412</v>
      </c>
      <c r="CE52" s="4">
        <f t="shared" ca="1" si="128"/>
        <v>119104.37309630679</v>
      </c>
      <c r="CF52" s="16">
        <f t="shared" ca="1" si="196"/>
        <v>0.34561415095269188</v>
      </c>
      <c r="CG52" s="4">
        <f t="shared" si="129"/>
        <v>0</v>
      </c>
      <c r="CH52" s="4" t="e">
        <f t="shared" ca="1" si="197"/>
        <v>#NAME?</v>
      </c>
      <c r="CI52" s="4" t="e">
        <f t="shared" ca="1" si="198"/>
        <v>#NAME?</v>
      </c>
      <c r="CJ52" s="4" t="e">
        <f t="shared" ca="1" si="130"/>
        <v>#NAME?</v>
      </c>
      <c r="CK52" s="4" t="e">
        <f t="shared" ca="1" si="31"/>
        <v>#NAME?</v>
      </c>
      <c r="CL52" s="4" t="e">
        <f t="shared" ca="1" si="199"/>
        <v>#NAME?</v>
      </c>
      <c r="CM52" s="16"/>
      <c r="CN52" s="4" t="e">
        <f t="shared" ca="1" si="200"/>
        <v>#NAME?</v>
      </c>
      <c r="CO52" s="4" t="e">
        <f t="shared" ca="1" si="201"/>
        <v>#NAME?</v>
      </c>
      <c r="CP52" s="4">
        <f t="shared" ca="1" si="279"/>
        <v>2559027.890461219</v>
      </c>
      <c r="CQ52" s="4"/>
      <c r="CR52" s="4">
        <f t="shared" ca="1" si="202"/>
        <v>13500</v>
      </c>
      <c r="CS52" s="4">
        <f t="shared" ca="1" si="203"/>
        <v>55520</v>
      </c>
      <c r="CT52" s="4">
        <f t="shared" ca="1" si="204"/>
        <v>0</v>
      </c>
      <c r="CU52" s="4"/>
      <c r="CV52" s="4">
        <f t="shared" ca="1" si="132"/>
        <v>13500</v>
      </c>
      <c r="CW52" s="4">
        <f t="shared" ca="1" si="205"/>
        <v>0</v>
      </c>
      <c r="CX52" s="4">
        <f t="shared" ca="1" si="206"/>
        <v>0</v>
      </c>
      <c r="CY52" s="4">
        <f t="shared" ca="1" si="133"/>
        <v>13500</v>
      </c>
      <c r="CZ52" s="4"/>
      <c r="DA52" s="4">
        <f t="shared" ca="1" si="207"/>
        <v>13500</v>
      </c>
      <c r="DB52" s="4">
        <f t="shared" si="208"/>
        <v>0</v>
      </c>
      <c r="DC52" s="4">
        <f t="shared" ca="1" si="134"/>
        <v>0</v>
      </c>
      <c r="DD52" s="4">
        <f t="shared" ca="1" si="209"/>
        <v>0</v>
      </c>
      <c r="DE52" s="4">
        <f t="shared" ca="1" si="210"/>
        <v>0</v>
      </c>
      <c r="DF52" s="4">
        <f t="shared" ca="1" si="135"/>
        <v>0</v>
      </c>
      <c r="DG52" s="4">
        <f t="shared" ca="1" si="136"/>
        <v>0</v>
      </c>
      <c r="DH52" s="4">
        <f t="shared" ca="1" si="211"/>
        <v>0</v>
      </c>
      <c r="DI52" s="4"/>
      <c r="DJ52" s="4">
        <f t="shared" ca="1" si="212"/>
        <v>13500</v>
      </c>
      <c r="DK52" s="4">
        <f t="shared" ca="1" si="213"/>
        <v>13500</v>
      </c>
      <c r="DL52" s="4">
        <f t="shared" ca="1" si="214"/>
        <v>13500</v>
      </c>
      <c r="DM52" s="4">
        <f t="shared" ca="1" si="215"/>
        <v>13500</v>
      </c>
      <c r="DN52" s="4">
        <f t="shared" ca="1" si="216"/>
        <v>13500</v>
      </c>
      <c r="DO52" s="4">
        <f t="shared" ca="1" si="50"/>
        <v>0</v>
      </c>
      <c r="DP52" s="4"/>
      <c r="DQ52" s="4">
        <f t="shared" ca="1" si="217"/>
        <v>0</v>
      </c>
      <c r="DR52" s="4"/>
      <c r="DS52" s="4">
        <f t="shared" si="137"/>
        <v>0</v>
      </c>
      <c r="DT52" s="4">
        <f t="shared" ca="1" si="282"/>
        <v>0</v>
      </c>
      <c r="DU52" s="4">
        <f t="shared" si="218"/>
        <v>0</v>
      </c>
      <c r="DV52" s="4"/>
      <c r="DW52" s="4">
        <f t="shared" ca="1" si="273"/>
        <v>916788.85838583275</v>
      </c>
      <c r="DX52" s="4">
        <f t="shared" ca="1" si="219"/>
        <v>0</v>
      </c>
      <c r="DY52" s="4">
        <f t="shared" ca="1" si="139"/>
        <v>45839.442919291643</v>
      </c>
      <c r="DZ52" s="4">
        <f t="shared" ca="1" si="220"/>
        <v>24233.13609086426</v>
      </c>
      <c r="EA52" s="4">
        <f t="shared" ca="1" si="221"/>
        <v>0</v>
      </c>
      <c r="EB52" s="4">
        <f t="shared" ca="1" si="222"/>
        <v>962628.30130512442</v>
      </c>
      <c r="EC52" s="4">
        <f t="shared" si="223"/>
        <v>1</v>
      </c>
      <c r="ED52" s="4"/>
      <c r="EE52" s="4">
        <f t="shared" ca="1" si="274"/>
        <v>0</v>
      </c>
      <c r="EF52" s="4">
        <f t="shared" ca="1" si="224"/>
        <v>0</v>
      </c>
      <c r="EG52" s="4">
        <f t="shared" ca="1" si="141"/>
        <v>0</v>
      </c>
      <c r="EH52" s="4">
        <f t="shared" ca="1" si="225"/>
        <v>0</v>
      </c>
      <c r="EI52" s="4">
        <f t="shared" ca="1" si="226"/>
        <v>0</v>
      </c>
      <c r="EJ52" s="4">
        <f t="shared" ca="1" si="227"/>
        <v>0</v>
      </c>
      <c r="EK52" s="4">
        <f t="shared" si="228"/>
        <v>1</v>
      </c>
      <c r="EL52" s="4">
        <f t="shared" si="229"/>
        <v>0</v>
      </c>
      <c r="EM52" s="4"/>
      <c r="EN52" s="4">
        <f t="shared" ca="1" si="275"/>
        <v>1174875.6880090339</v>
      </c>
      <c r="EO52" s="4">
        <f t="shared" ca="1" si="230"/>
        <v>13500</v>
      </c>
      <c r="EP52" s="4">
        <f t="shared" ca="1" si="143"/>
        <v>58743.784400451696</v>
      </c>
      <c r="EQ52" s="4">
        <f t="shared" ca="1" si="231"/>
        <v>0</v>
      </c>
      <c r="ER52" s="4">
        <v>0</v>
      </c>
      <c r="ES52" s="4">
        <f t="shared" ca="1" si="144"/>
        <v>1233619.4724094856</v>
      </c>
      <c r="ET52" s="4"/>
      <c r="EU52" s="4">
        <f t="shared" ca="1" si="276"/>
        <v>467363.34406635218</v>
      </c>
      <c r="EV52" s="4">
        <f t="shared" ca="1" si="232"/>
        <v>0</v>
      </c>
      <c r="EW52" s="4">
        <f t="shared" ca="1" si="146"/>
        <v>23368.167203317611</v>
      </c>
      <c r="EX52" s="4">
        <f t="shared" ca="1" si="233"/>
        <v>56908.68848262501</v>
      </c>
      <c r="EY52" s="4">
        <v>0</v>
      </c>
      <c r="EZ52" s="4">
        <f t="shared" ca="1" si="147"/>
        <v>490731.51126966981</v>
      </c>
      <c r="FA52" s="4">
        <f t="shared" ca="1" si="277"/>
        <v>106942.04804828668</v>
      </c>
      <c r="FB52" s="1">
        <f t="shared" ca="1" si="234"/>
        <v>0.22881993080121402</v>
      </c>
      <c r="FC52" s="4">
        <f t="shared" ca="1" si="149"/>
        <v>9347.2668813270448</v>
      </c>
      <c r="FD52" s="4">
        <f t="shared" ca="1" si="150"/>
        <v>11684.083601658805</v>
      </c>
      <c r="FE52" s="4">
        <f t="shared" ca="1" si="235"/>
        <v>3224.8070740578301</v>
      </c>
      <c r="FF52" s="4">
        <f t="shared" ca="1" si="236"/>
        <v>484.36602252348609</v>
      </c>
      <c r="FG52" s="4">
        <f t="shared" ca="1" si="237"/>
        <v>322.48070740578305</v>
      </c>
      <c r="FH52" s="17">
        <f t="shared" ca="1" si="238"/>
        <v>13021.8421605821</v>
      </c>
      <c r="FI52" s="4">
        <f t="shared" ca="1" si="239"/>
        <v>6510.9210802910502</v>
      </c>
      <c r="FJ52" s="4"/>
      <c r="FK52" s="4">
        <f t="shared" ca="1" si="240"/>
        <v>2686979.2849842799</v>
      </c>
      <c r="FL52" s="4"/>
      <c r="FM52" s="4">
        <v>0</v>
      </c>
      <c r="FN52" s="4">
        <f t="shared" si="241"/>
        <v>0</v>
      </c>
      <c r="FO52" s="4">
        <f t="shared" si="242"/>
        <v>0</v>
      </c>
      <c r="FP52" s="4">
        <f t="shared" si="243"/>
        <v>0</v>
      </c>
      <c r="FQ52" s="4">
        <f t="shared" si="244"/>
        <v>0</v>
      </c>
      <c r="FR52" s="4">
        <f t="shared" si="245"/>
        <v>0</v>
      </c>
      <c r="FS52" s="4">
        <f t="shared" si="246"/>
        <v>9169.2082987752256</v>
      </c>
      <c r="FT52" s="4">
        <f t="shared" ca="1" si="247"/>
        <v>0</v>
      </c>
      <c r="FU52" s="4"/>
      <c r="FV52" s="3">
        <f t="shared" si="248"/>
        <v>0.41019680250993062</v>
      </c>
      <c r="FW52" s="3">
        <f t="shared" si="249"/>
        <v>0.41019680250993062</v>
      </c>
      <c r="FX52" s="4">
        <f t="shared" si="151"/>
        <v>2062</v>
      </c>
      <c r="FY52" s="18">
        <f t="shared" si="250"/>
        <v>0</v>
      </c>
      <c r="FZ52" s="18">
        <f t="shared" si="251"/>
        <v>12</v>
      </c>
      <c r="GA52" s="18">
        <f t="shared" ca="1" si="252"/>
        <v>6.8460000000000001</v>
      </c>
      <c r="GB52" s="18">
        <f t="shared" si="253"/>
        <v>11.283539777115354</v>
      </c>
      <c r="GC52" s="18">
        <f t="shared" ca="1" si="254"/>
        <v>9.9403549392605175</v>
      </c>
      <c r="GD52" s="18">
        <f t="shared" ca="1" si="255"/>
        <v>0</v>
      </c>
      <c r="GE52" s="18">
        <f t="shared" ca="1" si="256"/>
        <v>23.343762050606497</v>
      </c>
      <c r="GF52" s="18">
        <f t="shared" ca="1" si="257"/>
        <v>0</v>
      </c>
      <c r="GG52" s="18" t="e">
        <f t="shared" ca="1" si="258"/>
        <v>#NAME?</v>
      </c>
      <c r="GH52" s="18" t="e">
        <f t="shared" ca="1" si="259"/>
        <v>#NAME?</v>
      </c>
      <c r="GI52" s="4"/>
      <c r="GJ52" s="4">
        <f t="shared" si="260"/>
        <v>2062</v>
      </c>
      <c r="GK52" s="4">
        <f t="shared" ca="1" si="261"/>
        <v>376.06385828659819</v>
      </c>
      <c r="GL52" s="4">
        <f t="shared" ca="1" si="262"/>
        <v>0</v>
      </c>
      <c r="GM52" s="4">
        <f t="shared" ca="1" si="263"/>
        <v>481.93025056796057</v>
      </c>
      <c r="GN52" s="4">
        <f t="shared" ca="1" si="264"/>
        <v>191.71094934636622</v>
      </c>
      <c r="GO52" s="4"/>
      <c r="GP52" s="3">
        <f t="shared" ca="1" si="152"/>
        <v>0.35825668872276262</v>
      </c>
      <c r="GQ52" s="3">
        <f t="shared" ca="1" si="265"/>
        <v>0</v>
      </c>
      <c r="GR52" s="3">
        <f t="shared" ca="1" si="266"/>
        <v>0.18263315761756638</v>
      </c>
      <c r="GS52" s="3">
        <f t="shared" ca="1" si="267"/>
        <v>0.45911015365967101</v>
      </c>
      <c r="GT52" s="3">
        <f t="array" aca="1" ref="GT52" ca="1">SUM(GP52:GS52*$GU$6:$GX$6)</f>
        <v>1</v>
      </c>
      <c r="GU52" s="3">
        <f t="shared" ca="1" si="155"/>
        <v>0.35825668872276262</v>
      </c>
      <c r="GV52" s="3">
        <f t="shared" ca="1" si="156"/>
        <v>0</v>
      </c>
      <c r="GW52" s="3">
        <f t="shared" ca="1" si="157"/>
        <v>0.18263315761756638</v>
      </c>
      <c r="GX52" s="3">
        <f t="shared" ca="1" si="158"/>
        <v>0.45911015365967101</v>
      </c>
      <c r="GY52" s="11"/>
      <c r="GZ52" s="27">
        <v>94</v>
      </c>
      <c r="HA52" s="30">
        <v>0.18790000000000001</v>
      </c>
      <c r="HB52" s="29">
        <f t="shared" ca="1" si="153"/>
        <v>1</v>
      </c>
      <c r="HC52" s="29">
        <v>1</v>
      </c>
      <c r="HD52" s="29">
        <v>0.2</v>
      </c>
      <c r="HE52" s="29">
        <v>1</v>
      </c>
      <c r="HG52" s="27">
        <v>92</v>
      </c>
      <c r="HH52" s="30">
        <v>0.1449</v>
      </c>
      <c r="HJ52">
        <f t="shared" si="159"/>
        <v>2055</v>
      </c>
      <c r="HK52" s="28">
        <f t="shared" si="164"/>
        <v>48330</v>
      </c>
      <c r="HL52" s="27">
        <f t="shared" si="162"/>
        <v>12000</v>
      </c>
      <c r="HM52" s="28">
        <f t="shared" si="163"/>
        <v>11906.096225374209</v>
      </c>
    </row>
    <row r="53" spans="1:241" x14ac:dyDescent="0.25">
      <c r="A53" t="s">
        <v>398</v>
      </c>
      <c r="B53" s="62">
        <f>Inputs_Summary!AJ50</f>
        <v>10000</v>
      </c>
      <c r="D53">
        <f t="shared" si="107"/>
        <v>2063</v>
      </c>
      <c r="E53">
        <f t="shared" si="108"/>
        <v>68</v>
      </c>
      <c r="F53" s="8"/>
      <c r="G53" s="8"/>
      <c r="H53" s="8"/>
      <c r="I53" s="8"/>
      <c r="J53" s="92"/>
      <c r="K53" s="91"/>
      <c r="L53" s="91"/>
      <c r="N53" s="93">
        <f t="shared" si="109"/>
        <v>0.05</v>
      </c>
      <c r="O53" s="23">
        <f t="shared" si="110"/>
        <v>0.4</v>
      </c>
      <c r="P53" s="23">
        <f t="shared" si="111"/>
        <v>0.1</v>
      </c>
      <c r="Q53" s="4">
        <f t="shared" si="169"/>
        <v>0</v>
      </c>
      <c r="R53" s="4">
        <f t="shared" si="269"/>
        <v>0</v>
      </c>
      <c r="S53" s="4">
        <f t="shared" si="113"/>
        <v>0</v>
      </c>
      <c r="T53" s="4">
        <f t="shared" ca="1" si="114"/>
        <v>0</v>
      </c>
      <c r="V53" s="18" t="e">
        <f t="shared" ca="1" si="170"/>
        <v>#NAME?</v>
      </c>
      <c r="W53" s="18" t="e">
        <f t="shared" ca="1" si="171"/>
        <v>#NAME?</v>
      </c>
      <c r="X53" s="18" t="e">
        <f t="shared" ca="1" si="172"/>
        <v>#NAME?</v>
      </c>
      <c r="Y53" s="18">
        <f t="shared" ca="1" si="173"/>
        <v>-9.9687943881157928</v>
      </c>
      <c r="Z53" s="18">
        <f t="shared" ca="1" si="174"/>
        <v>0</v>
      </c>
      <c r="AA53" s="18">
        <f t="shared" ca="1" si="175"/>
        <v>5.6301521913127734</v>
      </c>
      <c r="AB53" s="18">
        <f t="shared" ca="1" si="176"/>
        <v>-23.487200842320693</v>
      </c>
      <c r="AC53" s="18">
        <f t="shared" ca="1" si="177"/>
        <v>377.37911398202704</v>
      </c>
      <c r="AD53" s="18">
        <f t="shared" ca="1" si="178"/>
        <v>0</v>
      </c>
      <c r="AE53" s="18">
        <f t="shared" ca="1" si="179"/>
        <v>501.53374502964965</v>
      </c>
      <c r="AF53" s="18">
        <f t="shared" ca="1" si="180"/>
        <v>174.46346545399808</v>
      </c>
      <c r="AG53" s="18">
        <f t="shared" ca="1" si="181"/>
        <v>1053.3763244656748</v>
      </c>
      <c r="AI53">
        <f>Person2!E53</f>
        <v>68</v>
      </c>
      <c r="AJ53">
        <f>Person2!AZ53</f>
        <v>2</v>
      </c>
      <c r="AK53">
        <f>IF($AZ53&lt;&gt;3,Person2!FM53,0)</f>
        <v>0</v>
      </c>
      <c r="AL53" s="4">
        <f ca="1">IF($AZ53&lt;&gt;3,Person2!FN53+Person2!FT53,0)</f>
        <v>0</v>
      </c>
      <c r="AM53">
        <f>IF($AZ53&lt;&gt;3,Person2!FO53,0)</f>
        <v>0</v>
      </c>
      <c r="AN53">
        <f>IF($AZ53&lt;&gt;3,Person2!FP53,0)</f>
        <v>0</v>
      </c>
      <c r="AO53">
        <f>IF($AZ53&lt;&gt;3,Person2!FQ53,0)</f>
        <v>0</v>
      </c>
      <c r="AP53">
        <f>IF($AZ53&lt;&gt;3,Person2!FR53,0)</f>
        <v>0</v>
      </c>
      <c r="AQ53">
        <v>0</v>
      </c>
      <c r="AR53" s="4">
        <f>Person2!FS53</f>
        <v>0</v>
      </c>
      <c r="AS53" s="4">
        <v>0</v>
      </c>
      <c r="AT53" s="4">
        <v>0</v>
      </c>
      <c r="AV53">
        <f t="shared" si="270"/>
        <v>2063</v>
      </c>
      <c r="AW53">
        <f t="shared" si="271"/>
        <v>68</v>
      </c>
      <c r="AX53">
        <f t="shared" si="272"/>
        <v>2.4866112894073726</v>
      </c>
      <c r="AY53">
        <f t="shared" si="118"/>
        <v>0.40215372795091237</v>
      </c>
      <c r="AZ53">
        <f t="shared" si="119"/>
        <v>2</v>
      </c>
      <c r="BB53" s="4">
        <f t="shared" si="182"/>
        <v>0</v>
      </c>
      <c r="BC53">
        <f t="shared" si="183"/>
        <v>0</v>
      </c>
      <c r="BD53" s="4">
        <f t="shared" si="184"/>
        <v>29839.335472888473</v>
      </c>
      <c r="BE53" s="4">
        <f t="shared" ca="1" si="120"/>
        <v>17023.340887282873</v>
      </c>
      <c r="BF53" s="4">
        <f t="shared" si="121"/>
        <v>27316.052703091616</v>
      </c>
      <c r="BG53" s="4">
        <f t="shared" si="122"/>
        <v>0</v>
      </c>
      <c r="BH53" s="4">
        <f t="shared" si="185"/>
        <v>0</v>
      </c>
      <c r="BI53" s="4">
        <f t="shared" ca="1" si="123"/>
        <v>74178.729063262959</v>
      </c>
      <c r="BJ53" s="4"/>
      <c r="BK53" s="4">
        <f t="shared" si="186"/>
        <v>124330.56447036863</v>
      </c>
      <c r="BL53" s="4">
        <f t="shared" si="124"/>
        <v>0</v>
      </c>
      <c r="BM53" s="4">
        <f t="shared" si="125"/>
        <v>124330.56447036863</v>
      </c>
      <c r="BN53" s="4">
        <v>19040.220031256922</v>
      </c>
      <c r="BO53" s="4">
        <f t="shared" si="126"/>
        <v>143370.78450162555</v>
      </c>
      <c r="BP53" s="4">
        <f t="shared" ca="1" si="127"/>
        <v>-69192.055438362586</v>
      </c>
      <c r="BQ53" s="4"/>
      <c r="BR53" s="4">
        <v>0</v>
      </c>
      <c r="BS53" s="4">
        <f t="shared" ca="1" si="187"/>
        <v>0</v>
      </c>
      <c r="BT53" s="4">
        <f t="shared" ca="1" si="188"/>
        <v>14000</v>
      </c>
      <c r="BU53" s="4">
        <f t="shared" ca="1" si="189"/>
        <v>69192.055438362586</v>
      </c>
      <c r="BV53" s="4">
        <f t="shared" si="190"/>
        <v>1</v>
      </c>
      <c r="BW53" s="4">
        <f t="shared" ca="1" si="191"/>
        <v>24788.516667269596</v>
      </c>
      <c r="BX53" s="4">
        <f t="shared" ca="1" si="192"/>
        <v>0</v>
      </c>
      <c r="BY53" s="4">
        <f t="shared" ca="1" si="193"/>
        <v>58403.538771092994</v>
      </c>
      <c r="BZ53" s="4">
        <f t="shared" ca="1" si="194"/>
        <v>0</v>
      </c>
      <c r="CA53" s="4">
        <f t="shared" ca="1" si="26"/>
        <v>83192.055438362586</v>
      </c>
      <c r="CB53" s="4">
        <f t="shared" ca="1" si="160"/>
        <v>14000</v>
      </c>
      <c r="CC53" s="4"/>
      <c r="CD53" s="4">
        <f t="shared" ca="1" si="195"/>
        <v>157370.78450162555</v>
      </c>
      <c r="CE53" s="4">
        <f t="shared" ca="1" si="128"/>
        <v>119757.40235022975</v>
      </c>
      <c r="CF53" s="16">
        <f t="shared" ca="1" si="196"/>
        <v>0.3684238362140263</v>
      </c>
      <c r="CG53" s="4">
        <f t="shared" si="129"/>
        <v>0</v>
      </c>
      <c r="CH53" s="4" t="e">
        <f t="shared" ca="1" si="197"/>
        <v>#NAME?</v>
      </c>
      <c r="CI53" s="4" t="e">
        <f t="shared" ca="1" si="198"/>
        <v>#NAME?</v>
      </c>
      <c r="CJ53" s="4" t="e">
        <f t="shared" ca="1" si="130"/>
        <v>#NAME?</v>
      </c>
      <c r="CK53" s="4" t="e">
        <f t="shared" ca="1" si="31"/>
        <v>#NAME?</v>
      </c>
      <c r="CL53" s="4" t="e">
        <f t="shared" ca="1" si="199"/>
        <v>#NAME?</v>
      </c>
      <c r="CM53" s="16"/>
      <c r="CN53" s="4" t="e">
        <f t="shared" ca="1" si="200"/>
        <v>#NAME?</v>
      </c>
      <c r="CO53" s="4" t="e">
        <f t="shared" ca="1" si="201"/>
        <v>#NAME?</v>
      </c>
      <c r="CP53" s="4">
        <f t="shared" ca="1" si="279"/>
        <v>2619337.4604107905</v>
      </c>
      <c r="CQ53" s="4"/>
      <c r="CR53" s="4">
        <f t="shared" ca="1" si="202"/>
        <v>14000</v>
      </c>
      <c r="CS53" s="4">
        <f t="shared" ca="1" si="203"/>
        <v>56630</v>
      </c>
      <c r="CT53" s="4">
        <f t="shared" ca="1" si="204"/>
        <v>0</v>
      </c>
      <c r="CU53" s="4"/>
      <c r="CV53" s="4">
        <f t="shared" ca="1" si="132"/>
        <v>14000</v>
      </c>
      <c r="CW53" s="4">
        <f t="shared" ca="1" si="205"/>
        <v>0</v>
      </c>
      <c r="CX53" s="4">
        <f t="shared" ca="1" si="206"/>
        <v>0</v>
      </c>
      <c r="CY53" s="4">
        <f t="shared" ca="1" si="133"/>
        <v>14000</v>
      </c>
      <c r="CZ53" s="4"/>
      <c r="DA53" s="4">
        <f t="shared" ca="1" si="207"/>
        <v>14000</v>
      </c>
      <c r="DB53" s="4">
        <f t="shared" si="208"/>
        <v>0</v>
      </c>
      <c r="DC53" s="4">
        <f t="shared" ca="1" si="134"/>
        <v>0</v>
      </c>
      <c r="DD53" s="4">
        <f t="shared" ca="1" si="209"/>
        <v>0</v>
      </c>
      <c r="DE53" s="4">
        <f t="shared" ca="1" si="210"/>
        <v>0</v>
      </c>
      <c r="DF53" s="4">
        <f t="shared" ca="1" si="135"/>
        <v>0</v>
      </c>
      <c r="DG53" s="4">
        <f t="shared" ca="1" si="136"/>
        <v>0</v>
      </c>
      <c r="DH53" s="4">
        <f t="shared" ca="1" si="211"/>
        <v>0</v>
      </c>
      <c r="DI53" s="4"/>
      <c r="DJ53" s="4">
        <f t="shared" ca="1" si="212"/>
        <v>14000</v>
      </c>
      <c r="DK53" s="4">
        <f t="shared" ca="1" si="213"/>
        <v>14000</v>
      </c>
      <c r="DL53" s="4">
        <f t="shared" ca="1" si="214"/>
        <v>14000</v>
      </c>
      <c r="DM53" s="4">
        <f t="shared" ca="1" si="215"/>
        <v>14000</v>
      </c>
      <c r="DN53" s="4">
        <f t="shared" ca="1" si="216"/>
        <v>14000</v>
      </c>
      <c r="DO53" s="4">
        <f t="shared" ca="1" si="50"/>
        <v>0</v>
      </c>
      <c r="DP53" s="4"/>
      <c r="DQ53" s="4">
        <f t="shared" ca="1" si="217"/>
        <v>0</v>
      </c>
      <c r="DR53" s="4"/>
      <c r="DS53" s="4">
        <f t="shared" si="137"/>
        <v>0</v>
      </c>
      <c r="DT53" s="4">
        <f t="shared" ca="1" si="282"/>
        <v>0</v>
      </c>
      <c r="DU53" s="4">
        <f t="shared" si="218"/>
        <v>0</v>
      </c>
      <c r="DV53" s="4"/>
      <c r="DW53" s="4">
        <f t="shared" ca="1" si="273"/>
        <v>938395.16521426011</v>
      </c>
      <c r="DX53" s="4">
        <f t="shared" ca="1" si="219"/>
        <v>0</v>
      </c>
      <c r="DY53" s="4">
        <f t="shared" ca="1" si="139"/>
        <v>46919.75826071301</v>
      </c>
      <c r="DZ53" s="4">
        <f t="shared" ca="1" si="220"/>
        <v>24788.516667269596</v>
      </c>
      <c r="EA53" s="4">
        <f t="shared" ca="1" si="221"/>
        <v>0</v>
      </c>
      <c r="EB53" s="4">
        <f t="shared" ca="1" si="222"/>
        <v>985314.92347497307</v>
      </c>
      <c r="EC53" s="4">
        <f t="shared" si="223"/>
        <v>1</v>
      </c>
      <c r="ED53" s="4"/>
      <c r="EE53" s="4">
        <f t="shared" ca="1" si="274"/>
        <v>0</v>
      </c>
      <c r="EF53" s="4">
        <f t="shared" ca="1" si="224"/>
        <v>0</v>
      </c>
      <c r="EG53" s="4">
        <f t="shared" ca="1" si="141"/>
        <v>0</v>
      </c>
      <c r="EH53" s="4">
        <f t="shared" ca="1" si="225"/>
        <v>0</v>
      </c>
      <c r="EI53" s="4">
        <f t="shared" ca="1" si="226"/>
        <v>0</v>
      </c>
      <c r="EJ53" s="4">
        <f t="shared" ca="1" si="227"/>
        <v>0</v>
      </c>
      <c r="EK53" s="4">
        <f t="shared" si="228"/>
        <v>1</v>
      </c>
      <c r="EL53" s="4">
        <f t="shared" si="229"/>
        <v>0</v>
      </c>
      <c r="EM53" s="4"/>
      <c r="EN53" s="4">
        <f t="shared" ca="1" si="275"/>
        <v>1247119.4724094856</v>
      </c>
      <c r="EO53" s="4">
        <f t="shared" ca="1" si="230"/>
        <v>14000</v>
      </c>
      <c r="EP53" s="4">
        <f t="shared" ca="1" si="143"/>
        <v>62355.97362047428</v>
      </c>
      <c r="EQ53" s="4">
        <f t="shared" ca="1" si="231"/>
        <v>0</v>
      </c>
      <c r="ER53" s="4">
        <v>0</v>
      </c>
      <c r="ES53" s="4">
        <f t="shared" ca="1" si="144"/>
        <v>1309475.4460299599</v>
      </c>
      <c r="ET53" s="4"/>
      <c r="EU53" s="4">
        <f t="shared" ca="1" si="276"/>
        <v>433822.8227870448</v>
      </c>
      <c r="EV53" s="4">
        <f t="shared" ca="1" si="232"/>
        <v>0</v>
      </c>
      <c r="EW53" s="4">
        <f t="shared" ca="1" si="146"/>
        <v>21691.141139352243</v>
      </c>
      <c r="EX53" s="4">
        <f t="shared" ca="1" si="233"/>
        <v>58403.538771092994</v>
      </c>
      <c r="EY53" s="4">
        <v>0</v>
      </c>
      <c r="EZ53" s="4">
        <f t="shared" ca="1" si="147"/>
        <v>455513.96392639703</v>
      </c>
      <c r="FA53" s="4">
        <f t="shared" ca="1" si="277"/>
        <v>103267.47276903162</v>
      </c>
      <c r="FB53" s="1">
        <f t="shared" ca="1" si="234"/>
        <v>0.23804066394110301</v>
      </c>
      <c r="FC53" s="4">
        <f t="shared" ca="1" si="149"/>
        <v>8676.4564557408976</v>
      </c>
      <c r="FD53" s="4">
        <f t="shared" ca="1" si="150"/>
        <v>10845.570569676122</v>
      </c>
      <c r="FE53" s="4">
        <f t="shared" ca="1" si="235"/>
        <v>2993.3774772306097</v>
      </c>
      <c r="FF53" s="4">
        <f t="shared" ca="1" si="236"/>
        <v>449.60529708003759</v>
      </c>
      <c r="FG53" s="4">
        <f t="shared" ca="1" si="237"/>
        <v>299.337747723061</v>
      </c>
      <c r="FH53" s="17">
        <f t="shared" ca="1" si="238"/>
        <v>13902.417145580928</v>
      </c>
      <c r="FI53" s="4">
        <f t="shared" ca="1" si="239"/>
        <v>6951.2085727904641</v>
      </c>
      <c r="FJ53" s="4"/>
      <c r="FK53" s="4">
        <f t="shared" ca="1" si="240"/>
        <v>2750304.3334313305</v>
      </c>
      <c r="FL53" s="4"/>
      <c r="FM53" s="4">
        <v>0</v>
      </c>
      <c r="FN53" s="4">
        <f t="shared" si="241"/>
        <v>0</v>
      </c>
      <c r="FO53" s="4">
        <f t="shared" si="242"/>
        <v>0</v>
      </c>
      <c r="FP53" s="4">
        <f t="shared" si="243"/>
        <v>0</v>
      </c>
      <c r="FQ53" s="4">
        <f t="shared" si="244"/>
        <v>0</v>
      </c>
      <c r="FR53" s="4">
        <f t="shared" si="245"/>
        <v>0</v>
      </c>
      <c r="FS53" s="4">
        <f t="shared" si="246"/>
        <v>9105.3509010305388</v>
      </c>
      <c r="FT53" s="4">
        <f t="shared" ca="1" si="247"/>
        <v>0</v>
      </c>
      <c r="FU53" s="4"/>
      <c r="FV53" s="3">
        <f t="shared" si="248"/>
        <v>0.40215372795091237</v>
      </c>
      <c r="FW53" s="3">
        <f t="shared" si="249"/>
        <v>0.40215372795091237</v>
      </c>
      <c r="FX53" s="4">
        <f t="shared" si="151"/>
        <v>2063</v>
      </c>
      <c r="FY53" s="18">
        <f t="shared" si="250"/>
        <v>0</v>
      </c>
      <c r="FZ53" s="18">
        <f t="shared" si="251"/>
        <v>12</v>
      </c>
      <c r="GA53" s="18">
        <f t="shared" ca="1" si="252"/>
        <v>6.8460000000000001</v>
      </c>
      <c r="GB53" s="18">
        <f t="shared" si="253"/>
        <v>10.985252427451892</v>
      </c>
      <c r="GC53" s="18">
        <f t="shared" ca="1" si="254"/>
        <v>9.9687943881157928</v>
      </c>
      <c r="GD53" s="18">
        <f t="shared" ca="1" si="255"/>
        <v>0</v>
      </c>
      <c r="GE53" s="18">
        <f t="shared" ca="1" si="256"/>
        <v>23.487200842320693</v>
      </c>
      <c r="GF53" s="18">
        <f t="shared" ca="1" si="257"/>
        <v>0</v>
      </c>
      <c r="GG53" s="18" t="e">
        <f t="shared" ca="1" si="258"/>
        <v>#NAME?</v>
      </c>
      <c r="GH53" s="18" t="e">
        <f t="shared" ca="1" si="259"/>
        <v>#NAME?</v>
      </c>
      <c r="GI53" s="4"/>
      <c r="GJ53" s="4">
        <f t="shared" si="260"/>
        <v>2063</v>
      </c>
      <c r="GK53" s="4">
        <f t="shared" ca="1" si="261"/>
        <v>377.37911398202704</v>
      </c>
      <c r="GL53" s="4">
        <f t="shared" ca="1" si="262"/>
        <v>0</v>
      </c>
      <c r="GM53" s="4">
        <f t="shared" ca="1" si="263"/>
        <v>501.53374502964965</v>
      </c>
      <c r="GN53" s="4">
        <f t="shared" ca="1" si="264"/>
        <v>174.46346545399808</v>
      </c>
      <c r="GO53" s="4"/>
      <c r="GP53" s="3">
        <f t="shared" ca="1" si="152"/>
        <v>0.35825668872276251</v>
      </c>
      <c r="GQ53" s="3">
        <f t="shared" ca="1" si="265"/>
        <v>0</v>
      </c>
      <c r="GR53" s="3">
        <f t="shared" ca="1" si="266"/>
        <v>0.16562311246409933</v>
      </c>
      <c r="GS53" s="3">
        <f t="shared" ca="1" si="267"/>
        <v>0.47612019881313794</v>
      </c>
      <c r="GT53" s="3">
        <f t="array" aca="1" ref="GT53" ca="1">SUM(GP53:GS53*$GU$6:$GX$6)</f>
        <v>0.99999999999999978</v>
      </c>
      <c r="GU53" s="3">
        <f t="shared" ca="1" si="155"/>
        <v>0.35825668872276256</v>
      </c>
      <c r="GV53" s="3">
        <f t="shared" ca="1" si="156"/>
        <v>0</v>
      </c>
      <c r="GW53" s="3">
        <f t="shared" ca="1" si="157"/>
        <v>0.16562311246409936</v>
      </c>
      <c r="GX53" s="3">
        <f t="shared" ca="1" si="158"/>
        <v>0.47612019881313805</v>
      </c>
      <c r="GY53" s="11"/>
      <c r="GZ53" s="27">
        <v>95</v>
      </c>
      <c r="HA53" s="30">
        <v>0.2</v>
      </c>
      <c r="HB53" s="29">
        <f t="shared" ca="1" si="153"/>
        <v>1</v>
      </c>
      <c r="HC53" s="29">
        <v>1</v>
      </c>
      <c r="HD53" s="29">
        <v>0.2</v>
      </c>
      <c r="HE53" s="29">
        <v>1</v>
      </c>
      <c r="HG53" s="27">
        <v>93</v>
      </c>
      <c r="HH53" s="30">
        <v>0.16339999999999999</v>
      </c>
      <c r="HJ53">
        <f t="shared" si="159"/>
        <v>2056</v>
      </c>
      <c r="HK53" s="28">
        <f t="shared" si="164"/>
        <v>49300</v>
      </c>
      <c r="HL53" s="27">
        <f t="shared" si="162"/>
        <v>12000</v>
      </c>
      <c r="HM53" s="28">
        <f t="shared" si="163"/>
        <v>12144.218149881694</v>
      </c>
      <c r="HO53" t="s">
        <v>610</v>
      </c>
      <c r="HQ53" s="27">
        <v>1</v>
      </c>
      <c r="HR53" s="27">
        <v>1</v>
      </c>
      <c r="HS53" s="27">
        <v>1</v>
      </c>
      <c r="HT53" s="27">
        <v>1</v>
      </c>
      <c r="HU53" s="27">
        <v>1</v>
      </c>
      <c r="HV53" s="27">
        <v>0.83499999999999996</v>
      </c>
      <c r="HW53" s="27">
        <v>1</v>
      </c>
      <c r="HX53" s="27">
        <v>1</v>
      </c>
      <c r="HY53" s="27">
        <v>1</v>
      </c>
      <c r="HZ53" s="27">
        <v>1</v>
      </c>
      <c r="IA53" s="27">
        <v>1</v>
      </c>
      <c r="IB53" s="27">
        <v>1</v>
      </c>
      <c r="IC53" s="27">
        <v>1</v>
      </c>
      <c r="ID53" s="27">
        <v>1</v>
      </c>
      <c r="IE53" s="27">
        <v>1</v>
      </c>
      <c r="IF53" s="27">
        <v>1</v>
      </c>
      <c r="IG53" s="27">
        <v>1</v>
      </c>
    </row>
    <row r="54" spans="1:241" x14ac:dyDescent="0.25">
      <c r="A54" t="s">
        <v>399</v>
      </c>
      <c r="B54" s="62">
        <f>Inputs_Summary!AJ51</f>
        <v>0</v>
      </c>
      <c r="D54">
        <f t="shared" si="107"/>
        <v>2064</v>
      </c>
      <c r="E54">
        <f t="shared" si="108"/>
        <v>69</v>
      </c>
      <c r="F54" s="8"/>
      <c r="G54" s="8"/>
      <c r="H54" s="8"/>
      <c r="I54" s="8"/>
      <c r="J54" s="92"/>
      <c r="K54" s="91"/>
      <c r="L54" s="91"/>
      <c r="N54" s="93">
        <f t="shared" si="109"/>
        <v>0.05</v>
      </c>
      <c r="O54" s="23">
        <f t="shared" si="110"/>
        <v>0.4</v>
      </c>
      <c r="P54" s="23">
        <f t="shared" si="111"/>
        <v>0.1</v>
      </c>
      <c r="Q54" s="4">
        <f t="shared" si="169"/>
        <v>0</v>
      </c>
      <c r="R54" s="4">
        <f t="shared" si="269"/>
        <v>0</v>
      </c>
      <c r="S54" s="4">
        <f t="shared" si="113"/>
        <v>0</v>
      </c>
      <c r="T54" s="4">
        <f t="shared" ca="1" si="114"/>
        <v>0</v>
      </c>
      <c r="V54" s="18" t="e">
        <f t="shared" ca="1" si="170"/>
        <v>#NAME?</v>
      </c>
      <c r="W54" s="18" t="e">
        <f t="shared" ca="1" si="171"/>
        <v>#NAME?</v>
      </c>
      <c r="X54" s="18" t="e">
        <f t="shared" ca="1" si="172"/>
        <v>#NAME?</v>
      </c>
      <c r="Y54" s="18">
        <f t="shared" ca="1" si="173"/>
        <v>-9.9875368289737878</v>
      </c>
      <c r="Z54" s="18">
        <f t="shared" ca="1" si="174"/>
        <v>0</v>
      </c>
      <c r="AA54" s="18">
        <f t="shared" ca="1" si="175"/>
        <v>5.51975705030664</v>
      </c>
      <c r="AB54" s="18">
        <f t="shared" ca="1" si="176"/>
        <v>-23.41037893647314</v>
      </c>
      <c r="AC54" s="18">
        <f t="shared" ca="1" si="177"/>
        <v>378.70517185589466</v>
      </c>
      <c r="AD54" s="18">
        <f t="shared" ca="1" si="178"/>
        <v>0</v>
      </c>
      <c r="AE54" s="18">
        <f t="shared" ca="1" si="179"/>
        <v>521.8044945808283</v>
      </c>
      <c r="AF54" s="18">
        <f t="shared" ca="1" si="180"/>
        <v>156.56807635723263</v>
      </c>
      <c r="AG54" s="18">
        <f t="shared" ca="1" si="181"/>
        <v>1057.0777427939554</v>
      </c>
      <c r="AI54">
        <f>Person2!E54</f>
        <v>69</v>
      </c>
      <c r="AJ54">
        <f>Person2!AZ54</f>
        <v>2</v>
      </c>
      <c r="AK54">
        <f>IF($AZ54&lt;&gt;3,Person2!FM54,0)</f>
        <v>0</v>
      </c>
      <c r="AL54" s="4">
        <f ca="1">IF($AZ54&lt;&gt;3,Person2!FN54+Person2!FT54,0)</f>
        <v>0</v>
      </c>
      <c r="AM54">
        <f>IF($AZ54&lt;&gt;3,Person2!FO54,0)</f>
        <v>0</v>
      </c>
      <c r="AN54">
        <f>IF($AZ54&lt;&gt;3,Person2!FP54,0)</f>
        <v>0</v>
      </c>
      <c r="AO54">
        <f>IF($AZ54&lt;&gt;3,Person2!FQ54,0)</f>
        <v>0</v>
      </c>
      <c r="AP54">
        <f>IF($AZ54&lt;&gt;3,Person2!FR54,0)</f>
        <v>0</v>
      </c>
      <c r="AQ54">
        <v>0</v>
      </c>
      <c r="AR54" s="4">
        <f>Person2!FS54</f>
        <v>0</v>
      </c>
      <c r="AS54" s="4">
        <v>0</v>
      </c>
      <c r="AT54" s="4">
        <v>0</v>
      </c>
      <c r="AV54">
        <f t="shared" si="270"/>
        <v>2064</v>
      </c>
      <c r="AW54">
        <f t="shared" si="271"/>
        <v>69</v>
      </c>
      <c r="AX54">
        <f t="shared" si="272"/>
        <v>2.53634351519552</v>
      </c>
      <c r="AY54">
        <f t="shared" si="118"/>
        <v>0.39426836073618859</v>
      </c>
      <c r="AZ54">
        <f t="shared" si="119"/>
        <v>2</v>
      </c>
      <c r="BB54" s="4">
        <f t="shared" si="182"/>
        <v>0</v>
      </c>
      <c r="BC54">
        <f t="shared" si="183"/>
        <v>0</v>
      </c>
      <c r="BD54" s="4">
        <f t="shared" si="184"/>
        <v>30436.12218234624</v>
      </c>
      <c r="BE54" s="4">
        <f t="shared" ca="1" si="120"/>
        <v>17363.807705028532</v>
      </c>
      <c r="BF54" s="4">
        <f t="shared" si="121"/>
        <v>27116.940442537081</v>
      </c>
      <c r="BG54" s="4">
        <f t="shared" si="122"/>
        <v>0</v>
      </c>
      <c r="BH54" s="4">
        <f t="shared" si="185"/>
        <v>0</v>
      </c>
      <c r="BI54" s="4">
        <f t="shared" ca="1" si="123"/>
        <v>74916.87032991185</v>
      </c>
      <c r="BJ54" s="4"/>
      <c r="BK54" s="4">
        <f t="shared" si="186"/>
        <v>126817.175759776</v>
      </c>
      <c r="BL54" s="4">
        <f t="shared" si="124"/>
        <v>0</v>
      </c>
      <c r="BM54" s="4">
        <f t="shared" si="125"/>
        <v>126817.175759776</v>
      </c>
      <c r="BN54" s="4">
        <v>18808.281642873404</v>
      </c>
      <c r="BO54" s="4">
        <f t="shared" si="126"/>
        <v>145625.45740264939</v>
      </c>
      <c r="BP54" s="4">
        <f t="shared" ca="1" si="127"/>
        <v>-70708.587072737544</v>
      </c>
      <c r="BQ54" s="4"/>
      <c r="BR54" s="4">
        <v>0</v>
      </c>
      <c r="BS54" s="4">
        <f t="shared" ca="1" si="187"/>
        <v>0</v>
      </c>
      <c r="BT54" s="4">
        <f t="shared" ca="1" si="188"/>
        <v>14000</v>
      </c>
      <c r="BU54" s="4">
        <f t="shared" ca="1" si="189"/>
        <v>70708.587072737544</v>
      </c>
      <c r="BV54" s="4">
        <f t="shared" si="190"/>
        <v>1</v>
      </c>
      <c r="BW54" s="4">
        <f t="shared" ca="1" si="191"/>
        <v>25331.824268944092</v>
      </c>
      <c r="BX54" s="4">
        <f t="shared" ca="1" si="192"/>
        <v>0</v>
      </c>
      <c r="BY54" s="4">
        <f t="shared" ca="1" si="193"/>
        <v>59376.762803793448</v>
      </c>
      <c r="BZ54" s="4">
        <f t="shared" ca="1" si="194"/>
        <v>0</v>
      </c>
      <c r="CA54" s="4">
        <f t="shared" ca="1" si="26"/>
        <v>84708.587072737544</v>
      </c>
      <c r="CB54" s="4">
        <f t="shared" ca="1" si="160"/>
        <v>14000</v>
      </c>
      <c r="CC54" s="4"/>
      <c r="CD54" s="4">
        <f t="shared" ca="1" si="195"/>
        <v>159625.45740264939</v>
      </c>
      <c r="CE54" s="4">
        <f t="shared" ca="1" si="128"/>
        <v>120246.20084485327</v>
      </c>
      <c r="CF54" s="16">
        <f t="shared" ca="1" si="196"/>
        <v>0.39537050433722154</v>
      </c>
      <c r="CG54" s="4">
        <f t="shared" si="129"/>
        <v>0</v>
      </c>
      <c r="CH54" s="4" t="e">
        <f t="shared" ca="1" si="197"/>
        <v>#NAME?</v>
      </c>
      <c r="CI54" s="4" t="e">
        <f t="shared" ca="1" si="198"/>
        <v>#NAME?</v>
      </c>
      <c r="CJ54" s="4" t="e">
        <f t="shared" ca="1" si="130"/>
        <v>#NAME?</v>
      </c>
      <c r="CK54" s="4" t="e">
        <f t="shared" ca="1" si="31"/>
        <v>#NAME?</v>
      </c>
      <c r="CL54" s="4" t="e">
        <f t="shared" ca="1" si="199"/>
        <v>#NAME?</v>
      </c>
      <c r="CM54" s="16"/>
      <c r="CN54" s="4" t="e">
        <f t="shared" ca="1" si="200"/>
        <v>#NAME?</v>
      </c>
      <c r="CO54" s="4" t="e">
        <f t="shared" ca="1" si="201"/>
        <v>#NAME?</v>
      </c>
      <c r="CP54" s="4">
        <f t="shared" ca="1" si="279"/>
        <v>2681112.2779929671</v>
      </c>
      <c r="CQ54" s="4"/>
      <c r="CR54" s="4">
        <f t="shared" ca="1" si="202"/>
        <v>14000</v>
      </c>
      <c r="CS54" s="4">
        <f t="shared" ca="1" si="203"/>
        <v>57760</v>
      </c>
      <c r="CT54" s="4">
        <f t="shared" ca="1" si="204"/>
        <v>0</v>
      </c>
      <c r="CU54" s="4"/>
      <c r="CV54" s="4">
        <f t="shared" ca="1" si="132"/>
        <v>14000</v>
      </c>
      <c r="CW54" s="4">
        <f t="shared" ca="1" si="205"/>
        <v>0</v>
      </c>
      <c r="CX54" s="4">
        <f t="shared" ca="1" si="206"/>
        <v>0</v>
      </c>
      <c r="CY54" s="4">
        <f t="shared" ca="1" si="133"/>
        <v>14000</v>
      </c>
      <c r="CZ54" s="4"/>
      <c r="DA54" s="4">
        <f t="shared" ca="1" si="207"/>
        <v>14000</v>
      </c>
      <c r="DB54" s="4">
        <f t="shared" si="208"/>
        <v>0</v>
      </c>
      <c r="DC54" s="4">
        <f t="shared" ca="1" si="134"/>
        <v>0</v>
      </c>
      <c r="DD54" s="4">
        <f t="shared" ca="1" si="209"/>
        <v>0</v>
      </c>
      <c r="DE54" s="4">
        <f t="shared" ca="1" si="210"/>
        <v>0</v>
      </c>
      <c r="DF54" s="4">
        <f t="shared" ca="1" si="135"/>
        <v>0</v>
      </c>
      <c r="DG54" s="4">
        <f t="shared" ca="1" si="136"/>
        <v>0</v>
      </c>
      <c r="DH54" s="4">
        <f t="shared" ca="1" si="211"/>
        <v>0</v>
      </c>
      <c r="DI54" s="4"/>
      <c r="DJ54" s="4">
        <f t="shared" ca="1" si="212"/>
        <v>14000</v>
      </c>
      <c r="DK54" s="4">
        <f t="shared" ca="1" si="213"/>
        <v>14000</v>
      </c>
      <c r="DL54" s="4">
        <f t="shared" ca="1" si="214"/>
        <v>14000</v>
      </c>
      <c r="DM54" s="4">
        <f t="shared" ca="1" si="215"/>
        <v>14000</v>
      </c>
      <c r="DN54" s="4">
        <f t="shared" ca="1" si="216"/>
        <v>14000</v>
      </c>
      <c r="DO54" s="4">
        <f t="shared" ca="1" si="50"/>
        <v>0</v>
      </c>
      <c r="DP54" s="4"/>
      <c r="DQ54" s="4">
        <f t="shared" ca="1" si="217"/>
        <v>0</v>
      </c>
      <c r="DR54" s="4"/>
      <c r="DS54" s="4">
        <f t="shared" si="137"/>
        <v>0</v>
      </c>
      <c r="DT54" s="4">
        <f t="shared" ca="1" si="282"/>
        <v>0</v>
      </c>
      <c r="DU54" s="4">
        <f t="shared" si="218"/>
        <v>0</v>
      </c>
      <c r="DV54" s="4"/>
      <c r="DW54" s="4">
        <f t="shared" ca="1" si="273"/>
        <v>960526.40680770343</v>
      </c>
      <c r="DX54" s="4">
        <f t="shared" ca="1" si="219"/>
        <v>0</v>
      </c>
      <c r="DY54" s="4">
        <f t="shared" ca="1" si="139"/>
        <v>48026.320340385173</v>
      </c>
      <c r="DZ54" s="4">
        <f t="shared" ca="1" si="220"/>
        <v>25331.824268944092</v>
      </c>
      <c r="EA54" s="4">
        <f t="shared" ca="1" si="221"/>
        <v>0</v>
      </c>
      <c r="EB54" s="4">
        <f t="shared" ca="1" si="222"/>
        <v>1008552.7271480886</v>
      </c>
      <c r="EC54" s="4">
        <f t="shared" si="223"/>
        <v>1</v>
      </c>
      <c r="ED54" s="4"/>
      <c r="EE54" s="4">
        <f t="shared" ca="1" si="274"/>
        <v>0</v>
      </c>
      <c r="EF54" s="4">
        <f t="shared" ca="1" si="224"/>
        <v>0</v>
      </c>
      <c r="EG54" s="4">
        <f t="shared" ca="1" si="141"/>
        <v>0</v>
      </c>
      <c r="EH54" s="4">
        <f t="shared" ca="1" si="225"/>
        <v>0</v>
      </c>
      <c r="EI54" s="4">
        <f t="shared" ca="1" si="226"/>
        <v>0</v>
      </c>
      <c r="EJ54" s="4">
        <f t="shared" ca="1" si="227"/>
        <v>0</v>
      </c>
      <c r="EK54" s="4">
        <f t="shared" si="228"/>
        <v>1</v>
      </c>
      <c r="EL54" s="4">
        <f t="shared" si="229"/>
        <v>0</v>
      </c>
      <c r="EM54" s="4"/>
      <c r="EN54" s="4">
        <f t="shared" ca="1" si="275"/>
        <v>1323475.4460299599</v>
      </c>
      <c r="EO54" s="4">
        <f t="shared" ca="1" si="230"/>
        <v>14000</v>
      </c>
      <c r="EP54" s="4">
        <f t="shared" ca="1" si="143"/>
        <v>66173.772301498</v>
      </c>
      <c r="EQ54" s="4">
        <f t="shared" ca="1" si="231"/>
        <v>0</v>
      </c>
      <c r="ER54" s="4">
        <v>0</v>
      </c>
      <c r="ES54" s="4">
        <f t="shared" ca="1" si="144"/>
        <v>1389649.218331458</v>
      </c>
      <c r="ET54" s="4"/>
      <c r="EU54" s="4">
        <f t="shared" ca="1" si="276"/>
        <v>397110.42515530402</v>
      </c>
      <c r="EV54" s="4">
        <f t="shared" ca="1" si="232"/>
        <v>0</v>
      </c>
      <c r="EW54" s="4">
        <f t="shared" ca="1" si="146"/>
        <v>19855.521257765202</v>
      </c>
      <c r="EX54" s="4">
        <f t="shared" ca="1" si="233"/>
        <v>59376.762803793448</v>
      </c>
      <c r="EY54" s="4">
        <v>0</v>
      </c>
      <c r="EZ54" s="4">
        <f t="shared" ca="1" si="147"/>
        <v>416965.94641306921</v>
      </c>
      <c r="FA54" s="4">
        <f t="shared" ca="1" si="277"/>
        <v>98041.512079191598</v>
      </c>
      <c r="FB54" s="1">
        <f t="shared" ca="1" si="234"/>
        <v>0.24688727837061697</v>
      </c>
      <c r="FC54" s="4">
        <f t="shared" ca="1" si="149"/>
        <v>7942.2085031060815</v>
      </c>
      <c r="FD54" s="4">
        <f t="shared" ca="1" si="150"/>
        <v>9927.7606288826009</v>
      </c>
      <c r="FE54" s="4">
        <f t="shared" ca="1" si="235"/>
        <v>2740.0619335715978</v>
      </c>
      <c r="FF54" s="4">
        <f t="shared" ca="1" si="236"/>
        <v>411.55730242245397</v>
      </c>
      <c r="FG54" s="4">
        <f t="shared" ca="1" si="237"/>
        <v>274.00619335715982</v>
      </c>
      <c r="FH54" s="17">
        <f t="shared" ca="1" si="238"/>
        <v>14659.367367086248</v>
      </c>
      <c r="FI54" s="4">
        <f t="shared" ca="1" si="239"/>
        <v>7329.6836835431241</v>
      </c>
      <c r="FJ54" s="4"/>
      <c r="FK54" s="4">
        <f t="shared" ca="1" si="240"/>
        <v>2815167.8918926157</v>
      </c>
      <c r="FL54" s="4"/>
      <c r="FM54" s="4">
        <v>0</v>
      </c>
      <c r="FN54" s="4">
        <f t="shared" si="241"/>
        <v>0</v>
      </c>
      <c r="FO54" s="4">
        <f t="shared" si="242"/>
        <v>0</v>
      </c>
      <c r="FP54" s="4">
        <f t="shared" si="243"/>
        <v>0</v>
      </c>
      <c r="FQ54" s="4">
        <f t="shared" si="244"/>
        <v>0</v>
      </c>
      <c r="FR54" s="4">
        <f t="shared" si="245"/>
        <v>0</v>
      </c>
      <c r="FS54" s="4">
        <f t="shared" si="246"/>
        <v>9038.9801475123604</v>
      </c>
      <c r="FT54" s="4">
        <f t="shared" ca="1" si="247"/>
        <v>0</v>
      </c>
      <c r="FU54" s="4"/>
      <c r="FV54" s="3">
        <f t="shared" si="248"/>
        <v>0.39426836073618859</v>
      </c>
      <c r="FW54" s="3">
        <f t="shared" si="249"/>
        <v>0.39426836073618859</v>
      </c>
      <c r="FX54" s="4">
        <f t="shared" si="151"/>
        <v>2064</v>
      </c>
      <c r="FY54" s="18">
        <f t="shared" si="250"/>
        <v>0</v>
      </c>
      <c r="FZ54" s="18">
        <f t="shared" si="251"/>
        <v>11.999999999999998</v>
      </c>
      <c r="GA54" s="18">
        <f t="shared" ca="1" si="252"/>
        <v>6.8460000000000001</v>
      </c>
      <c r="GB54" s="18">
        <f t="shared" si="253"/>
        <v>10.691351656459952</v>
      </c>
      <c r="GC54" s="18">
        <f t="shared" ca="1" si="254"/>
        <v>9.9875368289737878</v>
      </c>
      <c r="GD54" s="18">
        <f t="shared" ca="1" si="255"/>
        <v>0</v>
      </c>
      <c r="GE54" s="18">
        <f t="shared" ca="1" si="256"/>
        <v>23.41037893647314</v>
      </c>
      <c r="GF54" s="18">
        <f t="shared" ca="1" si="257"/>
        <v>0</v>
      </c>
      <c r="GG54" s="18" t="e">
        <f t="shared" ca="1" si="258"/>
        <v>#NAME?</v>
      </c>
      <c r="GH54" s="18" t="e">
        <f t="shared" ca="1" si="259"/>
        <v>#NAME?</v>
      </c>
      <c r="GI54" s="4"/>
      <c r="GJ54" s="4">
        <f t="shared" si="260"/>
        <v>2064</v>
      </c>
      <c r="GK54" s="4">
        <f t="shared" ca="1" si="261"/>
        <v>378.70517185589466</v>
      </c>
      <c r="GL54" s="4">
        <f t="shared" ca="1" si="262"/>
        <v>0</v>
      </c>
      <c r="GM54" s="4">
        <f t="shared" ca="1" si="263"/>
        <v>521.8044945808283</v>
      </c>
      <c r="GN54" s="4">
        <f t="shared" ca="1" si="264"/>
        <v>156.56807635723263</v>
      </c>
      <c r="GO54" s="4"/>
      <c r="GP54" s="3">
        <f t="shared" ca="1" si="152"/>
        <v>0.35825668872276262</v>
      </c>
      <c r="GQ54" s="3">
        <f t="shared" ca="1" si="265"/>
        <v>0</v>
      </c>
      <c r="GR54" s="3">
        <f t="shared" ca="1" si="266"/>
        <v>0.14811406012901995</v>
      </c>
      <c r="GS54" s="3">
        <f t="shared" ca="1" si="267"/>
        <v>0.49362925114821754</v>
      </c>
      <c r="GT54" s="3">
        <f t="array" aca="1" ref="GT54" ca="1">SUM(GP54:GS54*$GU$6:$GX$6)</f>
        <v>1</v>
      </c>
      <c r="GU54" s="3">
        <f t="shared" ca="1" si="155"/>
        <v>0.35825668872276262</v>
      </c>
      <c r="GV54" s="3">
        <f t="shared" ca="1" si="156"/>
        <v>0</v>
      </c>
      <c r="GW54" s="3">
        <f t="shared" ca="1" si="157"/>
        <v>0.14811406012901995</v>
      </c>
      <c r="GX54" s="3">
        <f t="shared" ca="1" si="158"/>
        <v>0.49362925114821754</v>
      </c>
      <c r="GY54" s="11"/>
      <c r="GZ54" s="27">
        <v>96</v>
      </c>
      <c r="HA54" s="30">
        <v>0.2</v>
      </c>
      <c r="HB54" s="29">
        <f t="shared" ca="1" si="153"/>
        <v>1</v>
      </c>
      <c r="HC54" s="29">
        <v>1</v>
      </c>
      <c r="HD54" s="29">
        <v>0.2</v>
      </c>
      <c r="HE54" s="29">
        <v>1</v>
      </c>
      <c r="HG54" s="27">
        <v>94</v>
      </c>
      <c r="HH54" s="30">
        <v>0.18790000000000001</v>
      </c>
      <c r="HJ54">
        <f t="shared" si="159"/>
        <v>2057</v>
      </c>
      <c r="HK54" s="28">
        <f t="shared" si="164"/>
        <v>50290</v>
      </c>
      <c r="HL54" s="27">
        <f t="shared" si="162"/>
        <v>12500</v>
      </c>
      <c r="HM54" s="28">
        <f t="shared" si="163"/>
        <v>12387.102512879328</v>
      </c>
      <c r="HO54" t="s">
        <v>659</v>
      </c>
      <c r="HQ54" s="27">
        <v>3</v>
      </c>
      <c r="HR54" s="27">
        <v>1</v>
      </c>
      <c r="HS54" s="27">
        <v>3</v>
      </c>
      <c r="HT54" s="27">
        <v>2</v>
      </c>
      <c r="HU54" s="27">
        <v>1</v>
      </c>
      <c r="HV54" s="27">
        <v>3</v>
      </c>
      <c r="HW54" s="27">
        <v>1</v>
      </c>
      <c r="HX54" s="27">
        <v>2</v>
      </c>
      <c r="HY54" s="27">
        <v>1</v>
      </c>
      <c r="HZ54" s="27">
        <v>1</v>
      </c>
      <c r="IA54" s="27">
        <v>2</v>
      </c>
      <c r="IB54" s="27">
        <v>3</v>
      </c>
      <c r="IC54" s="27">
        <v>3</v>
      </c>
      <c r="ID54" s="27">
        <v>3</v>
      </c>
      <c r="IE54" s="27">
        <v>3</v>
      </c>
      <c r="IF54" s="27">
        <v>3</v>
      </c>
      <c r="IG54" s="27">
        <v>3</v>
      </c>
    </row>
    <row r="55" spans="1:241" x14ac:dyDescent="0.25">
      <c r="A55" s="15" t="s">
        <v>357</v>
      </c>
      <c r="D55">
        <f t="shared" si="107"/>
        <v>2065</v>
      </c>
      <c r="E55">
        <f t="shared" si="108"/>
        <v>70</v>
      </c>
      <c r="F55" s="8"/>
      <c r="G55" s="8"/>
      <c r="H55" s="8"/>
      <c r="I55" s="8"/>
      <c r="J55" s="92"/>
      <c r="K55" s="91"/>
      <c r="L55" s="91"/>
      <c r="N55" s="93">
        <f t="shared" si="109"/>
        <v>0.05</v>
      </c>
      <c r="O55" s="23">
        <f t="shared" si="110"/>
        <v>0.4</v>
      </c>
      <c r="P55" s="23">
        <f t="shared" si="111"/>
        <v>0.1</v>
      </c>
      <c r="Q55" s="4">
        <f t="shared" si="169"/>
        <v>0</v>
      </c>
      <c r="R55" s="4">
        <f t="shared" si="269"/>
        <v>0</v>
      </c>
      <c r="S55" s="4">
        <f t="shared" si="113"/>
        <v>0</v>
      </c>
      <c r="T55" s="4">
        <f t="shared" ca="1" si="114"/>
        <v>0</v>
      </c>
      <c r="V55" s="18" t="e">
        <f t="shared" ca="1" si="170"/>
        <v>#NAME?</v>
      </c>
      <c r="W55" s="18" t="e">
        <f t="shared" ca="1" si="171"/>
        <v>#NAME?</v>
      </c>
      <c r="X55" s="18" t="e">
        <f t="shared" ca="1" si="172"/>
        <v>#NAME?</v>
      </c>
      <c r="Y55" s="18">
        <f t="shared" ca="1" si="173"/>
        <v>-10.005546469967529</v>
      </c>
      <c r="Z55" s="18">
        <f t="shared" ca="1" si="174"/>
        <v>0</v>
      </c>
      <c r="AA55" s="18">
        <f t="shared" ca="1" si="175"/>
        <v>5.604795324190917</v>
      </c>
      <c r="AB55" s="18">
        <f t="shared" ca="1" si="176"/>
        <v>-23.527677784995799</v>
      </c>
      <c r="AC55" s="18">
        <f t="shared" ca="1" si="177"/>
        <v>380.05185648991733</v>
      </c>
      <c r="AD55" s="18">
        <f t="shared" ca="1" si="178"/>
        <v>0</v>
      </c>
      <c r="AE55" s="18">
        <f t="shared" ca="1" si="179"/>
        <v>542.56321211782017</v>
      </c>
      <c r="AF55" s="18">
        <f t="shared" ca="1" si="180"/>
        <v>138.22166788100111</v>
      </c>
      <c r="AG55" s="18">
        <f t="shared" ca="1" si="181"/>
        <v>1060.8367364887386</v>
      </c>
      <c r="AI55">
        <f>Person2!E55</f>
        <v>70</v>
      </c>
      <c r="AJ55">
        <f>Person2!AZ55</f>
        <v>2</v>
      </c>
      <c r="AK55">
        <f>IF($AZ55&lt;&gt;3,Person2!FM55,0)</f>
        <v>0</v>
      </c>
      <c r="AL55" s="4">
        <f ca="1">IF($AZ55&lt;&gt;3,Person2!FN55+Person2!FT55,0)</f>
        <v>0</v>
      </c>
      <c r="AM55">
        <f>IF($AZ55&lt;&gt;3,Person2!FO55,0)</f>
        <v>0</v>
      </c>
      <c r="AN55">
        <f>IF($AZ55&lt;&gt;3,Person2!FP55,0)</f>
        <v>0</v>
      </c>
      <c r="AO55">
        <f>IF($AZ55&lt;&gt;3,Person2!FQ55,0)</f>
        <v>0</v>
      </c>
      <c r="AP55">
        <f>IF($AZ55&lt;&gt;3,Person2!FR55,0)</f>
        <v>0</v>
      </c>
      <c r="AQ55">
        <v>0</v>
      </c>
      <c r="AR55" s="4">
        <f>Person2!FS55</f>
        <v>0</v>
      </c>
      <c r="AS55" s="4">
        <v>0</v>
      </c>
      <c r="AT55" s="4">
        <v>0</v>
      </c>
      <c r="AV55">
        <f t="shared" si="270"/>
        <v>2065</v>
      </c>
      <c r="AW55">
        <f t="shared" si="271"/>
        <v>70</v>
      </c>
      <c r="AX55">
        <f t="shared" si="272"/>
        <v>2.5870703854994304</v>
      </c>
      <c r="AY55">
        <f t="shared" si="118"/>
        <v>0.38653760856489083</v>
      </c>
      <c r="AZ55">
        <f t="shared" si="119"/>
        <v>2</v>
      </c>
      <c r="BB55" s="4">
        <f t="shared" si="182"/>
        <v>0</v>
      </c>
      <c r="BC55">
        <f t="shared" si="183"/>
        <v>0</v>
      </c>
      <c r="BD55" s="4">
        <f t="shared" si="184"/>
        <v>31044.844625993166</v>
      </c>
      <c r="BE55" s="4">
        <f t="shared" ca="1" si="120"/>
        <v>17711.083859129099</v>
      </c>
      <c r="BF55" s="4">
        <f t="shared" si="121"/>
        <v>26910.118770198362</v>
      </c>
      <c r="BG55" s="4">
        <f t="shared" si="122"/>
        <v>0</v>
      </c>
      <c r="BH55" s="4">
        <f t="shared" si="185"/>
        <v>0</v>
      </c>
      <c r="BI55" s="4">
        <f t="shared" ca="1" si="123"/>
        <v>75666.04725532062</v>
      </c>
      <c r="BJ55" s="4"/>
      <c r="BK55" s="4">
        <f t="shared" si="186"/>
        <v>129353.51927497152</v>
      </c>
      <c r="BL55" s="4">
        <f t="shared" si="124"/>
        <v>0</v>
      </c>
      <c r="BM55" s="4">
        <f t="shared" si="125"/>
        <v>129353.51927497152</v>
      </c>
      <c r="BN55" s="4">
        <v>18565.339380675905</v>
      </c>
      <c r="BO55" s="4">
        <f t="shared" si="126"/>
        <v>147918.85865564743</v>
      </c>
      <c r="BP55" s="4">
        <f t="shared" ca="1" si="127"/>
        <v>-72252.811400326813</v>
      </c>
      <c r="BQ55" s="4"/>
      <c r="BR55" s="4">
        <v>0</v>
      </c>
      <c r="BS55" s="4">
        <f t="shared" ca="1" si="187"/>
        <v>0</v>
      </c>
      <c r="BT55" s="4">
        <f t="shared" ca="1" si="188"/>
        <v>14500</v>
      </c>
      <c r="BU55" s="4">
        <f t="shared" ca="1" si="189"/>
        <v>72252.811400326813</v>
      </c>
      <c r="BV55" s="4">
        <f t="shared" si="190"/>
        <v>1</v>
      </c>
      <c r="BW55" s="4">
        <f t="shared" ca="1" si="191"/>
        <v>25885.052963191356</v>
      </c>
      <c r="BX55" s="4">
        <f t="shared" ca="1" si="192"/>
        <v>0</v>
      </c>
      <c r="BY55" s="4">
        <f t="shared" ca="1" si="193"/>
        <v>60867.758437135461</v>
      </c>
      <c r="BZ55" s="4">
        <f t="shared" ca="1" si="194"/>
        <v>0</v>
      </c>
      <c r="CA55" s="4">
        <f t="shared" ca="1" si="26"/>
        <v>86752.811400326813</v>
      </c>
      <c r="CB55" s="4">
        <f t="shared" ca="1" si="160"/>
        <v>14500</v>
      </c>
      <c r="CC55" s="4"/>
      <c r="CD55" s="4">
        <f t="shared" ca="1" si="195"/>
        <v>162418.85865564743</v>
      </c>
      <c r="CE55" s="4">
        <f t="shared" ca="1" si="128"/>
        <v>120730.67393860301</v>
      </c>
      <c r="CF55" s="16">
        <f t="shared" ca="1" si="196"/>
        <v>0.42314886784570993</v>
      </c>
      <c r="CG55" s="4">
        <f t="shared" si="129"/>
        <v>0</v>
      </c>
      <c r="CH55" s="4" t="e">
        <f t="shared" ca="1" si="197"/>
        <v>#NAME?</v>
      </c>
      <c r="CI55" s="4" t="e">
        <f t="shared" ca="1" si="198"/>
        <v>#NAME?</v>
      </c>
      <c r="CJ55" s="4" t="e">
        <f t="shared" ca="1" si="130"/>
        <v>#NAME?</v>
      </c>
      <c r="CK55" s="4" t="e">
        <f t="shared" ca="1" si="31"/>
        <v>#NAME?</v>
      </c>
      <c r="CL55" s="4" t="e">
        <f t="shared" ca="1" si="199"/>
        <v>#NAME?</v>
      </c>
      <c r="CM55" s="16"/>
      <c r="CN55" s="4" t="e">
        <f t="shared" ca="1" si="200"/>
        <v>#NAME?</v>
      </c>
      <c r="CO55" s="4" t="e">
        <f t="shared" ca="1" si="201"/>
        <v>#NAME?</v>
      </c>
      <c r="CP55" s="4">
        <f t="shared" ca="1" si="279"/>
        <v>2744459.3048198782</v>
      </c>
      <c r="CQ55" s="4"/>
      <c r="CR55" s="4">
        <f t="shared" ca="1" si="202"/>
        <v>14500</v>
      </c>
      <c r="CS55" s="4">
        <f t="shared" ca="1" si="203"/>
        <v>58920</v>
      </c>
      <c r="CT55" s="4">
        <f t="shared" ca="1" si="204"/>
        <v>0</v>
      </c>
      <c r="CU55" s="4"/>
      <c r="CV55" s="4">
        <f t="shared" ca="1" si="132"/>
        <v>14500</v>
      </c>
      <c r="CW55" s="4">
        <f t="shared" ca="1" si="205"/>
        <v>0</v>
      </c>
      <c r="CX55" s="4">
        <f t="shared" ca="1" si="206"/>
        <v>0</v>
      </c>
      <c r="CY55" s="4">
        <f t="shared" ca="1" si="133"/>
        <v>14500</v>
      </c>
      <c r="CZ55" s="4"/>
      <c r="DA55" s="4">
        <f t="shared" ca="1" si="207"/>
        <v>14500</v>
      </c>
      <c r="DB55" s="4">
        <f t="shared" si="208"/>
        <v>0</v>
      </c>
      <c r="DC55" s="4">
        <f t="shared" ca="1" si="134"/>
        <v>0</v>
      </c>
      <c r="DD55" s="4">
        <f t="shared" ca="1" si="209"/>
        <v>0</v>
      </c>
      <c r="DE55" s="4">
        <f t="shared" ca="1" si="210"/>
        <v>0</v>
      </c>
      <c r="DF55" s="4">
        <f t="shared" ca="1" si="135"/>
        <v>0</v>
      </c>
      <c r="DG55" s="4">
        <f t="shared" ca="1" si="136"/>
        <v>0</v>
      </c>
      <c r="DH55" s="4">
        <f t="shared" ca="1" si="211"/>
        <v>0</v>
      </c>
      <c r="DI55" s="4"/>
      <c r="DJ55" s="4">
        <f t="shared" ca="1" si="212"/>
        <v>14500</v>
      </c>
      <c r="DK55" s="4">
        <f t="shared" ca="1" si="213"/>
        <v>14500</v>
      </c>
      <c r="DL55" s="4">
        <f t="shared" ca="1" si="214"/>
        <v>14500</v>
      </c>
      <c r="DM55" s="4">
        <f t="shared" ca="1" si="215"/>
        <v>14500</v>
      </c>
      <c r="DN55" s="4">
        <f t="shared" ca="1" si="216"/>
        <v>14500</v>
      </c>
      <c r="DO55" s="4">
        <f t="shared" ca="1" si="50"/>
        <v>0</v>
      </c>
      <c r="DP55" s="4"/>
      <c r="DQ55" s="4">
        <f t="shared" ca="1" si="217"/>
        <v>0</v>
      </c>
      <c r="DR55" s="4"/>
      <c r="DS55" s="4">
        <f t="shared" si="137"/>
        <v>0</v>
      </c>
      <c r="DT55" s="4">
        <f t="shared" ca="1" si="282"/>
        <v>0</v>
      </c>
      <c r="DU55" s="4">
        <f t="shared" si="218"/>
        <v>0</v>
      </c>
      <c r="DV55" s="4"/>
      <c r="DW55" s="4">
        <f t="shared" ca="1" si="273"/>
        <v>983220.90287914453</v>
      </c>
      <c r="DX55" s="4">
        <f t="shared" ca="1" si="219"/>
        <v>0</v>
      </c>
      <c r="DY55" s="4">
        <f t="shared" ca="1" si="139"/>
        <v>49161.045143957228</v>
      </c>
      <c r="DZ55" s="4">
        <f t="shared" ca="1" si="220"/>
        <v>25885.052963191356</v>
      </c>
      <c r="EA55" s="4">
        <f t="shared" ca="1" si="221"/>
        <v>0</v>
      </c>
      <c r="EB55" s="4">
        <f t="shared" ca="1" si="222"/>
        <v>1032381.9480231018</v>
      </c>
      <c r="EC55" s="4">
        <f t="shared" si="223"/>
        <v>1</v>
      </c>
      <c r="ED55" s="4"/>
      <c r="EE55" s="4">
        <f t="shared" ca="1" si="274"/>
        <v>0</v>
      </c>
      <c r="EF55" s="4">
        <f t="shared" ca="1" si="224"/>
        <v>0</v>
      </c>
      <c r="EG55" s="4">
        <f t="shared" ca="1" si="141"/>
        <v>0</v>
      </c>
      <c r="EH55" s="4">
        <f t="shared" ca="1" si="225"/>
        <v>0</v>
      </c>
      <c r="EI55" s="4">
        <f t="shared" ca="1" si="226"/>
        <v>0</v>
      </c>
      <c r="EJ55" s="4">
        <f t="shared" ca="1" si="227"/>
        <v>0</v>
      </c>
      <c r="EK55" s="4">
        <f t="shared" si="228"/>
        <v>1</v>
      </c>
      <c r="EL55" s="4">
        <f t="shared" si="229"/>
        <v>0</v>
      </c>
      <c r="EM55" s="4"/>
      <c r="EN55" s="4">
        <f t="shared" ca="1" si="275"/>
        <v>1403649.218331458</v>
      </c>
      <c r="EO55" s="4">
        <f t="shared" ca="1" si="230"/>
        <v>14500</v>
      </c>
      <c r="EP55" s="4">
        <f t="shared" ca="1" si="143"/>
        <v>70182.460916572905</v>
      </c>
      <c r="EQ55" s="4">
        <f t="shared" ca="1" si="231"/>
        <v>0</v>
      </c>
      <c r="ER55" s="4">
        <v>0</v>
      </c>
      <c r="ES55" s="4">
        <f t="shared" ca="1" si="144"/>
        <v>1473831.679248031</v>
      </c>
      <c r="ET55" s="4"/>
      <c r="EU55" s="4">
        <f t="shared" ca="1" si="276"/>
        <v>357589.18360927573</v>
      </c>
      <c r="EV55" s="4">
        <f t="shared" ca="1" si="232"/>
        <v>0</v>
      </c>
      <c r="EW55" s="4">
        <f t="shared" ca="1" si="146"/>
        <v>17879.459180463786</v>
      </c>
      <c r="EX55" s="4">
        <f t="shared" ca="1" si="233"/>
        <v>60867.758437135461</v>
      </c>
      <c r="EY55" s="4">
        <v>0</v>
      </c>
      <c r="EZ55" s="4">
        <f t="shared" ca="1" si="147"/>
        <v>375468.64278973953</v>
      </c>
      <c r="FA55" s="4">
        <f t="shared" ca="1" si="277"/>
        <v>91324.353215211435</v>
      </c>
      <c r="FB55" s="1">
        <f t="shared" ca="1" si="234"/>
        <v>0.25538902573462102</v>
      </c>
      <c r="FC55" s="4">
        <f t="shared" ca="1" si="149"/>
        <v>7151.7836721855147</v>
      </c>
      <c r="FD55" s="4">
        <f t="shared" ca="1" si="150"/>
        <v>8939.7295902318929</v>
      </c>
      <c r="FE55" s="4">
        <f t="shared" ca="1" si="235"/>
        <v>2467.3653669040023</v>
      </c>
      <c r="FF55" s="4">
        <f t="shared" ca="1" si="236"/>
        <v>370.59827810898116</v>
      </c>
      <c r="FG55" s="4">
        <f t="shared" ca="1" si="237"/>
        <v>246.73653669040024</v>
      </c>
      <c r="FH55" s="17">
        <f t="shared" ca="1" si="238"/>
        <v>15544.957525910284</v>
      </c>
      <c r="FI55" s="4">
        <f t="shared" ca="1" si="239"/>
        <v>7772.478762955142</v>
      </c>
      <c r="FJ55" s="4"/>
      <c r="FK55" s="4">
        <f t="shared" ca="1" si="240"/>
        <v>2881682.2700608722</v>
      </c>
      <c r="FL55" s="4"/>
      <c r="FM55" s="4">
        <v>0</v>
      </c>
      <c r="FN55" s="4">
        <f t="shared" si="241"/>
        <v>0</v>
      </c>
      <c r="FO55" s="4">
        <f t="shared" si="242"/>
        <v>0</v>
      </c>
      <c r="FP55" s="4">
        <f t="shared" si="243"/>
        <v>0</v>
      </c>
      <c r="FQ55" s="4">
        <f t="shared" si="244"/>
        <v>0</v>
      </c>
      <c r="FR55" s="4">
        <f t="shared" si="245"/>
        <v>0</v>
      </c>
      <c r="FS55" s="4">
        <f t="shared" si="246"/>
        <v>8970.0395900661206</v>
      </c>
      <c r="FT55" s="4">
        <f t="shared" ca="1" si="247"/>
        <v>0</v>
      </c>
      <c r="FU55" s="4"/>
      <c r="FV55" s="3">
        <f t="shared" si="248"/>
        <v>0.38653760856489083</v>
      </c>
      <c r="FW55" s="3">
        <f t="shared" si="249"/>
        <v>0.38653760856489083</v>
      </c>
      <c r="FX55" s="4">
        <f t="shared" si="151"/>
        <v>2065</v>
      </c>
      <c r="FY55" s="18">
        <f t="shared" si="250"/>
        <v>0</v>
      </c>
      <c r="FZ55" s="18">
        <f t="shared" si="251"/>
        <v>12.000000000000002</v>
      </c>
      <c r="GA55" s="18">
        <f t="shared" ca="1" si="252"/>
        <v>6.8460000000000001</v>
      </c>
      <c r="GB55" s="18">
        <f t="shared" si="253"/>
        <v>10.401772955629657</v>
      </c>
      <c r="GC55" s="18">
        <f t="shared" ca="1" si="254"/>
        <v>10.005546469967529</v>
      </c>
      <c r="GD55" s="18">
        <f t="shared" ca="1" si="255"/>
        <v>0</v>
      </c>
      <c r="GE55" s="18">
        <f t="shared" ca="1" si="256"/>
        <v>23.527677784995799</v>
      </c>
      <c r="GF55" s="18">
        <f t="shared" ca="1" si="257"/>
        <v>0</v>
      </c>
      <c r="GG55" s="18" t="e">
        <f t="shared" ca="1" si="258"/>
        <v>#NAME?</v>
      </c>
      <c r="GH55" s="18" t="e">
        <f t="shared" ca="1" si="259"/>
        <v>#NAME?</v>
      </c>
      <c r="GI55" s="4"/>
      <c r="GJ55" s="4">
        <f t="shared" si="260"/>
        <v>2065</v>
      </c>
      <c r="GK55" s="4">
        <f t="shared" ca="1" si="261"/>
        <v>380.05185648991733</v>
      </c>
      <c r="GL55" s="4">
        <f t="shared" ca="1" si="262"/>
        <v>0</v>
      </c>
      <c r="GM55" s="4">
        <f t="shared" ca="1" si="263"/>
        <v>542.56321211782017</v>
      </c>
      <c r="GN55" s="4">
        <f t="shared" ca="1" si="264"/>
        <v>138.22166788100111</v>
      </c>
      <c r="GO55" s="4"/>
      <c r="GP55" s="3">
        <f t="shared" ca="1" si="152"/>
        <v>0.35825668872276262</v>
      </c>
      <c r="GQ55" s="3">
        <f t="shared" ca="1" si="265"/>
        <v>0</v>
      </c>
      <c r="GR55" s="3">
        <f t="shared" ca="1" si="266"/>
        <v>0.13029494843711836</v>
      </c>
      <c r="GS55" s="3">
        <f t="shared" ca="1" si="267"/>
        <v>0.51144836284011908</v>
      </c>
      <c r="GT55" s="3">
        <f t="array" aca="1" ref="GT55" ca="1">SUM(GP55:GS55*$GU$6:$GX$6)</f>
        <v>1</v>
      </c>
      <c r="GU55" s="3">
        <f t="shared" ca="1" si="155"/>
        <v>0.35825668872276262</v>
      </c>
      <c r="GV55" s="3">
        <f t="shared" ca="1" si="156"/>
        <v>0</v>
      </c>
      <c r="GW55" s="3">
        <f t="shared" ca="1" si="157"/>
        <v>0.13029494843711836</v>
      </c>
      <c r="GX55" s="3">
        <f t="shared" ca="1" si="158"/>
        <v>0.51144836284011908</v>
      </c>
      <c r="GY55" s="11"/>
      <c r="GZ55" s="27">
        <v>97</v>
      </c>
      <c r="HA55" s="30">
        <v>0.2</v>
      </c>
      <c r="HB55" s="29">
        <f t="shared" ca="1" si="153"/>
        <v>1</v>
      </c>
      <c r="HC55" s="29">
        <v>1</v>
      </c>
      <c r="HD55" s="29">
        <v>0.2</v>
      </c>
      <c r="HE55" s="29">
        <v>1</v>
      </c>
      <c r="HG55" s="27">
        <v>95</v>
      </c>
      <c r="HH55" s="30">
        <v>0.2</v>
      </c>
      <c r="HJ55">
        <f t="shared" si="159"/>
        <v>2058</v>
      </c>
      <c r="HK55" s="28">
        <f t="shared" si="164"/>
        <v>51290</v>
      </c>
      <c r="HL55" s="27">
        <f t="shared" si="162"/>
        <v>12500</v>
      </c>
      <c r="HM55" s="28">
        <f t="shared" si="163"/>
        <v>12634.844563136914</v>
      </c>
      <c r="HO55" t="s">
        <v>220</v>
      </c>
    </row>
    <row r="56" spans="1:241" x14ac:dyDescent="0.25">
      <c r="A56" t="s">
        <v>306</v>
      </c>
      <c r="B56" s="62">
        <f>Inputs_Summary!AJ53</f>
        <v>1</v>
      </c>
      <c r="D56">
        <f t="shared" si="107"/>
        <v>2066</v>
      </c>
      <c r="E56">
        <f t="shared" si="108"/>
        <v>71</v>
      </c>
      <c r="F56" s="8"/>
      <c r="G56" s="8"/>
      <c r="H56" s="8"/>
      <c r="I56" s="8"/>
      <c r="J56" s="92"/>
      <c r="K56" s="91"/>
      <c r="L56" s="91"/>
      <c r="N56" s="93">
        <f t="shared" si="109"/>
        <v>0.05</v>
      </c>
      <c r="O56" s="23">
        <f t="shared" si="110"/>
        <v>0.4</v>
      </c>
      <c r="P56" s="23">
        <f t="shared" si="111"/>
        <v>0.1</v>
      </c>
      <c r="Q56" s="4">
        <f t="shared" si="169"/>
        <v>0</v>
      </c>
      <c r="R56" s="4">
        <f t="shared" si="269"/>
        <v>0</v>
      </c>
      <c r="S56" s="4">
        <f t="shared" si="113"/>
        <v>0</v>
      </c>
      <c r="T56" s="4">
        <f t="shared" ca="1" si="114"/>
        <v>0</v>
      </c>
      <c r="V56" s="18" t="e">
        <f t="shared" ca="1" si="170"/>
        <v>#NAME?</v>
      </c>
      <c r="W56" s="18" t="e">
        <f t="shared" ca="1" si="171"/>
        <v>#NAME?</v>
      </c>
      <c r="X56" s="18" t="e">
        <f t="shared" ca="1" si="172"/>
        <v>#NAME?</v>
      </c>
      <c r="Y56" s="18" t="e">
        <f t="shared" ca="1" si="173"/>
        <v>#NAME?</v>
      </c>
      <c r="Z56" s="18" t="e">
        <f t="shared" ca="1" si="174"/>
        <v>#NAME?</v>
      </c>
      <c r="AA56" s="18" t="e">
        <f t="shared" ca="1" si="175"/>
        <v>#NAME?</v>
      </c>
      <c r="AB56" s="18" t="e">
        <f t="shared" ca="1" si="176"/>
        <v>#NAME?</v>
      </c>
      <c r="AC56" s="18">
        <f t="shared" ca="1" si="177"/>
        <v>381.42049298475058</v>
      </c>
      <c r="AD56" s="18">
        <f t="shared" ca="1" si="178"/>
        <v>0</v>
      </c>
      <c r="AE56" s="18">
        <f t="shared" ca="1" si="179"/>
        <v>564.01585102735498</v>
      </c>
      <c r="AF56" s="18">
        <f t="shared" ca="1" si="180"/>
        <v>119.22066028436797</v>
      </c>
      <c r="AG56" s="18">
        <f t="shared" ca="1" si="181"/>
        <v>1064.6570042964734</v>
      </c>
      <c r="AI56">
        <f>Person2!E56</f>
        <v>71</v>
      </c>
      <c r="AJ56">
        <f>Person2!AZ56</f>
        <v>2</v>
      </c>
      <c r="AK56">
        <f>IF($AZ56&lt;&gt;3,Person2!FM56,0)</f>
        <v>0</v>
      </c>
      <c r="AL56" s="4">
        <f>IF($AZ56&lt;&gt;3,Person2!FN56+Person2!FT56,0)</f>
        <v>0</v>
      </c>
      <c r="AM56">
        <f>IF($AZ56&lt;&gt;3,Person2!FO56,0)</f>
        <v>0</v>
      </c>
      <c r="AN56">
        <f>IF($AZ56&lt;&gt;3,Person2!FP56,0)</f>
        <v>0</v>
      </c>
      <c r="AO56">
        <f>IF($AZ56&lt;&gt;3,Person2!FQ56,0)</f>
        <v>0</v>
      </c>
      <c r="AP56">
        <f>IF($AZ56&lt;&gt;3,Person2!FR56,0)</f>
        <v>0</v>
      </c>
      <c r="AQ56">
        <v>0</v>
      </c>
      <c r="AR56" s="4">
        <f>Person2!FS56</f>
        <v>0</v>
      </c>
      <c r="AS56" s="4">
        <v>0</v>
      </c>
      <c r="AT56" s="4">
        <v>0</v>
      </c>
      <c r="AV56">
        <f t="shared" si="270"/>
        <v>2066</v>
      </c>
      <c r="AW56">
        <f t="shared" si="271"/>
        <v>71</v>
      </c>
      <c r="AX56">
        <f t="shared" si="272"/>
        <v>2.6388117932094191</v>
      </c>
      <c r="AY56">
        <f t="shared" si="118"/>
        <v>0.37895843976950078</v>
      </c>
      <c r="AZ56">
        <f t="shared" si="119"/>
        <v>2</v>
      </c>
      <c r="BB56" s="4">
        <f t="shared" si="182"/>
        <v>0</v>
      </c>
      <c r="BC56">
        <f t="shared" si="183"/>
        <v>0</v>
      </c>
      <c r="BD56" s="4">
        <f t="shared" si="184"/>
        <v>31665.74151851303</v>
      </c>
      <c r="BE56" s="4">
        <f t="shared" ca="1" si="120"/>
        <v>18065.305536311684</v>
      </c>
      <c r="BF56" s="4">
        <f t="shared" si="121"/>
        <v>26695.414862006925</v>
      </c>
      <c r="BG56" s="4">
        <f t="shared" si="122"/>
        <v>0</v>
      </c>
      <c r="BH56" s="4">
        <f t="shared" si="185"/>
        <v>0</v>
      </c>
      <c r="BI56" s="4">
        <f t="shared" ca="1" si="123"/>
        <v>76426.461916831642</v>
      </c>
      <c r="BJ56" s="4"/>
      <c r="BK56" s="4">
        <f t="shared" si="186"/>
        <v>131940.58966047096</v>
      </c>
      <c r="BL56" s="4">
        <f t="shared" si="124"/>
        <v>0</v>
      </c>
      <c r="BM56" s="4">
        <f t="shared" si="125"/>
        <v>131940.58966047096</v>
      </c>
      <c r="BN56" s="4">
        <v>27644.803503321073</v>
      </c>
      <c r="BO56" s="4">
        <f t="shared" si="126"/>
        <v>159585.39316379203</v>
      </c>
      <c r="BP56" s="4">
        <f t="shared" ca="1" si="127"/>
        <v>-83158.93124696039</v>
      </c>
      <c r="BQ56" s="4"/>
      <c r="BR56" s="4">
        <v>0</v>
      </c>
      <c r="BS56" s="4">
        <f t="shared" ca="1" si="187"/>
        <v>0</v>
      </c>
      <c r="BT56" s="4">
        <f t="shared" ca="1" si="188"/>
        <v>15000</v>
      </c>
      <c r="BU56" s="4">
        <f t="shared" ca="1" si="189"/>
        <v>83158.93124696039</v>
      </c>
      <c r="BV56" s="4">
        <f t="shared" si="190"/>
        <v>1</v>
      </c>
      <c r="BW56" s="4" t="e">
        <f t="shared" ca="1" si="191"/>
        <v>#NAME?</v>
      </c>
      <c r="BX56" s="4" t="e">
        <f t="shared" ca="1" si="192"/>
        <v>#NAME?</v>
      </c>
      <c r="BY56" s="4" t="e">
        <f t="shared" ca="1" si="193"/>
        <v>#NAME?</v>
      </c>
      <c r="BZ56" s="4" t="e">
        <f t="shared" ca="1" si="194"/>
        <v>#NAME?</v>
      </c>
      <c r="CA56" s="4" t="e">
        <f t="shared" ca="1" si="26"/>
        <v>#NAME?</v>
      </c>
      <c r="CB56" s="4" t="e">
        <f t="shared" ca="1" si="160"/>
        <v>#NAME?</v>
      </c>
      <c r="CC56" s="4"/>
      <c r="CD56" s="4" t="e">
        <f t="shared" ca="1" si="195"/>
        <v>#NAME?</v>
      </c>
      <c r="CE56" s="4" t="e">
        <f t="shared" ca="1" si="128"/>
        <v>#NAME?</v>
      </c>
      <c r="CF56" s="16" t="e">
        <f t="shared" ca="1" si="196"/>
        <v>#NAME?</v>
      </c>
      <c r="CG56" s="4">
        <f t="shared" si="129"/>
        <v>0</v>
      </c>
      <c r="CH56" s="4" t="e">
        <f t="shared" ca="1" si="197"/>
        <v>#NAME?</v>
      </c>
      <c r="CI56" s="4" t="e">
        <f t="shared" ca="1" si="198"/>
        <v>#NAME?</v>
      </c>
      <c r="CJ56" s="4" t="e">
        <f t="shared" ca="1" si="130"/>
        <v>#NAME?</v>
      </c>
      <c r="CK56" s="4" t="e">
        <f t="shared" ca="1" si="31"/>
        <v>#NAME?</v>
      </c>
      <c r="CL56" s="4" t="e">
        <f t="shared" ca="1" si="199"/>
        <v>#NAME?</v>
      </c>
      <c r="CM56" s="16"/>
      <c r="CN56" s="4" t="e">
        <f t="shared" ca="1" si="200"/>
        <v>#NAME?</v>
      </c>
      <c r="CO56" s="4" t="e">
        <f t="shared" ca="1" si="201"/>
        <v>#NAME?</v>
      </c>
      <c r="CP56" s="4">
        <f t="shared" ca="1" si="279"/>
        <v>2809429.4586605453</v>
      </c>
      <c r="CQ56" s="4"/>
      <c r="CR56" s="4" t="e">
        <f t="shared" ca="1" si="202"/>
        <v>#NAME?</v>
      </c>
      <c r="CS56" s="4">
        <f t="shared" ca="1" si="203"/>
        <v>60100</v>
      </c>
      <c r="CT56" s="4">
        <f t="shared" ca="1" si="204"/>
        <v>0</v>
      </c>
      <c r="CU56" s="4"/>
      <c r="CV56" s="4" t="e">
        <f t="shared" ca="1" si="132"/>
        <v>#NAME?</v>
      </c>
      <c r="CW56" s="4">
        <f t="shared" ca="1" si="205"/>
        <v>0</v>
      </c>
      <c r="CX56" s="4" t="e">
        <f t="shared" ca="1" si="206"/>
        <v>#NAME?</v>
      </c>
      <c r="CY56" s="4" t="e">
        <f t="shared" ca="1" si="133"/>
        <v>#NAME?</v>
      </c>
      <c r="CZ56" s="4"/>
      <c r="DA56" s="4" t="e">
        <f t="shared" ca="1" si="207"/>
        <v>#NAME?</v>
      </c>
      <c r="DB56" s="4">
        <f t="shared" si="208"/>
        <v>0</v>
      </c>
      <c r="DC56" s="4" t="e">
        <f t="shared" ca="1" si="134"/>
        <v>#NAME?</v>
      </c>
      <c r="DD56" s="4" t="e">
        <f t="shared" ca="1" si="209"/>
        <v>#NAME?</v>
      </c>
      <c r="DE56" s="4" t="e">
        <f t="shared" ca="1" si="210"/>
        <v>#NAME?</v>
      </c>
      <c r="DF56" s="4" t="e">
        <f t="shared" ca="1" si="135"/>
        <v>#NAME?</v>
      </c>
      <c r="DG56" s="4" t="e">
        <f t="shared" ca="1" si="136"/>
        <v>#NAME?</v>
      </c>
      <c r="DH56" s="4">
        <f t="shared" si="211"/>
        <v>0</v>
      </c>
      <c r="DI56" s="4"/>
      <c r="DJ56" s="4" t="e">
        <f t="shared" ca="1" si="212"/>
        <v>#NAME?</v>
      </c>
      <c r="DK56" s="4">
        <f t="shared" ca="1" si="213"/>
        <v>15000</v>
      </c>
      <c r="DL56" s="4">
        <f t="shared" ca="1" si="214"/>
        <v>15000</v>
      </c>
      <c r="DM56" s="4">
        <f t="shared" ca="1" si="215"/>
        <v>15000</v>
      </c>
      <c r="DN56" s="4" t="e">
        <f t="shared" ca="1" si="216"/>
        <v>#NAME?</v>
      </c>
      <c r="DO56" s="4" t="e">
        <f t="shared" ca="1" si="50"/>
        <v>#NAME?</v>
      </c>
      <c r="DP56" s="4"/>
      <c r="DQ56" s="4" t="e">
        <f t="shared" ca="1" si="217"/>
        <v>#NAME?</v>
      </c>
      <c r="DR56" s="4"/>
      <c r="DS56" s="4">
        <f t="shared" si="137"/>
        <v>0</v>
      </c>
      <c r="DT56" s="4" t="e">
        <f t="shared" ca="1" si="282"/>
        <v>#NAME?</v>
      </c>
      <c r="DU56" s="4">
        <f t="shared" si="218"/>
        <v>0</v>
      </c>
      <c r="DV56" s="4"/>
      <c r="DW56" s="4">
        <f t="shared" ca="1" si="273"/>
        <v>1006496.8950599104</v>
      </c>
      <c r="DX56" s="4" t="e">
        <f t="shared" ca="1" si="219"/>
        <v>#NAME?</v>
      </c>
      <c r="DY56" s="4">
        <f t="shared" ca="1" si="139"/>
        <v>50324.844752995523</v>
      </c>
      <c r="DZ56" s="4" t="e">
        <f t="shared" ca="1" si="220"/>
        <v>#NAME?</v>
      </c>
      <c r="EA56" s="4" t="e">
        <f t="shared" ca="1" si="221"/>
        <v>#NAME?</v>
      </c>
      <c r="EB56" s="4">
        <f t="shared" ca="1" si="222"/>
        <v>1056821.7398129059</v>
      </c>
      <c r="EC56" s="4">
        <f t="shared" si="223"/>
        <v>2</v>
      </c>
      <c r="ED56" s="4"/>
      <c r="EE56" s="4">
        <f t="shared" ca="1" si="274"/>
        <v>0</v>
      </c>
      <c r="EF56" s="4" t="e">
        <f t="shared" ca="1" si="224"/>
        <v>#NAME?</v>
      </c>
      <c r="EG56" s="4">
        <f t="shared" ca="1" si="141"/>
        <v>0</v>
      </c>
      <c r="EH56" s="4" t="e">
        <f t="shared" ca="1" si="225"/>
        <v>#NAME?</v>
      </c>
      <c r="EI56" s="4" t="e">
        <f t="shared" ca="1" si="226"/>
        <v>#NAME?</v>
      </c>
      <c r="EJ56" s="4" t="e">
        <f t="shared" ca="1" si="227"/>
        <v>#NAME?</v>
      </c>
      <c r="EK56" s="4">
        <f t="shared" si="228"/>
        <v>2</v>
      </c>
      <c r="EL56" s="4">
        <f t="shared" ca="1" si="229"/>
        <v>0</v>
      </c>
      <c r="EM56" s="4"/>
      <c r="EN56" s="4">
        <f t="shared" ca="1" si="275"/>
        <v>1488331.679248031</v>
      </c>
      <c r="EO56" s="4" t="e">
        <f t="shared" ca="1" si="230"/>
        <v>#NAME?</v>
      </c>
      <c r="EP56" s="4">
        <f t="shared" ca="1" si="143"/>
        <v>74416.58396240155</v>
      </c>
      <c r="EQ56" s="4" t="e">
        <f t="shared" ca="1" si="231"/>
        <v>#NAME?</v>
      </c>
      <c r="ER56" s="4">
        <v>0</v>
      </c>
      <c r="ES56" s="4">
        <f t="shared" ca="1" si="144"/>
        <v>1562748.2632104326</v>
      </c>
      <c r="ET56" s="4"/>
      <c r="EU56" s="4">
        <f t="shared" ca="1" si="276"/>
        <v>314600.88435260404</v>
      </c>
      <c r="EV56" s="4" t="e">
        <f t="shared" ca="1" si="232"/>
        <v>#NAME?</v>
      </c>
      <c r="EW56" s="4">
        <f t="shared" ca="1" si="146"/>
        <v>15730.044217630202</v>
      </c>
      <c r="EX56" s="4" t="e">
        <f t="shared" ca="1" si="233"/>
        <v>#NAME?</v>
      </c>
      <c r="EY56" s="4">
        <v>0</v>
      </c>
      <c r="EZ56" s="4">
        <f t="shared" ca="1" si="147"/>
        <v>330330.92857023422</v>
      </c>
      <c r="FA56" s="4">
        <f t="shared" ca="1" si="277"/>
        <v>82931.179361486662</v>
      </c>
      <c r="FB56" s="1">
        <f t="shared" ca="1" si="234"/>
        <v>0.26360758499501724</v>
      </c>
      <c r="FC56" s="4">
        <f t="shared" ca="1" si="149"/>
        <v>6292.0176870520809</v>
      </c>
      <c r="FD56" s="4">
        <f t="shared" ca="1" si="150"/>
        <v>7865.0221088151011</v>
      </c>
      <c r="FE56" s="4">
        <f t="shared" ca="1" si="235"/>
        <v>2170.7461020329679</v>
      </c>
      <c r="FF56" s="4">
        <f t="shared" ca="1" si="236"/>
        <v>326.04606452535177</v>
      </c>
      <c r="FG56" s="4">
        <f t="shared" ca="1" si="237"/>
        <v>217.0746102032968</v>
      </c>
      <c r="FH56" s="17" t="e">
        <f t="shared" ca="1" si="238"/>
        <v>#NAME?</v>
      </c>
      <c r="FI56" s="4" t="e">
        <f t="shared" ca="1" si="239"/>
        <v>#NAME?</v>
      </c>
      <c r="FJ56" s="4"/>
      <c r="FK56" s="4">
        <f t="shared" ca="1" si="240"/>
        <v>2949900.9315935727</v>
      </c>
      <c r="FL56" s="4"/>
      <c r="FM56" s="4">
        <v>0</v>
      </c>
      <c r="FN56" s="4">
        <f t="shared" si="241"/>
        <v>0</v>
      </c>
      <c r="FO56" s="4">
        <f t="shared" si="242"/>
        <v>0</v>
      </c>
      <c r="FP56" s="4">
        <f t="shared" si="243"/>
        <v>0</v>
      </c>
      <c r="FQ56" s="4">
        <f t="shared" si="244"/>
        <v>0</v>
      </c>
      <c r="FR56" s="4">
        <f t="shared" si="245"/>
        <v>0</v>
      </c>
      <c r="FS56" s="4">
        <f t="shared" si="246"/>
        <v>8898.4716206689736</v>
      </c>
      <c r="FT56" s="4">
        <f t="shared" si="247"/>
        <v>0</v>
      </c>
      <c r="FU56" s="4"/>
      <c r="FV56" s="3">
        <f t="shared" si="248"/>
        <v>0.37895843976950078</v>
      </c>
      <c r="FW56" s="3">
        <f t="shared" si="249"/>
        <v>0.37895843976950078</v>
      </c>
      <c r="FX56" s="4">
        <f t="shared" si="151"/>
        <v>2066</v>
      </c>
      <c r="FY56" s="18">
        <f t="shared" si="250"/>
        <v>0</v>
      </c>
      <c r="FZ56" s="18">
        <f t="shared" si="251"/>
        <v>12</v>
      </c>
      <c r="GA56" s="18">
        <f t="shared" ca="1" si="252"/>
        <v>6.8460000000000001</v>
      </c>
      <c r="GB56" s="18">
        <f t="shared" si="253"/>
        <v>10.116452765105686</v>
      </c>
      <c r="GC56" s="18" t="e">
        <f t="shared" ca="1" si="254"/>
        <v>#NAME?</v>
      </c>
      <c r="GD56" s="18" t="e">
        <f t="shared" ca="1" si="255"/>
        <v>#NAME?</v>
      </c>
      <c r="GE56" s="18" t="e">
        <f t="shared" ca="1" si="256"/>
        <v>#NAME?</v>
      </c>
      <c r="GF56" s="18" t="e">
        <f t="shared" ca="1" si="257"/>
        <v>#NAME?</v>
      </c>
      <c r="GG56" s="18" t="e">
        <f t="shared" ca="1" si="258"/>
        <v>#NAME?</v>
      </c>
      <c r="GH56" s="18" t="e">
        <f t="shared" ca="1" si="259"/>
        <v>#NAME?</v>
      </c>
      <c r="GI56" s="4"/>
      <c r="GJ56" s="4">
        <f t="shared" si="260"/>
        <v>2066</v>
      </c>
      <c r="GK56" s="4">
        <f t="shared" ca="1" si="261"/>
        <v>381.42049298475058</v>
      </c>
      <c r="GL56" s="4">
        <f t="shared" ca="1" si="262"/>
        <v>0</v>
      </c>
      <c r="GM56" s="4">
        <f t="shared" ca="1" si="263"/>
        <v>564.01585102735498</v>
      </c>
      <c r="GN56" s="4">
        <f t="shared" ca="1" si="264"/>
        <v>119.22066028436797</v>
      </c>
      <c r="GO56" s="4"/>
      <c r="GP56" s="3">
        <f t="shared" ca="1" si="152"/>
        <v>0.35825668872276256</v>
      </c>
      <c r="GQ56" s="3">
        <f t="shared" ca="1" si="265"/>
        <v>0</v>
      </c>
      <c r="GR56" s="3">
        <f t="shared" ca="1" si="266"/>
        <v>0.11198034653719215</v>
      </c>
      <c r="GS56" s="3">
        <f t="shared" ca="1" si="267"/>
        <v>0.52976296474004525</v>
      </c>
      <c r="GT56" s="3">
        <f t="array" aca="1" ref="GT56" ca="1">SUM(GP56:GS56*$GU$6:$GX$6)</f>
        <v>1</v>
      </c>
      <c r="GU56" s="3">
        <f t="shared" ca="1" si="155"/>
        <v>0.35825668872276256</v>
      </c>
      <c r="GV56" s="3">
        <f t="shared" ca="1" si="156"/>
        <v>0</v>
      </c>
      <c r="GW56" s="3">
        <f t="shared" ca="1" si="157"/>
        <v>0.11198034653719215</v>
      </c>
      <c r="GX56" s="3">
        <f t="shared" ca="1" si="158"/>
        <v>0.52976296474004525</v>
      </c>
      <c r="GY56" s="11"/>
      <c r="GZ56" s="27">
        <v>98</v>
      </c>
      <c r="HA56" s="30">
        <v>0.2</v>
      </c>
      <c r="HB56" s="29">
        <f t="shared" ca="1" si="153"/>
        <v>1</v>
      </c>
      <c r="HC56" s="29">
        <v>1</v>
      </c>
      <c r="HD56" s="29">
        <v>0.2</v>
      </c>
      <c r="HE56" s="29">
        <v>1</v>
      </c>
      <c r="HG56" s="27">
        <v>96</v>
      </c>
      <c r="HH56" s="30">
        <v>0.2</v>
      </c>
      <c r="HJ56">
        <f t="shared" si="159"/>
        <v>2059</v>
      </c>
      <c r="HK56" s="28">
        <f t="shared" si="164"/>
        <v>52320</v>
      </c>
      <c r="HL56" s="27">
        <f t="shared" si="162"/>
        <v>13000</v>
      </c>
      <c r="HM56" s="28">
        <f t="shared" si="163"/>
        <v>12887.541454399652</v>
      </c>
      <c r="HO56" t="s">
        <v>221</v>
      </c>
      <c r="HQ56" s="27">
        <v>0.1502</v>
      </c>
      <c r="HR56" s="27">
        <v>5.3999999999999999E-2</v>
      </c>
      <c r="HS56" s="27">
        <v>0.105</v>
      </c>
      <c r="HT56" s="27">
        <v>8.8499999999999995E-2</v>
      </c>
      <c r="HU56" s="27">
        <v>0.12</v>
      </c>
      <c r="HV56" s="27">
        <v>0.11900000000000001</v>
      </c>
      <c r="HW56" s="27">
        <v>0.1</v>
      </c>
      <c r="HX56" s="27">
        <v>0.08</v>
      </c>
      <c r="HY56" s="27">
        <v>0.11</v>
      </c>
      <c r="HZ56" s="27">
        <v>0.1</v>
      </c>
      <c r="IA56" s="27">
        <v>0.1</v>
      </c>
      <c r="IB56" s="27">
        <v>0.15</v>
      </c>
      <c r="IC56" s="27">
        <v>0.115</v>
      </c>
      <c r="ID56" s="27">
        <v>5.5099999999999996E-2</v>
      </c>
      <c r="IE56" s="27">
        <v>0.1</v>
      </c>
      <c r="IF56" s="27">
        <v>0.1</v>
      </c>
      <c r="IG56" s="27">
        <v>0.1</v>
      </c>
    </row>
    <row r="57" spans="1:241" x14ac:dyDescent="0.25">
      <c r="A57" t="s">
        <v>305</v>
      </c>
      <c r="B57" s="62">
        <f>Inputs_Summary!AJ54</f>
        <v>1</v>
      </c>
      <c r="D57">
        <f t="shared" si="107"/>
        <v>2067</v>
      </c>
      <c r="E57">
        <f t="shared" si="108"/>
        <v>72</v>
      </c>
      <c r="F57" s="8"/>
      <c r="G57" s="8"/>
      <c r="H57" s="8"/>
      <c r="I57" s="8"/>
      <c r="J57" s="92"/>
      <c r="K57" s="91"/>
      <c r="L57" s="91"/>
      <c r="N57" s="93">
        <f t="shared" si="109"/>
        <v>0.05</v>
      </c>
      <c r="O57" s="23">
        <f t="shared" si="110"/>
        <v>0.4</v>
      </c>
      <c r="P57" s="23">
        <f t="shared" si="111"/>
        <v>0.1</v>
      </c>
      <c r="Q57" s="4">
        <f t="shared" si="169"/>
        <v>0</v>
      </c>
      <c r="R57" s="4">
        <f t="shared" si="269"/>
        <v>0</v>
      </c>
      <c r="S57" s="4">
        <f t="shared" si="113"/>
        <v>0</v>
      </c>
      <c r="T57" s="4">
        <f t="shared" ca="1" si="114"/>
        <v>0</v>
      </c>
      <c r="V57" s="18" t="e">
        <f t="shared" ca="1" si="170"/>
        <v>#NAME?</v>
      </c>
      <c r="W57" s="18" t="e">
        <f t="shared" ca="1" si="171"/>
        <v>#NAME?</v>
      </c>
      <c r="X57" s="18" t="e">
        <f t="shared" ca="1" si="172"/>
        <v>#NAME?</v>
      </c>
      <c r="Y57" s="18" t="e">
        <f t="shared" ca="1" si="173"/>
        <v>#NAME?</v>
      </c>
      <c r="Z57" s="18" t="e">
        <f t="shared" ca="1" si="174"/>
        <v>#NAME?</v>
      </c>
      <c r="AA57" s="18" t="e">
        <f t="shared" ca="1" si="175"/>
        <v>#NAME?</v>
      </c>
      <c r="AB57" s="18" t="e">
        <f t="shared" ca="1" si="176"/>
        <v>#NAME?</v>
      </c>
      <c r="AC57" s="18" t="e">
        <f t="shared" ca="1" si="177"/>
        <v>#NAME?</v>
      </c>
      <c r="AD57" s="18" t="e">
        <f t="shared" ca="1" si="178"/>
        <v>#NAME?</v>
      </c>
      <c r="AE57" s="18" t="e">
        <f t="shared" ca="1" si="179"/>
        <v>#NAME?</v>
      </c>
      <c r="AF57" s="18" t="e">
        <f t="shared" ca="1" si="180"/>
        <v>#NAME?</v>
      </c>
      <c r="AG57" s="18" t="e">
        <f t="shared" ca="1" si="181"/>
        <v>#NAME?</v>
      </c>
      <c r="AI57">
        <f>Person2!E57</f>
        <v>72</v>
      </c>
      <c r="AJ57">
        <f>Person2!AZ57</f>
        <v>2</v>
      </c>
      <c r="AK57">
        <f>IF($AZ57&lt;&gt;3,Person2!FM57,0)</f>
        <v>0</v>
      </c>
      <c r="AL57" s="4">
        <f>IF($AZ57&lt;&gt;3,Person2!FN57+Person2!FT57,0)</f>
        <v>0</v>
      </c>
      <c r="AM57">
        <f>IF($AZ57&lt;&gt;3,Person2!FO57,0)</f>
        <v>0</v>
      </c>
      <c r="AN57">
        <f>IF($AZ57&lt;&gt;3,Person2!FP57,0)</f>
        <v>0</v>
      </c>
      <c r="AO57">
        <f>IF($AZ57&lt;&gt;3,Person2!FQ57,0)</f>
        <v>0</v>
      </c>
      <c r="AP57">
        <f>IF($AZ57&lt;&gt;3,Person2!FR57,0)</f>
        <v>0</v>
      </c>
      <c r="AQ57">
        <v>0</v>
      </c>
      <c r="AR57" s="4">
        <f>Person2!FS57</f>
        <v>0</v>
      </c>
      <c r="AS57" s="4">
        <v>0</v>
      </c>
      <c r="AT57" s="4">
        <v>0</v>
      </c>
      <c r="AV57">
        <f t="shared" si="270"/>
        <v>2067</v>
      </c>
      <c r="AW57">
        <f t="shared" si="271"/>
        <v>72</v>
      </c>
      <c r="AX57">
        <f t="shared" si="272"/>
        <v>2.6915880290736074</v>
      </c>
      <c r="AY57">
        <f t="shared" si="118"/>
        <v>0.37152788212696158</v>
      </c>
      <c r="AZ57">
        <f t="shared" si="119"/>
        <v>2</v>
      </c>
      <c r="BB57" s="4">
        <f t="shared" si="182"/>
        <v>0</v>
      </c>
      <c r="BC57">
        <f t="shared" si="183"/>
        <v>0</v>
      </c>
      <c r="BD57" s="4">
        <f t="shared" si="184"/>
        <v>32299.056348883289</v>
      </c>
      <c r="BE57" s="4" t="e">
        <f t="shared" ca="1" si="120"/>
        <v>#NAME?</v>
      </c>
      <c r="BF57" s="4">
        <f t="shared" si="121"/>
        <v>26472.652344233677</v>
      </c>
      <c r="BG57" s="4">
        <f t="shared" si="122"/>
        <v>0</v>
      </c>
      <c r="BH57" s="4">
        <f t="shared" si="185"/>
        <v>0</v>
      </c>
      <c r="BI57" s="4" t="e">
        <f t="shared" ca="1" si="123"/>
        <v>#NAME?</v>
      </c>
      <c r="BJ57" s="4"/>
      <c r="BK57" s="4">
        <f t="shared" si="186"/>
        <v>134579.40145368036</v>
      </c>
      <c r="BL57" s="4">
        <f t="shared" si="124"/>
        <v>0</v>
      </c>
      <c r="BM57" s="4">
        <f t="shared" si="125"/>
        <v>134579.40145368036</v>
      </c>
      <c r="BN57" s="4">
        <v>27732.574849691227</v>
      </c>
      <c r="BO57" s="4">
        <f t="shared" si="126"/>
        <v>162311.9763033716</v>
      </c>
      <c r="BP57" s="4" t="e">
        <f t="shared" ca="1" si="127"/>
        <v>#NAME?</v>
      </c>
      <c r="BQ57" s="4"/>
      <c r="BR57" s="4">
        <v>0</v>
      </c>
      <c r="BS57" s="4" t="e">
        <f t="shared" ca="1" si="187"/>
        <v>#NAME?</v>
      </c>
      <c r="BT57" s="4" t="e">
        <f t="shared" ca="1" si="188"/>
        <v>#NAME?</v>
      </c>
      <c r="BU57" s="4" t="e">
        <f t="shared" ca="1" si="189"/>
        <v>#NAME?</v>
      </c>
      <c r="BV57" s="4">
        <f t="shared" si="190"/>
        <v>1</v>
      </c>
      <c r="BW57" s="4" t="e">
        <f t="shared" ca="1" si="191"/>
        <v>#NAME?</v>
      </c>
      <c r="BX57" s="4" t="e">
        <f t="shared" ca="1" si="192"/>
        <v>#NAME?</v>
      </c>
      <c r="BY57" s="4" t="e">
        <f t="shared" ca="1" si="193"/>
        <v>#NAME?</v>
      </c>
      <c r="BZ57" s="4" t="e">
        <f t="shared" ca="1" si="194"/>
        <v>#NAME?</v>
      </c>
      <c r="CA57" s="4" t="e">
        <f t="shared" ca="1" si="26"/>
        <v>#NAME?</v>
      </c>
      <c r="CB57" s="4" t="e">
        <f t="shared" ca="1" si="160"/>
        <v>#NAME?</v>
      </c>
      <c r="CC57" s="4"/>
      <c r="CD57" s="4" t="e">
        <f t="shared" ca="1" si="195"/>
        <v>#NAME?</v>
      </c>
      <c r="CE57" s="4" t="e">
        <f t="shared" ca="1" si="128"/>
        <v>#NAME?</v>
      </c>
      <c r="CF57" s="16" t="e">
        <f t="shared" ca="1" si="196"/>
        <v>#NAME?</v>
      </c>
      <c r="CG57" s="4">
        <f t="shared" si="129"/>
        <v>0</v>
      </c>
      <c r="CH57" s="4" t="e">
        <f t="shared" ca="1" si="197"/>
        <v>#NAME?</v>
      </c>
      <c r="CI57" s="4" t="e">
        <f t="shared" ca="1" si="198"/>
        <v>#NAME?</v>
      </c>
      <c r="CJ57" s="4" t="e">
        <f t="shared" ca="1" si="130"/>
        <v>#NAME?</v>
      </c>
      <c r="CK57" s="4" t="e">
        <f t="shared" ca="1" si="31"/>
        <v>#NAME?</v>
      </c>
      <c r="CL57" s="4" t="e">
        <f t="shared" ca="1" si="199"/>
        <v>#NAME?</v>
      </c>
      <c r="CM57" s="16"/>
      <c r="CN57" s="4" t="e">
        <f t="shared" ca="1" si="200"/>
        <v>#NAME?</v>
      </c>
      <c r="CO57" s="4" t="e">
        <f t="shared" ca="1" si="201"/>
        <v>#NAME?</v>
      </c>
      <c r="CP57" s="4" t="e">
        <f t="shared" ca="1" si="279"/>
        <v>#NAME?</v>
      </c>
      <c r="CQ57" s="4"/>
      <c r="CR57" s="4" t="e">
        <f t="shared" ca="1" si="202"/>
        <v>#NAME?</v>
      </c>
      <c r="CS57" s="4">
        <f t="shared" ca="1" si="203"/>
        <v>61300</v>
      </c>
      <c r="CT57" s="4">
        <f t="shared" ca="1" si="204"/>
        <v>0</v>
      </c>
      <c r="CU57" s="4"/>
      <c r="CV57" s="4" t="e">
        <f t="shared" ca="1" si="132"/>
        <v>#NAME?</v>
      </c>
      <c r="CW57" s="4">
        <f t="shared" ca="1" si="205"/>
        <v>0</v>
      </c>
      <c r="CX57" s="4">
        <f t="shared" si="206"/>
        <v>0</v>
      </c>
      <c r="CY57" s="4" t="e">
        <f t="shared" ca="1" si="133"/>
        <v>#NAME?</v>
      </c>
      <c r="CZ57" s="4"/>
      <c r="DA57" s="4" t="e">
        <f t="shared" ca="1" si="207"/>
        <v>#NAME?</v>
      </c>
      <c r="DB57" s="4">
        <f t="shared" si="208"/>
        <v>0</v>
      </c>
      <c r="DC57" s="4">
        <f t="shared" si="134"/>
        <v>0</v>
      </c>
      <c r="DD57" s="4">
        <f t="shared" si="209"/>
        <v>0</v>
      </c>
      <c r="DE57" s="4" t="e">
        <f t="shared" ca="1" si="210"/>
        <v>#NAME?</v>
      </c>
      <c r="DF57" s="4" t="e">
        <f t="shared" ca="1" si="135"/>
        <v>#NAME?</v>
      </c>
      <c r="DG57" s="4" t="e">
        <f t="shared" ca="1" si="136"/>
        <v>#NAME?</v>
      </c>
      <c r="DH57" s="4">
        <f t="shared" si="211"/>
        <v>0</v>
      </c>
      <c r="DI57" s="4"/>
      <c r="DJ57" s="4" t="e">
        <f t="shared" ca="1" si="212"/>
        <v>#NAME?</v>
      </c>
      <c r="DK57" s="4">
        <f t="shared" ca="1" si="213"/>
        <v>15000</v>
      </c>
      <c r="DL57" s="4">
        <f t="shared" ca="1" si="214"/>
        <v>15000</v>
      </c>
      <c r="DM57" s="4" t="e">
        <f t="shared" ca="1" si="215"/>
        <v>#NAME?</v>
      </c>
      <c r="DN57" s="4" t="e">
        <f t="shared" ca="1" si="216"/>
        <v>#NAME?</v>
      </c>
      <c r="DO57" s="4" t="e">
        <f t="shared" ca="1" si="50"/>
        <v>#NAME?</v>
      </c>
      <c r="DP57" s="4"/>
      <c r="DQ57" s="4" t="e">
        <f t="shared" ca="1" si="217"/>
        <v>#NAME?</v>
      </c>
      <c r="DR57" s="4"/>
      <c r="DS57" s="4">
        <f t="shared" si="137"/>
        <v>0</v>
      </c>
      <c r="DT57" s="4" t="e">
        <f t="shared" ca="1" si="282"/>
        <v>#NAME?</v>
      </c>
      <c r="DU57" s="4">
        <f t="shared" si="218"/>
        <v>0</v>
      </c>
      <c r="DV57" s="4"/>
      <c r="DW57" s="4" t="e">
        <f t="shared" ca="1" si="273"/>
        <v>#NAME?</v>
      </c>
      <c r="DX57" s="4" t="e">
        <f t="shared" ca="1" si="219"/>
        <v>#NAME?</v>
      </c>
      <c r="DY57" s="4" t="e">
        <f t="shared" ca="1" si="139"/>
        <v>#NAME?</v>
      </c>
      <c r="DZ57" s="4" t="e">
        <f t="shared" ca="1" si="220"/>
        <v>#NAME?</v>
      </c>
      <c r="EA57" s="4" t="e">
        <f t="shared" ca="1" si="221"/>
        <v>#NAME?</v>
      </c>
      <c r="EB57" s="4" t="e">
        <f t="shared" ca="1" si="222"/>
        <v>#NAME?</v>
      </c>
      <c r="EC57" s="4">
        <f t="shared" si="223"/>
        <v>2</v>
      </c>
      <c r="ED57" s="4"/>
      <c r="EE57" s="4" t="e">
        <f t="shared" ca="1" si="274"/>
        <v>#NAME?</v>
      </c>
      <c r="EF57" s="4">
        <f t="shared" si="224"/>
        <v>0</v>
      </c>
      <c r="EG57" s="4" t="e">
        <f t="shared" ca="1" si="141"/>
        <v>#NAME?</v>
      </c>
      <c r="EH57" s="4" t="e">
        <f t="shared" ca="1" si="225"/>
        <v>#NAME?</v>
      </c>
      <c r="EI57" s="4" t="e">
        <f t="shared" ca="1" si="226"/>
        <v>#NAME?</v>
      </c>
      <c r="EJ57" s="4" t="e">
        <f t="shared" ca="1" si="227"/>
        <v>#NAME?</v>
      </c>
      <c r="EK57" s="4">
        <f t="shared" si="228"/>
        <v>2</v>
      </c>
      <c r="EL57" s="4">
        <f t="shared" si="229"/>
        <v>0</v>
      </c>
      <c r="EM57" s="4"/>
      <c r="EN57" s="4" t="e">
        <f t="shared" ca="1" si="275"/>
        <v>#NAME?</v>
      </c>
      <c r="EO57" s="4" t="e">
        <f t="shared" ca="1" si="230"/>
        <v>#NAME?</v>
      </c>
      <c r="EP57" s="4" t="e">
        <f t="shared" ca="1" si="143"/>
        <v>#NAME?</v>
      </c>
      <c r="EQ57" s="4" t="e">
        <f t="shared" ca="1" si="231"/>
        <v>#NAME?</v>
      </c>
      <c r="ER57" s="4">
        <v>0</v>
      </c>
      <c r="ES57" s="4" t="e">
        <f t="shared" ca="1" si="144"/>
        <v>#NAME?</v>
      </c>
      <c r="ET57" s="4"/>
      <c r="EU57" s="4" t="e">
        <f t="shared" ca="1" si="276"/>
        <v>#NAME?</v>
      </c>
      <c r="EV57" s="4" t="e">
        <f t="shared" ca="1" si="232"/>
        <v>#NAME?</v>
      </c>
      <c r="EW57" s="4" t="e">
        <f t="shared" ca="1" si="146"/>
        <v>#NAME?</v>
      </c>
      <c r="EX57" s="4" t="e">
        <f t="shared" ca="1" si="233"/>
        <v>#NAME?</v>
      </c>
      <c r="EY57" s="4">
        <v>0</v>
      </c>
      <c r="EZ57" s="4" t="e">
        <f t="shared" ca="1" si="147"/>
        <v>#NAME?</v>
      </c>
      <c r="FA57" s="4" t="e">
        <f t="shared" ca="1" si="277"/>
        <v>#NAME?</v>
      </c>
      <c r="FB57" s="1" t="e">
        <f t="shared" ca="1" si="234"/>
        <v>#NAME?</v>
      </c>
      <c r="FC57" s="4" t="e">
        <f t="shared" ca="1" si="149"/>
        <v>#NAME?</v>
      </c>
      <c r="FD57" s="4" t="e">
        <f t="shared" ca="1" si="150"/>
        <v>#NAME?</v>
      </c>
      <c r="FE57" s="4" t="e">
        <f t="shared" ca="1" si="235"/>
        <v>#NAME?</v>
      </c>
      <c r="FF57" s="4" t="e">
        <f t="shared" ca="1" si="236"/>
        <v>#NAME?</v>
      </c>
      <c r="FG57" s="4" t="e">
        <f t="shared" ca="1" si="237"/>
        <v>#NAME?</v>
      </c>
      <c r="FH57" s="17" t="e">
        <f t="shared" ca="1" si="238"/>
        <v>#NAME?</v>
      </c>
      <c r="FI57" s="4" t="e">
        <f t="shared" ca="1" si="239"/>
        <v>#NAME?</v>
      </c>
      <c r="FJ57" s="4"/>
      <c r="FK57" s="4" t="e">
        <f t="shared" ca="1" si="240"/>
        <v>#NAME?</v>
      </c>
      <c r="FL57" s="4"/>
      <c r="FM57" s="4">
        <v>0</v>
      </c>
      <c r="FN57" s="4">
        <f t="shared" si="241"/>
        <v>0</v>
      </c>
      <c r="FO57" s="4">
        <f t="shared" si="242"/>
        <v>0</v>
      </c>
      <c r="FP57" s="4">
        <f t="shared" si="243"/>
        <v>0</v>
      </c>
      <c r="FQ57" s="4">
        <f t="shared" si="244"/>
        <v>0</v>
      </c>
      <c r="FR57" s="4">
        <f t="shared" si="245"/>
        <v>0</v>
      </c>
      <c r="FS57" s="4">
        <f t="shared" si="246"/>
        <v>8824.2174480778922</v>
      </c>
      <c r="FT57" s="4">
        <f t="shared" si="247"/>
        <v>0</v>
      </c>
      <c r="FU57" s="4"/>
      <c r="FV57" s="3">
        <f t="shared" si="248"/>
        <v>0.37152788212696158</v>
      </c>
      <c r="FW57" s="3">
        <f t="shared" si="249"/>
        <v>0.37152788212696158</v>
      </c>
      <c r="FX57" s="4">
        <f t="shared" si="151"/>
        <v>2067</v>
      </c>
      <c r="FY57" s="18">
        <f t="shared" si="250"/>
        <v>0</v>
      </c>
      <c r="FZ57" s="18">
        <f t="shared" si="251"/>
        <v>12</v>
      </c>
      <c r="GA57" s="18" t="e">
        <f t="shared" ca="1" si="252"/>
        <v>#NAME?</v>
      </c>
      <c r="GB57" s="18">
        <f t="shared" si="253"/>
        <v>9.8353284597364823</v>
      </c>
      <c r="GC57" s="18" t="e">
        <f t="shared" ca="1" si="254"/>
        <v>#NAME?</v>
      </c>
      <c r="GD57" s="18" t="e">
        <f t="shared" ca="1" si="255"/>
        <v>#NAME?</v>
      </c>
      <c r="GE57" s="18" t="e">
        <f t="shared" ca="1" si="256"/>
        <v>#NAME?</v>
      </c>
      <c r="GF57" s="18" t="e">
        <f t="shared" ca="1" si="257"/>
        <v>#NAME?</v>
      </c>
      <c r="GG57" s="18" t="e">
        <f t="shared" ca="1" si="258"/>
        <v>#NAME?</v>
      </c>
      <c r="GH57" s="18" t="e">
        <f t="shared" ca="1" si="259"/>
        <v>#NAME?</v>
      </c>
      <c r="GI57" s="4"/>
      <c r="GJ57" s="4">
        <f t="shared" si="260"/>
        <v>2067</v>
      </c>
      <c r="GK57" s="4" t="e">
        <f t="shared" ca="1" si="261"/>
        <v>#NAME?</v>
      </c>
      <c r="GL57" s="4" t="e">
        <f t="shared" ca="1" si="262"/>
        <v>#NAME?</v>
      </c>
      <c r="GM57" s="4" t="e">
        <f t="shared" ca="1" si="263"/>
        <v>#NAME?</v>
      </c>
      <c r="GN57" s="4" t="e">
        <f t="shared" ca="1" si="264"/>
        <v>#NAME?</v>
      </c>
      <c r="GO57" s="4"/>
      <c r="GP57" s="3" t="e">
        <f t="shared" ca="1" si="152"/>
        <v>#NAME?</v>
      </c>
      <c r="GQ57" s="3" t="e">
        <f t="shared" ca="1" si="265"/>
        <v>#NAME?</v>
      </c>
      <c r="GR57" s="3" t="e">
        <f t="shared" ca="1" si="266"/>
        <v>#NAME?</v>
      </c>
      <c r="GS57" s="3" t="e">
        <f t="shared" ca="1" si="267"/>
        <v>#NAME?</v>
      </c>
      <c r="GT57" s="3" t="e">
        <f t="array" aca="1" ref="GT57" ca="1">SUM(GP57:GS57*$GU$6:$GX$6)</f>
        <v>#NAME?</v>
      </c>
      <c r="GU57" s="3" t="e">
        <f t="shared" ca="1" si="155"/>
        <v>#NAME?</v>
      </c>
      <c r="GV57" s="3" t="e">
        <f t="shared" ca="1" si="156"/>
        <v>#NAME?</v>
      </c>
      <c r="GW57" s="3" t="e">
        <f t="shared" ca="1" si="157"/>
        <v>#NAME?</v>
      </c>
      <c r="GX57" s="3" t="e">
        <f t="shared" ca="1" si="158"/>
        <v>#NAME?</v>
      </c>
      <c r="GY57" s="11"/>
      <c r="GZ57" s="27">
        <v>99</v>
      </c>
      <c r="HA57" s="30">
        <v>0.2</v>
      </c>
      <c r="HB57" s="29">
        <f t="shared" ca="1" si="153"/>
        <v>1</v>
      </c>
      <c r="HC57" s="29">
        <v>1</v>
      </c>
      <c r="HD57" s="29">
        <v>0.2</v>
      </c>
      <c r="HE57" s="29">
        <v>1</v>
      </c>
      <c r="HG57" s="27">
        <v>97</v>
      </c>
      <c r="HH57" s="30">
        <v>0.2</v>
      </c>
      <c r="HJ57">
        <f t="shared" si="159"/>
        <v>2060</v>
      </c>
      <c r="HK57" s="28">
        <f t="shared" si="164"/>
        <v>53360</v>
      </c>
      <c r="HL57" s="27">
        <f t="shared" si="162"/>
        <v>13000</v>
      </c>
      <c r="HM57" s="28">
        <f t="shared" si="163"/>
        <v>13145.292283487646</v>
      </c>
      <c r="HO57" t="s">
        <v>222</v>
      </c>
      <c r="HQ57" s="27">
        <v>0.105217</v>
      </c>
      <c r="HR57" s="27">
        <v>4.1000000000000002E-2</v>
      </c>
      <c r="HS57" s="27">
        <v>3.0499999999999999E-2</v>
      </c>
      <c r="HT57" s="27">
        <v>3.5000000000000003E-2</v>
      </c>
      <c r="HU57" s="27">
        <v>0.04</v>
      </c>
      <c r="HV57" s="27">
        <v>7.0499999999999993E-2</v>
      </c>
      <c r="HW57" s="27">
        <v>4.4999999999999998E-2</v>
      </c>
      <c r="HX57" s="27">
        <v>8.3000000000000001E-3</v>
      </c>
      <c r="HY57" s="27">
        <v>3.2399999999999998E-2</v>
      </c>
      <c r="HZ57" s="27">
        <v>3.1E-2</v>
      </c>
      <c r="IA57" s="27">
        <v>2.47E-2</v>
      </c>
      <c r="IB57" s="27">
        <v>3.2099999999999997E-2</v>
      </c>
      <c r="IC57" s="27">
        <v>0.06</v>
      </c>
      <c r="ID57" s="27">
        <v>2.9100000000000001E-2</v>
      </c>
      <c r="IE57" s="27">
        <v>2.6689999999999998E-2</v>
      </c>
      <c r="IF57" s="27">
        <v>2.6689999999999998E-2</v>
      </c>
      <c r="IG57" s="27">
        <v>2.6689999999999998E-2</v>
      </c>
    </row>
    <row r="58" spans="1:241" x14ac:dyDescent="0.25">
      <c r="A58" t="s">
        <v>367</v>
      </c>
      <c r="B58" s="62">
        <f>Inputs_Summary!AJ55</f>
        <v>1</v>
      </c>
      <c r="D58">
        <f t="shared" si="107"/>
        <v>2068</v>
      </c>
      <c r="E58">
        <f t="shared" si="108"/>
        <v>73</v>
      </c>
      <c r="F58" s="8"/>
      <c r="G58" s="8"/>
      <c r="H58" s="8"/>
      <c r="I58" s="8"/>
      <c r="J58" s="92"/>
      <c r="K58" s="91"/>
      <c r="L58" s="91"/>
      <c r="N58" s="93">
        <f t="shared" si="109"/>
        <v>0.05</v>
      </c>
      <c r="O58" s="23">
        <f t="shared" si="110"/>
        <v>0.4</v>
      </c>
      <c r="P58" s="23">
        <f t="shared" si="111"/>
        <v>0.1</v>
      </c>
      <c r="Q58" s="4">
        <f t="shared" si="169"/>
        <v>0</v>
      </c>
      <c r="R58" s="4">
        <f t="shared" si="269"/>
        <v>0</v>
      </c>
      <c r="S58" s="4">
        <f t="shared" si="113"/>
        <v>0</v>
      </c>
      <c r="T58" s="4">
        <f t="shared" ca="1" si="114"/>
        <v>0</v>
      </c>
      <c r="V58" s="18" t="e">
        <f t="shared" ca="1" si="170"/>
        <v>#NAME?</v>
      </c>
      <c r="W58" s="18" t="e">
        <f t="shared" ca="1" si="171"/>
        <v>#NAME?</v>
      </c>
      <c r="X58" s="18" t="e">
        <f t="shared" ca="1" si="172"/>
        <v>#NAME?</v>
      </c>
      <c r="Y58" s="18" t="e">
        <f t="shared" ca="1" si="173"/>
        <v>#NAME?</v>
      </c>
      <c r="Z58" s="18" t="e">
        <f t="shared" ca="1" si="174"/>
        <v>#NAME?</v>
      </c>
      <c r="AA58" s="18" t="e">
        <f t="shared" ca="1" si="175"/>
        <v>#NAME?</v>
      </c>
      <c r="AB58" s="18" t="e">
        <f t="shared" ca="1" si="176"/>
        <v>#NAME?</v>
      </c>
      <c r="AC58" s="18" t="e">
        <f t="shared" ca="1" si="177"/>
        <v>#NAME?</v>
      </c>
      <c r="AD58" s="18" t="e">
        <f t="shared" ca="1" si="178"/>
        <v>#NAME?</v>
      </c>
      <c r="AE58" s="18" t="e">
        <f t="shared" ca="1" si="179"/>
        <v>#NAME?</v>
      </c>
      <c r="AF58" s="18" t="e">
        <f t="shared" ca="1" si="180"/>
        <v>#NAME?</v>
      </c>
      <c r="AG58" s="18" t="e">
        <f t="shared" ca="1" si="181"/>
        <v>#NAME?</v>
      </c>
      <c r="AI58">
        <f>Person2!E58</f>
        <v>73</v>
      </c>
      <c r="AJ58">
        <f>Person2!AZ58</f>
        <v>2</v>
      </c>
      <c r="AK58">
        <f>IF($AZ58&lt;&gt;3,Person2!FM58,0)</f>
        <v>0</v>
      </c>
      <c r="AL58" s="4">
        <f>IF($AZ58&lt;&gt;3,Person2!FN58+Person2!FT58,0)</f>
        <v>0</v>
      </c>
      <c r="AM58">
        <f>IF($AZ58&lt;&gt;3,Person2!FO58,0)</f>
        <v>0</v>
      </c>
      <c r="AN58">
        <f>IF($AZ58&lt;&gt;3,Person2!FP58,0)</f>
        <v>0</v>
      </c>
      <c r="AO58">
        <f>IF($AZ58&lt;&gt;3,Person2!FQ58,0)</f>
        <v>0</v>
      </c>
      <c r="AP58">
        <f>IF($AZ58&lt;&gt;3,Person2!FR58,0)</f>
        <v>0</v>
      </c>
      <c r="AQ58">
        <v>0</v>
      </c>
      <c r="AR58" s="4">
        <f>Person2!FS58</f>
        <v>0</v>
      </c>
      <c r="AS58" s="4">
        <v>0</v>
      </c>
      <c r="AT58" s="4">
        <v>0</v>
      </c>
      <c r="AV58">
        <f t="shared" si="270"/>
        <v>2068</v>
      </c>
      <c r="AW58">
        <f t="shared" si="271"/>
        <v>73</v>
      </c>
      <c r="AX58">
        <f t="shared" si="272"/>
        <v>2.7454197896550796</v>
      </c>
      <c r="AY58">
        <f t="shared" si="118"/>
        <v>0.36424302169309958</v>
      </c>
      <c r="AZ58">
        <f t="shared" si="119"/>
        <v>2</v>
      </c>
      <c r="BB58" s="4">
        <f t="shared" si="182"/>
        <v>0</v>
      </c>
      <c r="BC58">
        <f t="shared" si="183"/>
        <v>0</v>
      </c>
      <c r="BD58" s="4">
        <f t="shared" si="184"/>
        <v>32945.037475860954</v>
      </c>
      <c r="BE58" s="4" t="e">
        <f t="shared" ca="1" si="120"/>
        <v>#NAME?</v>
      </c>
      <c r="BF58" s="4">
        <f t="shared" si="121"/>
        <v>26241.651222029905</v>
      </c>
      <c r="BG58" s="4">
        <f t="shared" si="122"/>
        <v>0</v>
      </c>
      <c r="BH58" s="4">
        <f t="shared" si="185"/>
        <v>0</v>
      </c>
      <c r="BI58" s="4" t="e">
        <f t="shared" ca="1" si="123"/>
        <v>#NAME?</v>
      </c>
      <c r="BJ58" s="4"/>
      <c r="BK58" s="4">
        <f t="shared" si="186"/>
        <v>137270.98948275397</v>
      </c>
      <c r="BL58" s="4">
        <f t="shared" si="124"/>
        <v>0</v>
      </c>
      <c r="BM58" s="4">
        <f t="shared" si="125"/>
        <v>137270.98948275397</v>
      </c>
      <c r="BN58" s="4">
        <v>27829.098362335069</v>
      </c>
      <c r="BO58" s="4">
        <f t="shared" si="126"/>
        <v>165100.08784508903</v>
      </c>
      <c r="BP58" s="4" t="e">
        <f t="shared" ca="1" si="127"/>
        <v>#NAME?</v>
      </c>
      <c r="BQ58" s="4"/>
      <c r="BR58" s="4">
        <v>0</v>
      </c>
      <c r="BS58" s="4" t="e">
        <f t="shared" ca="1" si="187"/>
        <v>#NAME?</v>
      </c>
      <c r="BT58" s="4" t="e">
        <f t="shared" ca="1" si="188"/>
        <v>#NAME?</v>
      </c>
      <c r="BU58" s="4" t="e">
        <f t="shared" ca="1" si="189"/>
        <v>#NAME?</v>
      </c>
      <c r="BV58" s="4">
        <f t="shared" si="190"/>
        <v>1</v>
      </c>
      <c r="BW58" s="4" t="e">
        <f t="shared" ca="1" si="191"/>
        <v>#NAME?</v>
      </c>
      <c r="BX58" s="4" t="e">
        <f t="shared" ca="1" si="192"/>
        <v>#NAME?</v>
      </c>
      <c r="BY58" s="4" t="e">
        <f t="shared" ca="1" si="193"/>
        <v>#NAME?</v>
      </c>
      <c r="BZ58" s="4" t="e">
        <f t="shared" ca="1" si="194"/>
        <v>#NAME?</v>
      </c>
      <c r="CA58" s="4" t="e">
        <f t="shared" ca="1" si="26"/>
        <v>#NAME?</v>
      </c>
      <c r="CB58" s="4" t="e">
        <f t="shared" ca="1" si="160"/>
        <v>#NAME?</v>
      </c>
      <c r="CC58" s="4"/>
      <c r="CD58" s="4" t="e">
        <f t="shared" ca="1" si="195"/>
        <v>#NAME?</v>
      </c>
      <c r="CE58" s="4" t="e">
        <f t="shared" ca="1" si="128"/>
        <v>#NAME?</v>
      </c>
      <c r="CF58" s="16" t="e">
        <f t="shared" ca="1" si="196"/>
        <v>#NAME?</v>
      </c>
      <c r="CG58" s="4">
        <f t="shared" si="129"/>
        <v>0</v>
      </c>
      <c r="CH58" s="4" t="e">
        <f t="shared" ca="1" si="197"/>
        <v>#NAME?</v>
      </c>
      <c r="CI58" s="4" t="e">
        <f t="shared" ca="1" si="198"/>
        <v>#NAME?</v>
      </c>
      <c r="CJ58" s="4" t="e">
        <f t="shared" ca="1" si="130"/>
        <v>#NAME?</v>
      </c>
      <c r="CK58" s="4" t="e">
        <f t="shared" ca="1" si="31"/>
        <v>#NAME?</v>
      </c>
      <c r="CL58" s="4" t="e">
        <f t="shared" ca="1" si="199"/>
        <v>#NAME?</v>
      </c>
      <c r="CM58" s="16"/>
      <c r="CN58" s="4" t="e">
        <f t="shared" ca="1" si="200"/>
        <v>#NAME?</v>
      </c>
      <c r="CO58" s="4" t="e">
        <f t="shared" ca="1" si="201"/>
        <v>#NAME?</v>
      </c>
      <c r="CP58" s="4" t="e">
        <f t="shared" ca="1" si="279"/>
        <v>#NAME?</v>
      </c>
      <c r="CQ58" s="4"/>
      <c r="CR58" s="4" t="e">
        <f t="shared" ca="1" si="202"/>
        <v>#NAME?</v>
      </c>
      <c r="CS58" s="4">
        <f t="shared" ca="1" si="203"/>
        <v>62530</v>
      </c>
      <c r="CT58" s="4">
        <f t="shared" ca="1" si="204"/>
        <v>0</v>
      </c>
      <c r="CU58" s="4"/>
      <c r="CV58" s="4" t="e">
        <f t="shared" ca="1" si="132"/>
        <v>#NAME?</v>
      </c>
      <c r="CW58" s="4">
        <f t="shared" ca="1" si="205"/>
        <v>0</v>
      </c>
      <c r="CX58" s="4">
        <f t="shared" si="206"/>
        <v>0</v>
      </c>
      <c r="CY58" s="4" t="e">
        <f t="shared" ca="1" si="133"/>
        <v>#NAME?</v>
      </c>
      <c r="CZ58" s="4"/>
      <c r="DA58" s="4" t="e">
        <f t="shared" ca="1" si="207"/>
        <v>#NAME?</v>
      </c>
      <c r="DB58" s="4">
        <f t="shared" si="208"/>
        <v>0</v>
      </c>
      <c r="DC58" s="4">
        <f t="shared" si="134"/>
        <v>0</v>
      </c>
      <c r="DD58" s="4">
        <f t="shared" si="209"/>
        <v>0</v>
      </c>
      <c r="DE58" s="4" t="e">
        <f t="shared" ca="1" si="210"/>
        <v>#NAME?</v>
      </c>
      <c r="DF58" s="4" t="e">
        <f t="shared" ca="1" si="135"/>
        <v>#NAME?</v>
      </c>
      <c r="DG58" s="4" t="e">
        <f t="shared" ca="1" si="136"/>
        <v>#NAME?</v>
      </c>
      <c r="DH58" s="4">
        <f t="shared" si="211"/>
        <v>0</v>
      </c>
      <c r="DI58" s="4"/>
      <c r="DJ58" s="4" t="e">
        <f t="shared" ca="1" si="212"/>
        <v>#NAME?</v>
      </c>
      <c r="DK58" s="4">
        <f t="shared" ca="1" si="213"/>
        <v>15500</v>
      </c>
      <c r="DL58" s="4">
        <f t="shared" ca="1" si="214"/>
        <v>15500</v>
      </c>
      <c r="DM58" s="4" t="e">
        <f t="shared" ca="1" si="215"/>
        <v>#NAME?</v>
      </c>
      <c r="DN58" s="4" t="e">
        <f t="shared" ca="1" si="216"/>
        <v>#NAME?</v>
      </c>
      <c r="DO58" s="4" t="e">
        <f t="shared" ca="1" si="50"/>
        <v>#NAME?</v>
      </c>
      <c r="DP58" s="4"/>
      <c r="DQ58" s="4" t="e">
        <f t="shared" ca="1" si="217"/>
        <v>#NAME?</v>
      </c>
      <c r="DR58" s="4"/>
      <c r="DS58" s="4">
        <f t="shared" si="137"/>
        <v>0</v>
      </c>
      <c r="DT58" s="4" t="e">
        <f t="shared" ca="1" si="282"/>
        <v>#NAME?</v>
      </c>
      <c r="DU58" s="4">
        <f t="shared" si="218"/>
        <v>0</v>
      </c>
      <c r="DV58" s="4"/>
      <c r="DW58" s="4" t="e">
        <f t="shared" ca="1" si="273"/>
        <v>#NAME?</v>
      </c>
      <c r="DX58" s="4" t="e">
        <f t="shared" ca="1" si="219"/>
        <v>#NAME?</v>
      </c>
      <c r="DY58" s="4" t="e">
        <f t="shared" ca="1" si="139"/>
        <v>#NAME?</v>
      </c>
      <c r="DZ58" s="4" t="e">
        <f t="shared" ca="1" si="220"/>
        <v>#NAME?</v>
      </c>
      <c r="EA58" s="4" t="e">
        <f t="shared" ca="1" si="221"/>
        <v>#NAME?</v>
      </c>
      <c r="EB58" s="4" t="e">
        <f t="shared" ca="1" si="222"/>
        <v>#NAME?</v>
      </c>
      <c r="EC58" s="4">
        <f t="shared" si="223"/>
        <v>2</v>
      </c>
      <c r="ED58" s="4"/>
      <c r="EE58" s="4" t="e">
        <f t="shared" ca="1" si="274"/>
        <v>#NAME?</v>
      </c>
      <c r="EF58" s="4">
        <f t="shared" si="224"/>
        <v>0</v>
      </c>
      <c r="EG58" s="4" t="e">
        <f t="shared" ca="1" si="141"/>
        <v>#NAME?</v>
      </c>
      <c r="EH58" s="4" t="e">
        <f t="shared" ca="1" si="225"/>
        <v>#NAME?</v>
      </c>
      <c r="EI58" s="4" t="e">
        <f t="shared" ca="1" si="226"/>
        <v>#NAME?</v>
      </c>
      <c r="EJ58" s="4" t="e">
        <f t="shared" ca="1" si="227"/>
        <v>#NAME?</v>
      </c>
      <c r="EK58" s="4">
        <f t="shared" si="228"/>
        <v>2</v>
      </c>
      <c r="EL58" s="4">
        <f t="shared" si="229"/>
        <v>0</v>
      </c>
      <c r="EM58" s="4"/>
      <c r="EN58" s="4" t="e">
        <f t="shared" ca="1" si="275"/>
        <v>#NAME?</v>
      </c>
      <c r="EO58" s="4" t="e">
        <f t="shared" ca="1" si="230"/>
        <v>#NAME?</v>
      </c>
      <c r="EP58" s="4" t="e">
        <f t="shared" ca="1" si="143"/>
        <v>#NAME?</v>
      </c>
      <c r="EQ58" s="4" t="e">
        <f t="shared" ca="1" si="231"/>
        <v>#NAME?</v>
      </c>
      <c r="ER58" s="4">
        <v>0</v>
      </c>
      <c r="ES58" s="4" t="e">
        <f t="shared" ca="1" si="144"/>
        <v>#NAME?</v>
      </c>
      <c r="ET58" s="4"/>
      <c r="EU58" s="4" t="e">
        <f t="shared" ca="1" si="276"/>
        <v>#NAME?</v>
      </c>
      <c r="EV58" s="4" t="e">
        <f t="shared" ca="1" si="232"/>
        <v>#NAME?</v>
      </c>
      <c r="EW58" s="4" t="e">
        <f t="shared" ca="1" si="146"/>
        <v>#NAME?</v>
      </c>
      <c r="EX58" s="4" t="e">
        <f t="shared" ca="1" si="233"/>
        <v>#NAME?</v>
      </c>
      <c r="EY58" s="4">
        <v>0</v>
      </c>
      <c r="EZ58" s="4" t="e">
        <f t="shared" ca="1" si="147"/>
        <v>#NAME?</v>
      </c>
      <c r="FA58" s="4" t="e">
        <f t="shared" ca="1" si="277"/>
        <v>#NAME?</v>
      </c>
      <c r="FB58" s="1" t="e">
        <f t="shared" ca="1" si="234"/>
        <v>#NAME?</v>
      </c>
      <c r="FC58" s="4" t="e">
        <f t="shared" ca="1" si="149"/>
        <v>#NAME?</v>
      </c>
      <c r="FD58" s="4" t="e">
        <f t="shared" ca="1" si="150"/>
        <v>#NAME?</v>
      </c>
      <c r="FE58" s="4" t="e">
        <f t="shared" ca="1" si="235"/>
        <v>#NAME?</v>
      </c>
      <c r="FF58" s="4" t="e">
        <f t="shared" ca="1" si="236"/>
        <v>#NAME?</v>
      </c>
      <c r="FG58" s="4" t="e">
        <f t="shared" ca="1" si="237"/>
        <v>#NAME?</v>
      </c>
      <c r="FH58" s="17" t="e">
        <f t="shared" ca="1" si="238"/>
        <v>#NAME?</v>
      </c>
      <c r="FI58" s="4" t="e">
        <f t="shared" ca="1" si="239"/>
        <v>#NAME?</v>
      </c>
      <c r="FJ58" s="4"/>
      <c r="FK58" s="4" t="e">
        <f t="shared" ca="1" si="240"/>
        <v>#NAME?</v>
      </c>
      <c r="FL58" s="4"/>
      <c r="FM58" s="4">
        <v>0</v>
      </c>
      <c r="FN58" s="4">
        <f t="shared" si="241"/>
        <v>0</v>
      </c>
      <c r="FO58" s="4">
        <f t="shared" si="242"/>
        <v>0</v>
      </c>
      <c r="FP58" s="4">
        <f t="shared" si="243"/>
        <v>0</v>
      </c>
      <c r="FQ58" s="4">
        <f t="shared" si="244"/>
        <v>0</v>
      </c>
      <c r="FR58" s="4">
        <f t="shared" si="245"/>
        <v>0</v>
      </c>
      <c r="FS58" s="4">
        <f t="shared" si="246"/>
        <v>8747.2170740099682</v>
      </c>
      <c r="FT58" s="4">
        <f t="shared" si="247"/>
        <v>0</v>
      </c>
      <c r="FU58" s="4"/>
      <c r="FV58" s="3">
        <f t="shared" si="248"/>
        <v>0.36424302169309958</v>
      </c>
      <c r="FW58" s="3">
        <f t="shared" si="249"/>
        <v>0.36424302169309958</v>
      </c>
      <c r="FX58" s="4">
        <f t="shared" si="151"/>
        <v>2068</v>
      </c>
      <c r="FY58" s="18">
        <f t="shared" si="250"/>
        <v>0</v>
      </c>
      <c r="FZ58" s="18">
        <f t="shared" si="251"/>
        <v>12</v>
      </c>
      <c r="GA58" s="18" t="e">
        <f t="shared" ca="1" si="252"/>
        <v>#NAME?</v>
      </c>
      <c r="GB58" s="18">
        <f t="shared" si="253"/>
        <v>9.5583383353285924</v>
      </c>
      <c r="GC58" s="18" t="e">
        <f t="shared" ca="1" si="254"/>
        <v>#NAME?</v>
      </c>
      <c r="GD58" s="18" t="e">
        <f t="shared" ca="1" si="255"/>
        <v>#NAME?</v>
      </c>
      <c r="GE58" s="18" t="e">
        <f t="shared" ca="1" si="256"/>
        <v>#NAME?</v>
      </c>
      <c r="GF58" s="18" t="e">
        <f t="shared" ca="1" si="257"/>
        <v>#NAME?</v>
      </c>
      <c r="GG58" s="18" t="e">
        <f t="shared" ca="1" si="258"/>
        <v>#NAME?</v>
      </c>
      <c r="GH58" s="18" t="e">
        <f t="shared" ca="1" si="259"/>
        <v>#NAME?</v>
      </c>
      <c r="GI58" s="4"/>
      <c r="GJ58" s="4">
        <f t="shared" si="260"/>
        <v>2068</v>
      </c>
      <c r="GK58" s="4" t="e">
        <f t="shared" ca="1" si="261"/>
        <v>#NAME?</v>
      </c>
      <c r="GL58" s="4" t="e">
        <f t="shared" ca="1" si="262"/>
        <v>#NAME?</v>
      </c>
      <c r="GM58" s="4" t="e">
        <f t="shared" ca="1" si="263"/>
        <v>#NAME?</v>
      </c>
      <c r="GN58" s="4" t="e">
        <f t="shared" ca="1" si="264"/>
        <v>#NAME?</v>
      </c>
      <c r="GO58" s="4"/>
      <c r="GP58" s="3" t="e">
        <f t="shared" ca="1" si="152"/>
        <v>#NAME?</v>
      </c>
      <c r="GQ58" s="3" t="e">
        <f t="shared" ca="1" si="265"/>
        <v>#NAME?</v>
      </c>
      <c r="GR58" s="3" t="e">
        <f t="shared" ca="1" si="266"/>
        <v>#NAME?</v>
      </c>
      <c r="GS58" s="3" t="e">
        <f t="shared" ca="1" si="267"/>
        <v>#NAME?</v>
      </c>
      <c r="GT58" s="3" t="e">
        <f t="array" aca="1" ref="GT58" ca="1">SUM(GP58:GS58*$GU$6:$GX$6)</f>
        <v>#NAME?</v>
      </c>
      <c r="GU58" s="3" t="e">
        <f t="shared" ca="1" si="155"/>
        <v>#NAME?</v>
      </c>
      <c r="GV58" s="3" t="e">
        <f t="shared" ca="1" si="156"/>
        <v>#NAME?</v>
      </c>
      <c r="GW58" s="3" t="e">
        <f t="shared" ca="1" si="157"/>
        <v>#NAME?</v>
      </c>
      <c r="GX58" s="3" t="e">
        <f t="shared" ca="1" si="158"/>
        <v>#NAME?</v>
      </c>
      <c r="GY58" s="11"/>
      <c r="GZ58" s="27">
        <v>100</v>
      </c>
      <c r="HA58" s="30">
        <v>0.2</v>
      </c>
      <c r="HB58" s="29">
        <f t="shared" ca="1" si="153"/>
        <v>1</v>
      </c>
      <c r="HC58" s="29">
        <v>1</v>
      </c>
      <c r="HD58" s="29">
        <v>0.2</v>
      </c>
      <c r="HE58" s="29">
        <v>1</v>
      </c>
      <c r="HG58" s="27">
        <v>98</v>
      </c>
      <c r="HH58" s="30">
        <v>0.2</v>
      </c>
      <c r="HJ58">
        <f t="shared" si="159"/>
        <v>2061</v>
      </c>
      <c r="HK58" s="28">
        <f t="shared" si="164"/>
        <v>54430</v>
      </c>
      <c r="HL58" s="27">
        <f t="shared" si="162"/>
        <v>13500</v>
      </c>
      <c r="HM58" s="28">
        <f t="shared" si="163"/>
        <v>13408.198129157399</v>
      </c>
      <c r="HO58" t="s">
        <v>223</v>
      </c>
      <c r="HQ58" t="s">
        <v>109</v>
      </c>
      <c r="HR58" t="s">
        <v>109</v>
      </c>
      <c r="HS58" t="s">
        <v>615</v>
      </c>
      <c r="HT58" t="s">
        <v>109</v>
      </c>
      <c r="HU58" t="s">
        <v>109</v>
      </c>
      <c r="HV58" t="s">
        <v>109</v>
      </c>
      <c r="HW58" t="s">
        <v>109</v>
      </c>
      <c r="HX58" t="s">
        <v>109</v>
      </c>
      <c r="HY58" t="s">
        <v>109</v>
      </c>
      <c r="HZ58" t="s">
        <v>109</v>
      </c>
      <c r="IA58" t="s">
        <v>109</v>
      </c>
      <c r="IB58" t="s">
        <v>616</v>
      </c>
      <c r="IC58" t="s">
        <v>617</v>
      </c>
      <c r="ID58" t="s">
        <v>618</v>
      </c>
      <c r="IE58" t="s">
        <v>109</v>
      </c>
      <c r="IF58" t="s">
        <v>109</v>
      </c>
      <c r="IG58" t="s">
        <v>109</v>
      </c>
    </row>
    <row r="59" spans="1:241" x14ac:dyDescent="0.25">
      <c r="A59" t="s">
        <v>328</v>
      </c>
      <c r="B59" s="62">
        <f>Inputs_Summary!AJ56</f>
        <v>1</v>
      </c>
      <c r="D59">
        <f t="shared" si="107"/>
        <v>2069</v>
      </c>
      <c r="E59">
        <f t="shared" si="108"/>
        <v>74</v>
      </c>
      <c r="F59" s="8"/>
      <c r="G59" s="8"/>
      <c r="H59" s="8"/>
      <c r="I59" s="8"/>
      <c r="J59" s="92"/>
      <c r="K59" s="91"/>
      <c r="L59" s="91"/>
      <c r="N59" s="93">
        <f t="shared" si="109"/>
        <v>0.05</v>
      </c>
      <c r="O59" s="23">
        <f t="shared" si="110"/>
        <v>0.4</v>
      </c>
      <c r="P59" s="23">
        <f t="shared" si="111"/>
        <v>0.1</v>
      </c>
      <c r="Q59" s="4">
        <f t="shared" si="169"/>
        <v>0</v>
      </c>
      <c r="R59" s="4">
        <f t="shared" si="269"/>
        <v>0</v>
      </c>
      <c r="S59" s="4">
        <f t="shared" si="113"/>
        <v>0</v>
      </c>
      <c r="T59" s="4">
        <f t="shared" ca="1" si="114"/>
        <v>0</v>
      </c>
      <c r="V59" s="18" t="e">
        <f t="shared" ca="1" si="170"/>
        <v>#NAME?</v>
      </c>
      <c r="W59" s="18" t="e">
        <f t="shared" ca="1" si="171"/>
        <v>#NAME?</v>
      </c>
      <c r="X59" s="18" t="e">
        <f t="shared" ca="1" si="172"/>
        <v>#NAME?</v>
      </c>
      <c r="Y59" s="18" t="e">
        <f t="shared" ca="1" si="173"/>
        <v>#NAME?</v>
      </c>
      <c r="Z59" s="18" t="e">
        <f t="shared" ca="1" si="174"/>
        <v>#NAME?</v>
      </c>
      <c r="AA59" s="18" t="e">
        <f t="shared" ca="1" si="175"/>
        <v>#NAME?</v>
      </c>
      <c r="AB59" s="18" t="e">
        <f t="shared" ca="1" si="176"/>
        <v>#NAME?</v>
      </c>
      <c r="AC59" s="18" t="e">
        <f t="shared" ca="1" si="177"/>
        <v>#NAME?</v>
      </c>
      <c r="AD59" s="18" t="e">
        <f t="shared" ca="1" si="178"/>
        <v>#NAME?</v>
      </c>
      <c r="AE59" s="18" t="e">
        <f t="shared" ca="1" si="179"/>
        <v>#NAME?</v>
      </c>
      <c r="AF59" s="18" t="e">
        <f t="shared" ca="1" si="180"/>
        <v>#NAME?</v>
      </c>
      <c r="AG59" s="18" t="e">
        <f t="shared" ca="1" si="181"/>
        <v>#NAME?</v>
      </c>
      <c r="AI59">
        <f>Person2!E59</f>
        <v>74</v>
      </c>
      <c r="AJ59">
        <f>Person2!AZ59</f>
        <v>2</v>
      </c>
      <c r="AK59">
        <f>IF($AZ59&lt;&gt;3,Person2!FM59,0)</f>
        <v>0</v>
      </c>
      <c r="AL59" s="4">
        <f>IF($AZ59&lt;&gt;3,Person2!FN59+Person2!FT59,0)</f>
        <v>0</v>
      </c>
      <c r="AM59">
        <f>IF($AZ59&lt;&gt;3,Person2!FO59,0)</f>
        <v>0</v>
      </c>
      <c r="AN59">
        <f>IF($AZ59&lt;&gt;3,Person2!FP59,0)</f>
        <v>0</v>
      </c>
      <c r="AO59">
        <f>IF($AZ59&lt;&gt;3,Person2!FQ59,0)</f>
        <v>0</v>
      </c>
      <c r="AP59">
        <f>IF($AZ59&lt;&gt;3,Person2!FR59,0)</f>
        <v>0</v>
      </c>
      <c r="AQ59">
        <v>0</v>
      </c>
      <c r="AR59" s="4">
        <f>Person2!FS59</f>
        <v>0</v>
      </c>
      <c r="AS59" s="4">
        <v>0</v>
      </c>
      <c r="AT59" s="4">
        <v>0</v>
      </c>
      <c r="AV59">
        <f t="shared" si="270"/>
        <v>2069</v>
      </c>
      <c r="AW59">
        <f t="shared" si="271"/>
        <v>74</v>
      </c>
      <c r="AX59">
        <f t="shared" si="272"/>
        <v>2.8003281854481812</v>
      </c>
      <c r="AY59">
        <f t="shared" si="118"/>
        <v>0.35710100165990155</v>
      </c>
      <c r="AZ59">
        <f t="shared" si="119"/>
        <v>2</v>
      </c>
      <c r="BB59" s="4">
        <f t="shared" si="182"/>
        <v>0</v>
      </c>
      <c r="BC59">
        <f t="shared" si="183"/>
        <v>0</v>
      </c>
      <c r="BD59" s="4">
        <f t="shared" si="184"/>
        <v>33603.938225378173</v>
      </c>
      <c r="BE59" s="4" t="e">
        <f t="shared" ca="1" si="120"/>
        <v>#NAME?</v>
      </c>
      <c r="BF59" s="4">
        <f t="shared" si="121"/>
        <v>26002.227806536612</v>
      </c>
      <c r="BG59" s="4">
        <f t="shared" si="122"/>
        <v>0</v>
      </c>
      <c r="BH59" s="4">
        <f t="shared" si="185"/>
        <v>0</v>
      </c>
      <c r="BI59" s="4" t="e">
        <f t="shared" ca="1" si="123"/>
        <v>#NAME?</v>
      </c>
      <c r="BJ59" s="4"/>
      <c r="BK59" s="4">
        <f t="shared" si="186"/>
        <v>140016.40927240907</v>
      </c>
      <c r="BL59" s="4">
        <f t="shared" si="124"/>
        <v>0</v>
      </c>
      <c r="BM59" s="4">
        <f t="shared" si="125"/>
        <v>140016.40927240907</v>
      </c>
      <c r="BN59" s="4">
        <v>27882.682974561103</v>
      </c>
      <c r="BO59" s="4">
        <f t="shared" si="126"/>
        <v>167899.09224697016</v>
      </c>
      <c r="BP59" s="4" t="e">
        <f t="shared" ca="1" si="127"/>
        <v>#NAME?</v>
      </c>
      <c r="BQ59" s="4"/>
      <c r="BR59" s="4">
        <v>0</v>
      </c>
      <c r="BS59" s="4" t="e">
        <f t="shared" ca="1" si="187"/>
        <v>#NAME?</v>
      </c>
      <c r="BT59" s="4" t="e">
        <f t="shared" ca="1" si="188"/>
        <v>#NAME?</v>
      </c>
      <c r="BU59" s="4" t="e">
        <f t="shared" ca="1" si="189"/>
        <v>#NAME?</v>
      </c>
      <c r="BV59" s="4">
        <f t="shared" si="190"/>
        <v>1</v>
      </c>
      <c r="BW59" s="4" t="e">
        <f t="shared" ca="1" si="191"/>
        <v>#NAME?</v>
      </c>
      <c r="BX59" s="4" t="e">
        <f t="shared" ca="1" si="192"/>
        <v>#NAME?</v>
      </c>
      <c r="BY59" s="4" t="e">
        <f t="shared" ca="1" si="193"/>
        <v>#NAME?</v>
      </c>
      <c r="BZ59" s="4" t="e">
        <f t="shared" ca="1" si="194"/>
        <v>#NAME?</v>
      </c>
      <c r="CA59" s="4" t="e">
        <f t="shared" ca="1" si="26"/>
        <v>#NAME?</v>
      </c>
      <c r="CB59" s="4" t="e">
        <f t="shared" ca="1" si="160"/>
        <v>#NAME?</v>
      </c>
      <c r="CC59" s="4"/>
      <c r="CD59" s="4" t="e">
        <f t="shared" ca="1" si="195"/>
        <v>#NAME?</v>
      </c>
      <c r="CE59" s="4" t="e">
        <f t="shared" ca="1" si="128"/>
        <v>#NAME?</v>
      </c>
      <c r="CF59" s="16" t="e">
        <f t="shared" ca="1" si="196"/>
        <v>#NAME?</v>
      </c>
      <c r="CG59" s="4">
        <f t="shared" si="129"/>
        <v>0</v>
      </c>
      <c r="CH59" s="4" t="e">
        <f t="shared" ca="1" si="197"/>
        <v>#NAME?</v>
      </c>
      <c r="CI59" s="4" t="e">
        <f t="shared" ca="1" si="198"/>
        <v>#NAME?</v>
      </c>
      <c r="CJ59" s="4" t="e">
        <f t="shared" ca="1" si="130"/>
        <v>#NAME?</v>
      </c>
      <c r="CK59" s="4" t="e">
        <f t="shared" ca="1" si="31"/>
        <v>#NAME?</v>
      </c>
      <c r="CL59" s="4" t="e">
        <f t="shared" ca="1" si="199"/>
        <v>#NAME?</v>
      </c>
      <c r="CM59" s="16"/>
      <c r="CN59" s="4" t="e">
        <f t="shared" ca="1" si="200"/>
        <v>#NAME?</v>
      </c>
      <c r="CO59" s="4" t="e">
        <f t="shared" ca="1" si="201"/>
        <v>#NAME?</v>
      </c>
      <c r="CP59" s="4" t="e">
        <f t="shared" ca="1" si="279"/>
        <v>#NAME?</v>
      </c>
      <c r="CQ59" s="4"/>
      <c r="CR59" s="4" t="e">
        <f t="shared" ca="1" si="202"/>
        <v>#NAME?</v>
      </c>
      <c r="CS59" s="4">
        <f t="shared" ca="1" si="203"/>
        <v>63780</v>
      </c>
      <c r="CT59" s="4">
        <f t="shared" ca="1" si="204"/>
        <v>0</v>
      </c>
      <c r="CU59" s="4"/>
      <c r="CV59" s="4" t="e">
        <f t="shared" ca="1" si="132"/>
        <v>#NAME?</v>
      </c>
      <c r="CW59" s="4">
        <f t="shared" ca="1" si="205"/>
        <v>0</v>
      </c>
      <c r="CX59" s="4">
        <f t="shared" si="206"/>
        <v>0</v>
      </c>
      <c r="CY59" s="4" t="e">
        <f t="shared" ca="1" si="133"/>
        <v>#NAME?</v>
      </c>
      <c r="CZ59" s="4"/>
      <c r="DA59" s="4" t="e">
        <f t="shared" ca="1" si="207"/>
        <v>#NAME?</v>
      </c>
      <c r="DB59" s="4">
        <f t="shared" si="208"/>
        <v>0</v>
      </c>
      <c r="DC59" s="4">
        <f t="shared" si="134"/>
        <v>0</v>
      </c>
      <c r="DD59" s="4">
        <f t="shared" si="209"/>
        <v>0</v>
      </c>
      <c r="DE59" s="4" t="e">
        <f t="shared" ca="1" si="210"/>
        <v>#NAME?</v>
      </c>
      <c r="DF59" s="4" t="e">
        <f t="shared" ca="1" si="135"/>
        <v>#NAME?</v>
      </c>
      <c r="DG59" s="4" t="e">
        <f t="shared" ca="1" si="136"/>
        <v>#NAME?</v>
      </c>
      <c r="DH59" s="4">
        <f t="shared" si="211"/>
        <v>0</v>
      </c>
      <c r="DI59" s="4"/>
      <c r="DJ59" s="4" t="e">
        <f t="shared" ca="1" si="212"/>
        <v>#NAME?</v>
      </c>
      <c r="DK59" s="4">
        <f t="shared" ca="1" si="213"/>
        <v>15500</v>
      </c>
      <c r="DL59" s="4">
        <f t="shared" ca="1" si="214"/>
        <v>15500</v>
      </c>
      <c r="DM59" s="4" t="e">
        <f t="shared" ca="1" si="215"/>
        <v>#NAME?</v>
      </c>
      <c r="DN59" s="4" t="e">
        <f t="shared" ca="1" si="216"/>
        <v>#NAME?</v>
      </c>
      <c r="DO59" s="4" t="e">
        <f t="shared" ca="1" si="50"/>
        <v>#NAME?</v>
      </c>
      <c r="DP59" s="4"/>
      <c r="DQ59" s="4" t="e">
        <f t="shared" ca="1" si="217"/>
        <v>#NAME?</v>
      </c>
      <c r="DR59" s="4"/>
      <c r="DS59" s="4">
        <f t="shared" si="137"/>
        <v>0</v>
      </c>
      <c r="DT59" s="4" t="e">
        <f t="shared" ca="1" si="282"/>
        <v>#NAME?</v>
      </c>
      <c r="DU59" s="4">
        <f t="shared" si="218"/>
        <v>0</v>
      </c>
      <c r="DV59" s="4"/>
      <c r="DW59" s="4" t="e">
        <f t="shared" ca="1" si="273"/>
        <v>#NAME?</v>
      </c>
      <c r="DX59" s="4" t="e">
        <f t="shared" ca="1" si="219"/>
        <v>#NAME?</v>
      </c>
      <c r="DY59" s="4" t="e">
        <f t="shared" ca="1" si="139"/>
        <v>#NAME?</v>
      </c>
      <c r="DZ59" s="4" t="e">
        <f t="shared" ca="1" si="220"/>
        <v>#NAME?</v>
      </c>
      <c r="EA59" s="4" t="e">
        <f t="shared" ca="1" si="221"/>
        <v>#NAME?</v>
      </c>
      <c r="EB59" s="4" t="e">
        <f t="shared" ca="1" si="222"/>
        <v>#NAME?</v>
      </c>
      <c r="EC59" s="4">
        <f t="shared" si="223"/>
        <v>2</v>
      </c>
      <c r="ED59" s="4"/>
      <c r="EE59" s="4" t="e">
        <f t="shared" ca="1" si="274"/>
        <v>#NAME?</v>
      </c>
      <c r="EF59" s="4">
        <f t="shared" si="224"/>
        <v>0</v>
      </c>
      <c r="EG59" s="4" t="e">
        <f t="shared" ca="1" si="141"/>
        <v>#NAME?</v>
      </c>
      <c r="EH59" s="4" t="e">
        <f t="shared" ca="1" si="225"/>
        <v>#NAME?</v>
      </c>
      <c r="EI59" s="4" t="e">
        <f t="shared" ca="1" si="226"/>
        <v>#NAME?</v>
      </c>
      <c r="EJ59" s="4" t="e">
        <f t="shared" ca="1" si="227"/>
        <v>#NAME?</v>
      </c>
      <c r="EK59" s="4">
        <f t="shared" si="228"/>
        <v>2</v>
      </c>
      <c r="EL59" s="4">
        <f t="shared" si="229"/>
        <v>0</v>
      </c>
      <c r="EM59" s="4"/>
      <c r="EN59" s="4" t="e">
        <f t="shared" ca="1" si="275"/>
        <v>#NAME?</v>
      </c>
      <c r="EO59" s="4" t="e">
        <f t="shared" ca="1" si="230"/>
        <v>#NAME?</v>
      </c>
      <c r="EP59" s="4" t="e">
        <f t="shared" ca="1" si="143"/>
        <v>#NAME?</v>
      </c>
      <c r="EQ59" s="4" t="e">
        <f t="shared" ca="1" si="231"/>
        <v>#NAME?</v>
      </c>
      <c r="ER59" s="4">
        <v>0</v>
      </c>
      <c r="ES59" s="4" t="e">
        <f t="shared" ca="1" si="144"/>
        <v>#NAME?</v>
      </c>
      <c r="ET59" s="4"/>
      <c r="EU59" s="4" t="e">
        <f t="shared" ca="1" si="276"/>
        <v>#NAME?</v>
      </c>
      <c r="EV59" s="4" t="e">
        <f t="shared" ca="1" si="232"/>
        <v>#NAME?</v>
      </c>
      <c r="EW59" s="4" t="e">
        <f t="shared" ca="1" si="146"/>
        <v>#NAME?</v>
      </c>
      <c r="EX59" s="4" t="e">
        <f t="shared" ca="1" si="233"/>
        <v>#NAME?</v>
      </c>
      <c r="EY59" s="4">
        <v>0</v>
      </c>
      <c r="EZ59" s="4" t="e">
        <f t="shared" ca="1" si="147"/>
        <v>#NAME?</v>
      </c>
      <c r="FA59" s="4" t="e">
        <f t="shared" ca="1" si="277"/>
        <v>#NAME?</v>
      </c>
      <c r="FB59" s="1" t="e">
        <f t="shared" ca="1" si="234"/>
        <v>#NAME?</v>
      </c>
      <c r="FC59" s="4" t="e">
        <f t="shared" ca="1" si="149"/>
        <v>#NAME?</v>
      </c>
      <c r="FD59" s="4" t="e">
        <f t="shared" ca="1" si="150"/>
        <v>#NAME?</v>
      </c>
      <c r="FE59" s="4" t="e">
        <f t="shared" ca="1" si="235"/>
        <v>#NAME?</v>
      </c>
      <c r="FF59" s="4" t="e">
        <f t="shared" ca="1" si="236"/>
        <v>#NAME?</v>
      </c>
      <c r="FG59" s="4" t="e">
        <f t="shared" ca="1" si="237"/>
        <v>#NAME?</v>
      </c>
      <c r="FH59" s="17" t="e">
        <f t="shared" ca="1" si="238"/>
        <v>#NAME?</v>
      </c>
      <c r="FI59" s="4" t="e">
        <f t="shared" ca="1" si="239"/>
        <v>#NAME?</v>
      </c>
      <c r="FJ59" s="4"/>
      <c r="FK59" s="4" t="e">
        <f t="shared" ca="1" si="240"/>
        <v>#NAME?</v>
      </c>
      <c r="FL59" s="4"/>
      <c r="FM59" s="4">
        <v>0</v>
      </c>
      <c r="FN59" s="4">
        <f t="shared" si="241"/>
        <v>0</v>
      </c>
      <c r="FO59" s="4">
        <f t="shared" si="242"/>
        <v>0</v>
      </c>
      <c r="FP59" s="4">
        <f t="shared" si="243"/>
        <v>0</v>
      </c>
      <c r="FQ59" s="4">
        <f t="shared" si="244"/>
        <v>0</v>
      </c>
      <c r="FR59" s="4">
        <f t="shared" si="245"/>
        <v>0</v>
      </c>
      <c r="FS59" s="4">
        <f t="shared" si="246"/>
        <v>8667.4092688455366</v>
      </c>
      <c r="FT59" s="4">
        <f t="shared" si="247"/>
        <v>0</v>
      </c>
      <c r="FU59" s="4"/>
      <c r="FV59" s="3">
        <f t="shared" si="248"/>
        <v>0.35710100165990155</v>
      </c>
      <c r="FW59" s="3">
        <f t="shared" si="249"/>
        <v>0.35710100165990155</v>
      </c>
      <c r="FX59" s="4">
        <f t="shared" si="151"/>
        <v>2069</v>
      </c>
      <c r="FY59" s="18">
        <f t="shared" si="250"/>
        <v>0</v>
      </c>
      <c r="FZ59" s="18">
        <f t="shared" si="251"/>
        <v>12</v>
      </c>
      <c r="GA59" s="18" t="e">
        <f t="shared" ca="1" si="252"/>
        <v>#NAME?</v>
      </c>
      <c r="GB59" s="18">
        <f t="shared" si="253"/>
        <v>9.2854215951031698</v>
      </c>
      <c r="GC59" s="18" t="e">
        <f t="shared" ca="1" si="254"/>
        <v>#NAME?</v>
      </c>
      <c r="GD59" s="18" t="e">
        <f t="shared" ca="1" si="255"/>
        <v>#NAME?</v>
      </c>
      <c r="GE59" s="18" t="e">
        <f t="shared" ca="1" si="256"/>
        <v>#NAME?</v>
      </c>
      <c r="GF59" s="18" t="e">
        <f t="shared" ca="1" si="257"/>
        <v>#NAME?</v>
      </c>
      <c r="GG59" s="18" t="e">
        <f t="shared" ca="1" si="258"/>
        <v>#NAME?</v>
      </c>
      <c r="GH59" s="18" t="e">
        <f t="shared" ca="1" si="259"/>
        <v>#NAME?</v>
      </c>
      <c r="GI59" s="4"/>
      <c r="GJ59" s="4">
        <f t="shared" si="260"/>
        <v>2069</v>
      </c>
      <c r="GK59" s="4" t="e">
        <f t="shared" ca="1" si="261"/>
        <v>#NAME?</v>
      </c>
      <c r="GL59" s="4" t="e">
        <f t="shared" ca="1" si="262"/>
        <v>#NAME?</v>
      </c>
      <c r="GM59" s="4" t="e">
        <f t="shared" ca="1" si="263"/>
        <v>#NAME?</v>
      </c>
      <c r="GN59" s="4" t="e">
        <f t="shared" ca="1" si="264"/>
        <v>#NAME?</v>
      </c>
      <c r="GO59" s="4"/>
      <c r="GP59" s="3" t="e">
        <f t="shared" ca="1" si="152"/>
        <v>#NAME?</v>
      </c>
      <c r="GQ59" s="3" t="e">
        <f t="shared" ca="1" si="265"/>
        <v>#NAME?</v>
      </c>
      <c r="GR59" s="3" t="e">
        <f t="shared" ca="1" si="266"/>
        <v>#NAME?</v>
      </c>
      <c r="GS59" s="3" t="e">
        <f t="shared" ca="1" si="267"/>
        <v>#NAME?</v>
      </c>
      <c r="GT59" s="3" t="e">
        <f t="array" aca="1" ref="GT59" ca="1">SUM(GP59:GS59*$GU$6:$GX$6)</f>
        <v>#NAME?</v>
      </c>
      <c r="GU59" s="3" t="e">
        <f t="shared" ca="1" si="155"/>
        <v>#NAME?</v>
      </c>
      <c r="GV59" s="3" t="e">
        <f t="shared" ca="1" si="156"/>
        <v>#NAME?</v>
      </c>
      <c r="GW59" s="3" t="e">
        <f t="shared" ca="1" si="157"/>
        <v>#NAME?</v>
      </c>
      <c r="GX59" s="3" t="e">
        <f t="shared" ca="1" si="158"/>
        <v>#NAME?</v>
      </c>
      <c r="GY59" s="11"/>
      <c r="HG59" s="27">
        <v>99</v>
      </c>
      <c r="HH59" s="30">
        <v>0.2</v>
      </c>
      <c r="HJ59">
        <f t="shared" si="159"/>
        <v>2062</v>
      </c>
      <c r="HK59" s="28">
        <f t="shared" si="164"/>
        <v>55520</v>
      </c>
      <c r="HL59" s="27">
        <f t="shared" si="162"/>
        <v>13500</v>
      </c>
      <c r="HM59" s="28">
        <f t="shared" si="163"/>
        <v>13676.362091740548</v>
      </c>
      <c r="HO59" t="s">
        <v>273</v>
      </c>
      <c r="HQ59" s="27">
        <v>0.38</v>
      </c>
    </row>
    <row r="60" spans="1:241" x14ac:dyDescent="0.25">
      <c r="A60" t="s">
        <v>50</v>
      </c>
      <c r="B60" s="62">
        <f>Inputs_Summary!AJ57</f>
        <v>1</v>
      </c>
      <c r="D60">
        <f t="shared" si="107"/>
        <v>2070</v>
      </c>
      <c r="E60">
        <f t="shared" si="108"/>
        <v>75</v>
      </c>
      <c r="F60" s="8"/>
      <c r="G60" s="8"/>
      <c r="H60" s="8"/>
      <c r="I60" s="8"/>
      <c r="J60" s="92"/>
      <c r="K60" s="91"/>
      <c r="L60" s="91"/>
      <c r="N60" s="93">
        <f t="shared" si="109"/>
        <v>0.05</v>
      </c>
      <c r="O60" s="23">
        <f t="shared" si="110"/>
        <v>0.4</v>
      </c>
      <c r="P60" s="23">
        <f t="shared" si="111"/>
        <v>0.1</v>
      </c>
      <c r="Q60" s="4">
        <f t="shared" si="169"/>
        <v>0</v>
      </c>
      <c r="R60" s="4">
        <f t="shared" si="269"/>
        <v>0</v>
      </c>
      <c r="S60" s="4">
        <f t="shared" si="113"/>
        <v>0</v>
      </c>
      <c r="T60" s="4">
        <f t="shared" ca="1" si="114"/>
        <v>0</v>
      </c>
      <c r="V60" s="18" t="e">
        <f t="shared" ca="1" si="170"/>
        <v>#NAME?</v>
      </c>
      <c r="W60" s="18" t="e">
        <f t="shared" ca="1" si="171"/>
        <v>#NAME?</v>
      </c>
      <c r="X60" s="18" t="e">
        <f t="shared" ca="1" si="172"/>
        <v>#NAME?</v>
      </c>
      <c r="Y60" s="18" t="e">
        <f t="shared" ca="1" si="173"/>
        <v>#NAME?</v>
      </c>
      <c r="Z60" s="18" t="e">
        <f t="shared" ca="1" si="174"/>
        <v>#NAME?</v>
      </c>
      <c r="AA60" s="18" t="e">
        <f t="shared" ca="1" si="175"/>
        <v>#NAME?</v>
      </c>
      <c r="AB60" s="18" t="e">
        <f t="shared" ca="1" si="176"/>
        <v>#NAME?</v>
      </c>
      <c r="AC60" s="18" t="e">
        <f t="shared" ca="1" si="177"/>
        <v>#NAME?</v>
      </c>
      <c r="AD60" s="18" t="e">
        <f t="shared" ca="1" si="178"/>
        <v>#NAME?</v>
      </c>
      <c r="AE60" s="18" t="e">
        <f t="shared" ca="1" si="179"/>
        <v>#NAME?</v>
      </c>
      <c r="AF60" s="18" t="e">
        <f t="shared" ca="1" si="180"/>
        <v>#NAME?</v>
      </c>
      <c r="AG60" s="18" t="e">
        <f t="shared" ca="1" si="181"/>
        <v>#NAME?</v>
      </c>
      <c r="AI60">
        <f>Person2!E60</f>
        <v>75</v>
      </c>
      <c r="AJ60">
        <f>Person2!AZ60</f>
        <v>2</v>
      </c>
      <c r="AK60">
        <f>IF($AZ60&lt;&gt;3,Person2!FM60,0)</f>
        <v>0</v>
      </c>
      <c r="AL60" s="4">
        <f>IF($AZ60&lt;&gt;3,Person2!FN60+Person2!FT60,0)</f>
        <v>0</v>
      </c>
      <c r="AM60">
        <f>IF($AZ60&lt;&gt;3,Person2!FO60,0)</f>
        <v>0</v>
      </c>
      <c r="AN60">
        <f>IF($AZ60&lt;&gt;3,Person2!FP60,0)</f>
        <v>0</v>
      </c>
      <c r="AO60">
        <f>IF($AZ60&lt;&gt;3,Person2!FQ60,0)</f>
        <v>0</v>
      </c>
      <c r="AP60">
        <f>IF($AZ60&lt;&gt;3,Person2!FR60,0)</f>
        <v>0</v>
      </c>
      <c r="AQ60">
        <v>0</v>
      </c>
      <c r="AR60" s="4">
        <f>Person2!FS60</f>
        <v>0</v>
      </c>
      <c r="AS60" s="4">
        <v>0</v>
      </c>
      <c r="AT60" s="4">
        <v>0</v>
      </c>
      <c r="AV60">
        <f t="shared" si="270"/>
        <v>2070</v>
      </c>
      <c r="AW60">
        <f t="shared" si="271"/>
        <v>75</v>
      </c>
      <c r="AX60">
        <f t="shared" si="272"/>
        <v>2.8563347491571447</v>
      </c>
      <c r="AY60">
        <f t="shared" si="118"/>
        <v>0.35009902123519759</v>
      </c>
      <c r="AZ60">
        <f t="shared" si="119"/>
        <v>2</v>
      </c>
      <c r="BB60" s="4">
        <f t="shared" si="182"/>
        <v>0</v>
      </c>
      <c r="BC60">
        <f t="shared" si="183"/>
        <v>0</v>
      </c>
      <c r="BD60" s="4">
        <f t="shared" si="184"/>
        <v>34276.016989885735</v>
      </c>
      <c r="BE60" s="4" t="e">
        <f t="shared" ca="1" si="120"/>
        <v>#NAME?</v>
      </c>
      <c r="BF60" s="4">
        <f t="shared" si="121"/>
        <v>25754.194640533773</v>
      </c>
      <c r="BG60" s="4">
        <f t="shared" si="122"/>
        <v>0</v>
      </c>
      <c r="BH60" s="4">
        <f t="shared" si="185"/>
        <v>0</v>
      </c>
      <c r="BI60" s="4" t="e">
        <f t="shared" ca="1" si="123"/>
        <v>#NAME?</v>
      </c>
      <c r="BJ60" s="4"/>
      <c r="BK60" s="4">
        <f t="shared" si="186"/>
        <v>142816.73745785723</v>
      </c>
      <c r="BL60" s="4">
        <f t="shared" si="124"/>
        <v>0</v>
      </c>
      <c r="BM60" s="4">
        <f t="shared" si="125"/>
        <v>142816.73745785723</v>
      </c>
      <c r="BN60" s="4">
        <v>27872.024740972589</v>
      </c>
      <c r="BO60" s="4">
        <f t="shared" si="126"/>
        <v>170688.76219882982</v>
      </c>
      <c r="BP60" s="4" t="e">
        <f t="shared" ca="1" si="127"/>
        <v>#NAME?</v>
      </c>
      <c r="BQ60" s="4"/>
      <c r="BR60" s="4">
        <v>0</v>
      </c>
      <c r="BS60" s="4" t="e">
        <f t="shared" ca="1" si="187"/>
        <v>#NAME?</v>
      </c>
      <c r="BT60" s="4" t="e">
        <f t="shared" ca="1" si="188"/>
        <v>#NAME?</v>
      </c>
      <c r="BU60" s="4" t="e">
        <f t="shared" ca="1" si="189"/>
        <v>#NAME?</v>
      </c>
      <c r="BV60" s="4">
        <f t="shared" si="190"/>
        <v>1</v>
      </c>
      <c r="BW60" s="4" t="e">
        <f t="shared" ca="1" si="191"/>
        <v>#NAME?</v>
      </c>
      <c r="BX60" s="4" t="e">
        <f t="shared" ca="1" si="192"/>
        <v>#NAME?</v>
      </c>
      <c r="BY60" s="4" t="e">
        <f t="shared" ca="1" si="193"/>
        <v>#NAME?</v>
      </c>
      <c r="BZ60" s="4" t="e">
        <f t="shared" ca="1" si="194"/>
        <v>#NAME?</v>
      </c>
      <c r="CA60" s="4" t="e">
        <f t="shared" ca="1" si="26"/>
        <v>#NAME?</v>
      </c>
      <c r="CB60" s="4" t="e">
        <f t="shared" ca="1" si="160"/>
        <v>#NAME?</v>
      </c>
      <c r="CC60" s="4"/>
      <c r="CD60" s="4" t="e">
        <f t="shared" ca="1" si="195"/>
        <v>#NAME?</v>
      </c>
      <c r="CE60" s="4" t="e">
        <f t="shared" ca="1" si="128"/>
        <v>#NAME?</v>
      </c>
      <c r="CF60" s="16" t="e">
        <f t="shared" ca="1" si="196"/>
        <v>#NAME?</v>
      </c>
      <c r="CG60" s="4">
        <f t="shared" si="129"/>
        <v>0</v>
      </c>
      <c r="CH60" s="4" t="e">
        <f t="shared" ca="1" si="197"/>
        <v>#NAME?</v>
      </c>
      <c r="CI60" s="4" t="e">
        <f t="shared" ca="1" si="198"/>
        <v>#NAME?</v>
      </c>
      <c r="CJ60" s="4" t="e">
        <f t="shared" ca="1" si="130"/>
        <v>#NAME?</v>
      </c>
      <c r="CK60" s="4" t="e">
        <f t="shared" ca="1" si="31"/>
        <v>#NAME?</v>
      </c>
      <c r="CL60" s="4" t="e">
        <f t="shared" ca="1" si="199"/>
        <v>#NAME?</v>
      </c>
      <c r="CM60" s="16"/>
      <c r="CN60" s="4" t="e">
        <f t="shared" ca="1" si="200"/>
        <v>#NAME?</v>
      </c>
      <c r="CO60" s="4" t="e">
        <f t="shared" ca="1" si="201"/>
        <v>#NAME?</v>
      </c>
      <c r="CP60" s="4" t="e">
        <f t="shared" ca="1" si="279"/>
        <v>#NAME?</v>
      </c>
      <c r="CQ60" s="4"/>
      <c r="CR60" s="4" t="e">
        <f t="shared" ca="1" si="202"/>
        <v>#NAME?</v>
      </c>
      <c r="CS60" s="4">
        <f t="shared" ca="1" si="203"/>
        <v>65050</v>
      </c>
      <c r="CT60" s="4">
        <f t="shared" ca="1" si="204"/>
        <v>0</v>
      </c>
      <c r="CU60" s="4"/>
      <c r="CV60" s="4" t="e">
        <f t="shared" ca="1" si="132"/>
        <v>#NAME?</v>
      </c>
      <c r="CW60" s="4">
        <f t="shared" ca="1" si="205"/>
        <v>0</v>
      </c>
      <c r="CX60" s="4">
        <f t="shared" si="206"/>
        <v>0</v>
      </c>
      <c r="CY60" s="4" t="e">
        <f t="shared" ca="1" si="133"/>
        <v>#NAME?</v>
      </c>
      <c r="CZ60" s="4"/>
      <c r="DA60" s="4" t="e">
        <f t="shared" ca="1" si="207"/>
        <v>#NAME?</v>
      </c>
      <c r="DB60" s="4">
        <f t="shared" si="208"/>
        <v>0</v>
      </c>
      <c r="DC60" s="4">
        <f t="shared" si="134"/>
        <v>0</v>
      </c>
      <c r="DD60" s="4">
        <f t="shared" si="209"/>
        <v>0</v>
      </c>
      <c r="DE60" s="4" t="e">
        <f t="shared" ca="1" si="210"/>
        <v>#NAME?</v>
      </c>
      <c r="DF60" s="4" t="e">
        <f t="shared" ca="1" si="135"/>
        <v>#NAME?</v>
      </c>
      <c r="DG60" s="4" t="e">
        <f t="shared" ca="1" si="136"/>
        <v>#NAME?</v>
      </c>
      <c r="DH60" s="4">
        <f t="shared" si="211"/>
        <v>0</v>
      </c>
      <c r="DI60" s="4"/>
      <c r="DJ60" s="4" t="e">
        <f t="shared" ca="1" si="212"/>
        <v>#NAME?</v>
      </c>
      <c r="DK60" s="4">
        <f t="shared" ca="1" si="213"/>
        <v>16000</v>
      </c>
      <c r="DL60" s="4">
        <f t="shared" ca="1" si="214"/>
        <v>16000</v>
      </c>
      <c r="DM60" s="4" t="e">
        <f t="shared" ca="1" si="215"/>
        <v>#NAME?</v>
      </c>
      <c r="DN60" s="4" t="e">
        <f t="shared" ca="1" si="216"/>
        <v>#NAME?</v>
      </c>
      <c r="DO60" s="4" t="e">
        <f t="shared" ca="1" si="50"/>
        <v>#NAME?</v>
      </c>
      <c r="DP60" s="4"/>
      <c r="DQ60" s="4" t="e">
        <f t="shared" ca="1" si="217"/>
        <v>#NAME?</v>
      </c>
      <c r="DR60" s="4"/>
      <c r="DS60" s="4">
        <f t="shared" si="137"/>
        <v>0</v>
      </c>
      <c r="DT60" s="4" t="e">
        <f t="shared" ca="1" si="282"/>
        <v>#NAME?</v>
      </c>
      <c r="DU60" s="4">
        <f t="shared" si="218"/>
        <v>0</v>
      </c>
      <c r="DV60" s="4"/>
      <c r="DW60" s="4" t="e">
        <f t="shared" ca="1" si="273"/>
        <v>#NAME?</v>
      </c>
      <c r="DX60" s="4" t="e">
        <f t="shared" ca="1" si="219"/>
        <v>#NAME?</v>
      </c>
      <c r="DY60" s="4" t="e">
        <f t="shared" ca="1" si="139"/>
        <v>#NAME?</v>
      </c>
      <c r="DZ60" s="4" t="e">
        <f t="shared" ca="1" si="220"/>
        <v>#NAME?</v>
      </c>
      <c r="EA60" s="4" t="e">
        <f t="shared" ca="1" si="221"/>
        <v>#NAME?</v>
      </c>
      <c r="EB60" s="4" t="e">
        <f t="shared" ca="1" si="222"/>
        <v>#NAME?</v>
      </c>
      <c r="EC60" s="4">
        <f t="shared" si="223"/>
        <v>2</v>
      </c>
      <c r="ED60" s="4"/>
      <c r="EE60" s="4" t="e">
        <f t="shared" ca="1" si="274"/>
        <v>#NAME?</v>
      </c>
      <c r="EF60" s="4">
        <f t="shared" si="224"/>
        <v>0</v>
      </c>
      <c r="EG60" s="4" t="e">
        <f t="shared" ca="1" si="141"/>
        <v>#NAME?</v>
      </c>
      <c r="EH60" s="4" t="e">
        <f t="shared" ca="1" si="225"/>
        <v>#NAME?</v>
      </c>
      <c r="EI60" s="4" t="e">
        <f t="shared" ca="1" si="226"/>
        <v>#NAME?</v>
      </c>
      <c r="EJ60" s="4" t="e">
        <f t="shared" ca="1" si="227"/>
        <v>#NAME?</v>
      </c>
      <c r="EK60" s="4">
        <f t="shared" si="228"/>
        <v>2</v>
      </c>
      <c r="EL60" s="4">
        <f t="shared" si="229"/>
        <v>0</v>
      </c>
      <c r="EM60" s="4"/>
      <c r="EN60" s="4" t="e">
        <f t="shared" ca="1" si="275"/>
        <v>#NAME?</v>
      </c>
      <c r="EO60" s="4" t="e">
        <f t="shared" ca="1" si="230"/>
        <v>#NAME?</v>
      </c>
      <c r="EP60" s="4" t="e">
        <f t="shared" ca="1" si="143"/>
        <v>#NAME?</v>
      </c>
      <c r="EQ60" s="4" t="e">
        <f t="shared" ca="1" si="231"/>
        <v>#NAME?</v>
      </c>
      <c r="ER60" s="4">
        <v>0</v>
      </c>
      <c r="ES60" s="4" t="e">
        <f t="shared" ca="1" si="144"/>
        <v>#NAME?</v>
      </c>
      <c r="ET60" s="4"/>
      <c r="EU60" s="4" t="e">
        <f t="shared" ca="1" si="276"/>
        <v>#NAME?</v>
      </c>
      <c r="EV60" s="4" t="e">
        <f t="shared" ca="1" si="232"/>
        <v>#NAME?</v>
      </c>
      <c r="EW60" s="4" t="e">
        <f t="shared" ca="1" si="146"/>
        <v>#NAME?</v>
      </c>
      <c r="EX60" s="4" t="e">
        <f t="shared" ca="1" si="233"/>
        <v>#NAME?</v>
      </c>
      <c r="EY60" s="4">
        <v>0</v>
      </c>
      <c r="EZ60" s="4" t="e">
        <f t="shared" ca="1" si="147"/>
        <v>#NAME?</v>
      </c>
      <c r="FA60" s="4" t="e">
        <f t="shared" ca="1" si="277"/>
        <v>#NAME?</v>
      </c>
      <c r="FB60" s="1" t="e">
        <f t="shared" ca="1" si="234"/>
        <v>#NAME?</v>
      </c>
      <c r="FC60" s="4" t="e">
        <f t="shared" ca="1" si="149"/>
        <v>#NAME?</v>
      </c>
      <c r="FD60" s="4" t="e">
        <f t="shared" ca="1" si="150"/>
        <v>#NAME?</v>
      </c>
      <c r="FE60" s="4" t="e">
        <f t="shared" ca="1" si="235"/>
        <v>#NAME?</v>
      </c>
      <c r="FF60" s="4" t="e">
        <f t="shared" ca="1" si="236"/>
        <v>#NAME?</v>
      </c>
      <c r="FG60" s="4" t="e">
        <f t="shared" ca="1" si="237"/>
        <v>#NAME?</v>
      </c>
      <c r="FH60" s="17" t="e">
        <f t="shared" ca="1" si="238"/>
        <v>#NAME?</v>
      </c>
      <c r="FI60" s="4" t="e">
        <f t="shared" ca="1" si="239"/>
        <v>#NAME?</v>
      </c>
      <c r="FJ60" s="4"/>
      <c r="FK60" s="4" t="e">
        <f t="shared" ca="1" si="240"/>
        <v>#NAME?</v>
      </c>
      <c r="FL60" s="4"/>
      <c r="FM60" s="4">
        <v>0</v>
      </c>
      <c r="FN60" s="4">
        <f t="shared" si="241"/>
        <v>0</v>
      </c>
      <c r="FO60" s="4">
        <f t="shared" si="242"/>
        <v>0</v>
      </c>
      <c r="FP60" s="4">
        <f t="shared" si="243"/>
        <v>0</v>
      </c>
      <c r="FQ60" s="4">
        <f t="shared" si="244"/>
        <v>0</v>
      </c>
      <c r="FR60" s="4">
        <f t="shared" si="245"/>
        <v>0</v>
      </c>
      <c r="FS60" s="4">
        <f t="shared" si="246"/>
        <v>8584.7315468445904</v>
      </c>
      <c r="FT60" s="4">
        <f t="shared" si="247"/>
        <v>0</v>
      </c>
      <c r="FU60" s="4"/>
      <c r="FV60" s="3">
        <f t="shared" si="248"/>
        <v>0.35009902123519759</v>
      </c>
      <c r="FW60" s="3">
        <f t="shared" si="249"/>
        <v>0.35009902123519759</v>
      </c>
      <c r="FX60" s="4">
        <f t="shared" si="151"/>
        <v>2070</v>
      </c>
      <c r="FY60" s="18">
        <f t="shared" si="250"/>
        <v>0</v>
      </c>
      <c r="FZ60" s="18">
        <f t="shared" si="251"/>
        <v>12</v>
      </c>
      <c r="GA60" s="18" t="e">
        <f t="shared" ca="1" si="252"/>
        <v>#NAME?</v>
      </c>
      <c r="GB60" s="18">
        <f t="shared" si="253"/>
        <v>9.0165183363516466</v>
      </c>
      <c r="GC60" s="18" t="e">
        <f t="shared" ca="1" si="254"/>
        <v>#NAME?</v>
      </c>
      <c r="GD60" s="18" t="e">
        <f t="shared" ca="1" si="255"/>
        <v>#NAME?</v>
      </c>
      <c r="GE60" s="18" t="e">
        <f t="shared" ca="1" si="256"/>
        <v>#NAME?</v>
      </c>
      <c r="GF60" s="18" t="e">
        <f t="shared" ca="1" si="257"/>
        <v>#NAME?</v>
      </c>
      <c r="GG60" s="18" t="e">
        <f t="shared" ca="1" si="258"/>
        <v>#NAME?</v>
      </c>
      <c r="GH60" s="18" t="e">
        <f t="shared" ca="1" si="259"/>
        <v>#NAME?</v>
      </c>
      <c r="GI60" s="4"/>
      <c r="GJ60" s="4">
        <f t="shared" si="260"/>
        <v>2070</v>
      </c>
      <c r="GK60" s="4" t="e">
        <f t="shared" ca="1" si="261"/>
        <v>#NAME?</v>
      </c>
      <c r="GL60" s="4" t="e">
        <f t="shared" ca="1" si="262"/>
        <v>#NAME?</v>
      </c>
      <c r="GM60" s="4" t="e">
        <f t="shared" ca="1" si="263"/>
        <v>#NAME?</v>
      </c>
      <c r="GN60" s="4" t="e">
        <f t="shared" ca="1" si="264"/>
        <v>#NAME?</v>
      </c>
      <c r="GO60" s="4"/>
      <c r="GP60" s="3" t="e">
        <f t="shared" ca="1" si="152"/>
        <v>#NAME?</v>
      </c>
      <c r="GQ60" s="3" t="e">
        <f t="shared" ca="1" si="265"/>
        <v>#NAME?</v>
      </c>
      <c r="GR60" s="3" t="e">
        <f t="shared" ca="1" si="266"/>
        <v>#NAME?</v>
      </c>
      <c r="GS60" s="3" t="e">
        <f t="shared" ca="1" si="267"/>
        <v>#NAME?</v>
      </c>
      <c r="GT60" s="3" t="e">
        <f t="array" aca="1" ref="GT60" ca="1">SUM(GP60:GS60*$GU$6:$GX$6)</f>
        <v>#NAME?</v>
      </c>
      <c r="GU60" s="3" t="e">
        <f t="shared" ca="1" si="155"/>
        <v>#NAME?</v>
      </c>
      <c r="GV60" s="3" t="e">
        <f t="shared" ca="1" si="156"/>
        <v>#NAME?</v>
      </c>
      <c r="GW60" s="3" t="e">
        <f t="shared" ca="1" si="157"/>
        <v>#NAME?</v>
      </c>
      <c r="GX60" s="3" t="e">
        <f t="shared" ca="1" si="158"/>
        <v>#NAME?</v>
      </c>
      <c r="GY60" s="11"/>
      <c r="HG60" s="27">
        <v>100</v>
      </c>
      <c r="HH60" s="30">
        <v>0.2</v>
      </c>
      <c r="HJ60">
        <f t="shared" si="159"/>
        <v>2063</v>
      </c>
      <c r="HK60" s="28">
        <f t="shared" si="164"/>
        <v>56630</v>
      </c>
      <c r="HL60" s="27">
        <f t="shared" si="162"/>
        <v>14000</v>
      </c>
      <c r="HM60" s="28">
        <f t="shared" si="163"/>
        <v>13949.889333575358</v>
      </c>
      <c r="HO60" t="s">
        <v>274</v>
      </c>
      <c r="HQ60" s="27">
        <v>0.17</v>
      </c>
      <c r="HS60" t="s">
        <v>619</v>
      </c>
    </row>
    <row r="61" spans="1:241" x14ac:dyDescent="0.25">
      <c r="A61" t="s">
        <v>621</v>
      </c>
      <c r="B61" s="62">
        <f>Inputs_Summary!AJ58</f>
        <v>0</v>
      </c>
      <c r="D61">
        <f t="shared" si="107"/>
        <v>2071</v>
      </c>
      <c r="E61">
        <f t="shared" si="108"/>
        <v>76</v>
      </c>
      <c r="F61" s="8"/>
      <c r="G61" s="8"/>
      <c r="H61" s="8"/>
      <c r="I61" s="8"/>
      <c r="J61" s="92"/>
      <c r="K61" s="91"/>
      <c r="L61" s="91"/>
      <c r="N61" s="93">
        <f t="shared" si="109"/>
        <v>0.05</v>
      </c>
      <c r="O61" s="23">
        <f t="shared" si="110"/>
        <v>0.4</v>
      </c>
      <c r="P61" s="23">
        <f t="shared" si="111"/>
        <v>0.1</v>
      </c>
      <c r="Q61" s="4">
        <f t="shared" si="169"/>
        <v>0</v>
      </c>
      <c r="R61" s="4">
        <f t="shared" si="269"/>
        <v>0</v>
      </c>
      <c r="S61" s="4">
        <f t="shared" si="113"/>
        <v>0</v>
      </c>
      <c r="T61" s="4">
        <f t="shared" ca="1" si="114"/>
        <v>0</v>
      </c>
      <c r="V61" s="18" t="e">
        <f t="shared" ca="1" si="170"/>
        <v>#NAME?</v>
      </c>
      <c r="W61" s="18" t="e">
        <f t="shared" ca="1" si="171"/>
        <v>#NAME?</v>
      </c>
      <c r="X61" s="18" t="e">
        <f t="shared" ca="1" si="172"/>
        <v>#NAME?</v>
      </c>
      <c r="Y61" s="18" t="e">
        <f t="shared" ca="1" si="173"/>
        <v>#NAME?</v>
      </c>
      <c r="Z61" s="18" t="e">
        <f t="shared" ca="1" si="174"/>
        <v>#NAME?</v>
      </c>
      <c r="AA61" s="18" t="e">
        <f t="shared" ca="1" si="175"/>
        <v>#NAME?</v>
      </c>
      <c r="AB61" s="18" t="e">
        <f t="shared" ca="1" si="176"/>
        <v>#NAME?</v>
      </c>
      <c r="AC61" s="18" t="e">
        <f t="shared" ca="1" si="177"/>
        <v>#NAME?</v>
      </c>
      <c r="AD61" s="18" t="e">
        <f t="shared" ca="1" si="178"/>
        <v>#NAME?</v>
      </c>
      <c r="AE61" s="18" t="e">
        <f t="shared" ca="1" si="179"/>
        <v>#NAME?</v>
      </c>
      <c r="AF61" s="18" t="e">
        <f t="shared" ca="1" si="180"/>
        <v>#NAME?</v>
      </c>
      <c r="AG61" s="18" t="e">
        <f t="shared" ca="1" si="181"/>
        <v>#NAME?</v>
      </c>
      <c r="AI61">
        <f>Person2!E61</f>
        <v>76</v>
      </c>
      <c r="AJ61">
        <f>Person2!AZ61</f>
        <v>2</v>
      </c>
      <c r="AK61">
        <f>IF($AZ61&lt;&gt;3,Person2!FM61,0)</f>
        <v>0</v>
      </c>
      <c r="AL61" s="4">
        <f>IF($AZ61&lt;&gt;3,Person2!FN61+Person2!FT61,0)</f>
        <v>0</v>
      </c>
      <c r="AM61">
        <f>IF($AZ61&lt;&gt;3,Person2!FO61,0)</f>
        <v>0</v>
      </c>
      <c r="AN61">
        <f>IF($AZ61&lt;&gt;3,Person2!FP61,0)</f>
        <v>0</v>
      </c>
      <c r="AO61">
        <f>IF($AZ61&lt;&gt;3,Person2!FQ61,0)</f>
        <v>0</v>
      </c>
      <c r="AP61">
        <f>IF($AZ61&lt;&gt;3,Person2!FR61,0)</f>
        <v>0</v>
      </c>
      <c r="AQ61">
        <v>0</v>
      </c>
      <c r="AR61" s="4">
        <f>Person2!FS61</f>
        <v>0</v>
      </c>
      <c r="AS61" s="4">
        <v>0</v>
      </c>
      <c r="AT61" s="4">
        <v>0</v>
      </c>
      <c r="AV61">
        <f t="shared" si="270"/>
        <v>2071</v>
      </c>
      <c r="AW61">
        <f t="shared" si="271"/>
        <v>76</v>
      </c>
      <c r="AX61">
        <f t="shared" si="272"/>
        <v>2.9134614441402875</v>
      </c>
      <c r="AY61">
        <f t="shared" si="118"/>
        <v>0.3432343345443114</v>
      </c>
      <c r="AZ61">
        <f t="shared" si="119"/>
        <v>2</v>
      </c>
      <c r="BB61" s="4">
        <f t="shared" si="182"/>
        <v>0</v>
      </c>
      <c r="BC61">
        <f t="shared" si="183"/>
        <v>0</v>
      </c>
      <c r="BD61" s="4">
        <f t="shared" si="184"/>
        <v>34961.537329683451</v>
      </c>
      <c r="BE61" s="4" t="e">
        <f t="shared" ca="1" si="120"/>
        <v>#NAME?</v>
      </c>
      <c r="BF61" s="4">
        <f t="shared" si="121"/>
        <v>25497.360422600228</v>
      </c>
      <c r="BG61" s="4">
        <f t="shared" si="122"/>
        <v>0</v>
      </c>
      <c r="BH61" s="4">
        <f t="shared" si="185"/>
        <v>0</v>
      </c>
      <c r="BI61" s="4" t="e">
        <f t="shared" ca="1" si="123"/>
        <v>#NAME?</v>
      </c>
      <c r="BJ61" s="4"/>
      <c r="BK61" s="4">
        <f t="shared" si="186"/>
        <v>145673.07220701437</v>
      </c>
      <c r="BL61" s="4">
        <f t="shared" si="124"/>
        <v>0</v>
      </c>
      <c r="BM61" s="4">
        <f t="shared" si="125"/>
        <v>145673.07220701437</v>
      </c>
      <c r="BN61" s="4">
        <v>27792.155866015819</v>
      </c>
      <c r="BO61" s="4">
        <f t="shared" si="126"/>
        <v>173465.22807303019</v>
      </c>
      <c r="BP61" s="4" t="e">
        <f t="shared" ca="1" si="127"/>
        <v>#NAME?</v>
      </c>
      <c r="BQ61" s="4"/>
      <c r="BR61" s="4">
        <v>0</v>
      </c>
      <c r="BS61" s="4" t="e">
        <f t="shared" ca="1" si="187"/>
        <v>#NAME?</v>
      </c>
      <c r="BT61" s="4" t="e">
        <f t="shared" ca="1" si="188"/>
        <v>#NAME?</v>
      </c>
      <c r="BU61" s="4" t="e">
        <f t="shared" ca="1" si="189"/>
        <v>#NAME?</v>
      </c>
      <c r="BV61" s="4">
        <f t="shared" si="190"/>
        <v>1</v>
      </c>
      <c r="BW61" s="4" t="e">
        <f t="shared" ca="1" si="191"/>
        <v>#NAME?</v>
      </c>
      <c r="BX61" s="4" t="e">
        <f t="shared" ca="1" si="192"/>
        <v>#NAME?</v>
      </c>
      <c r="BY61" s="4" t="e">
        <f t="shared" ca="1" si="193"/>
        <v>#NAME?</v>
      </c>
      <c r="BZ61" s="4" t="e">
        <f t="shared" ca="1" si="194"/>
        <v>#NAME?</v>
      </c>
      <c r="CA61" s="4" t="e">
        <f t="shared" ca="1" si="26"/>
        <v>#NAME?</v>
      </c>
      <c r="CB61" s="4" t="e">
        <f t="shared" ca="1" si="160"/>
        <v>#NAME?</v>
      </c>
      <c r="CC61" s="4"/>
      <c r="CD61" s="4" t="e">
        <f t="shared" ca="1" si="195"/>
        <v>#NAME?</v>
      </c>
      <c r="CE61" s="4" t="e">
        <f t="shared" ca="1" si="128"/>
        <v>#NAME?</v>
      </c>
      <c r="CF61" s="16" t="e">
        <f t="shared" ca="1" si="196"/>
        <v>#NAME?</v>
      </c>
      <c r="CG61" s="4">
        <f t="shared" si="129"/>
        <v>0</v>
      </c>
      <c r="CH61" s="4" t="e">
        <f t="shared" ca="1" si="197"/>
        <v>#NAME?</v>
      </c>
      <c r="CI61" s="4" t="e">
        <f t="shared" ca="1" si="198"/>
        <v>#NAME?</v>
      </c>
      <c r="CJ61" s="4" t="e">
        <f t="shared" ca="1" si="130"/>
        <v>#NAME?</v>
      </c>
      <c r="CK61" s="4" t="e">
        <f t="shared" ca="1" si="31"/>
        <v>#NAME?</v>
      </c>
      <c r="CL61" s="4" t="e">
        <f t="shared" ca="1" si="199"/>
        <v>#NAME?</v>
      </c>
      <c r="CM61" s="16"/>
      <c r="CN61" s="4" t="e">
        <f t="shared" ca="1" si="200"/>
        <v>#NAME?</v>
      </c>
      <c r="CO61" s="4" t="e">
        <f t="shared" ca="1" si="201"/>
        <v>#NAME?</v>
      </c>
      <c r="CP61" s="4" t="e">
        <f t="shared" ca="1" si="279"/>
        <v>#NAME?</v>
      </c>
      <c r="CQ61" s="4"/>
      <c r="CR61" s="4" t="e">
        <f t="shared" ca="1" si="202"/>
        <v>#NAME?</v>
      </c>
      <c r="CS61" s="4">
        <f t="shared" ca="1" si="203"/>
        <v>66350</v>
      </c>
      <c r="CT61" s="4">
        <f t="shared" ca="1" si="204"/>
        <v>0</v>
      </c>
      <c r="CU61" s="4"/>
      <c r="CV61" s="4" t="e">
        <f t="shared" ca="1" si="132"/>
        <v>#NAME?</v>
      </c>
      <c r="CW61" s="4">
        <f t="shared" ca="1" si="205"/>
        <v>0</v>
      </c>
      <c r="CX61" s="4">
        <f t="shared" si="206"/>
        <v>0</v>
      </c>
      <c r="CY61" s="4" t="e">
        <f t="shared" ca="1" si="133"/>
        <v>#NAME?</v>
      </c>
      <c r="CZ61" s="4"/>
      <c r="DA61" s="4" t="e">
        <f t="shared" ca="1" si="207"/>
        <v>#NAME?</v>
      </c>
      <c r="DB61" s="4">
        <f t="shared" si="208"/>
        <v>0</v>
      </c>
      <c r="DC61" s="4">
        <f t="shared" si="134"/>
        <v>0</v>
      </c>
      <c r="DD61" s="4">
        <f t="shared" si="209"/>
        <v>0</v>
      </c>
      <c r="DE61" s="4" t="e">
        <f t="shared" ca="1" si="210"/>
        <v>#NAME?</v>
      </c>
      <c r="DF61" s="4" t="e">
        <f t="shared" ca="1" si="135"/>
        <v>#NAME?</v>
      </c>
      <c r="DG61" s="4" t="e">
        <f t="shared" ca="1" si="136"/>
        <v>#NAME?</v>
      </c>
      <c r="DH61" s="4">
        <f t="shared" si="211"/>
        <v>0</v>
      </c>
      <c r="DI61" s="4"/>
      <c r="DJ61" s="4" t="e">
        <f t="shared" ca="1" si="212"/>
        <v>#NAME?</v>
      </c>
      <c r="DK61" s="4">
        <f t="shared" ca="1" si="213"/>
        <v>16500</v>
      </c>
      <c r="DL61" s="4">
        <f t="shared" ca="1" si="214"/>
        <v>16500</v>
      </c>
      <c r="DM61" s="4" t="e">
        <f t="shared" ca="1" si="215"/>
        <v>#NAME?</v>
      </c>
      <c r="DN61" s="4" t="e">
        <f t="shared" ca="1" si="216"/>
        <v>#NAME?</v>
      </c>
      <c r="DO61" s="4" t="e">
        <f t="shared" ca="1" si="50"/>
        <v>#NAME?</v>
      </c>
      <c r="DP61" s="4"/>
      <c r="DQ61" s="4" t="e">
        <f t="shared" ca="1" si="217"/>
        <v>#NAME?</v>
      </c>
      <c r="DR61" s="4"/>
      <c r="DS61" s="4">
        <f t="shared" si="137"/>
        <v>0</v>
      </c>
      <c r="DT61" s="4" t="e">
        <f t="shared" ca="1" si="282"/>
        <v>#NAME?</v>
      </c>
      <c r="DU61" s="4">
        <f t="shared" si="218"/>
        <v>0</v>
      </c>
      <c r="DV61" s="4"/>
      <c r="DW61" s="4" t="e">
        <f t="shared" ca="1" si="273"/>
        <v>#NAME?</v>
      </c>
      <c r="DX61" s="4" t="e">
        <f t="shared" ca="1" si="219"/>
        <v>#NAME?</v>
      </c>
      <c r="DY61" s="4" t="e">
        <f t="shared" ca="1" si="139"/>
        <v>#NAME?</v>
      </c>
      <c r="DZ61" s="4" t="e">
        <f t="shared" ca="1" si="220"/>
        <v>#NAME?</v>
      </c>
      <c r="EA61" s="4" t="e">
        <f t="shared" ca="1" si="221"/>
        <v>#NAME?</v>
      </c>
      <c r="EB61" s="4" t="e">
        <f t="shared" ca="1" si="222"/>
        <v>#NAME?</v>
      </c>
      <c r="EC61" s="4">
        <f t="shared" si="223"/>
        <v>2</v>
      </c>
      <c r="ED61" s="4"/>
      <c r="EE61" s="4" t="e">
        <f t="shared" ca="1" si="274"/>
        <v>#NAME?</v>
      </c>
      <c r="EF61" s="4">
        <f t="shared" si="224"/>
        <v>0</v>
      </c>
      <c r="EG61" s="4" t="e">
        <f t="shared" ca="1" si="141"/>
        <v>#NAME?</v>
      </c>
      <c r="EH61" s="4" t="e">
        <f t="shared" ca="1" si="225"/>
        <v>#NAME?</v>
      </c>
      <c r="EI61" s="4" t="e">
        <f t="shared" ca="1" si="226"/>
        <v>#NAME?</v>
      </c>
      <c r="EJ61" s="4" t="e">
        <f t="shared" ca="1" si="227"/>
        <v>#NAME?</v>
      </c>
      <c r="EK61" s="4">
        <f t="shared" si="228"/>
        <v>2</v>
      </c>
      <c r="EL61" s="4">
        <f t="shared" si="229"/>
        <v>0</v>
      </c>
      <c r="EM61" s="4"/>
      <c r="EN61" s="4" t="e">
        <f t="shared" ca="1" si="275"/>
        <v>#NAME?</v>
      </c>
      <c r="EO61" s="4" t="e">
        <f t="shared" ca="1" si="230"/>
        <v>#NAME?</v>
      </c>
      <c r="EP61" s="4" t="e">
        <f t="shared" ca="1" si="143"/>
        <v>#NAME?</v>
      </c>
      <c r="EQ61" s="4" t="e">
        <f t="shared" ca="1" si="231"/>
        <v>#NAME?</v>
      </c>
      <c r="ER61" s="4">
        <v>0</v>
      </c>
      <c r="ES61" s="4" t="e">
        <f t="shared" ca="1" si="144"/>
        <v>#NAME?</v>
      </c>
      <c r="ET61" s="4"/>
      <c r="EU61" s="4" t="e">
        <f t="shared" ca="1" si="276"/>
        <v>#NAME?</v>
      </c>
      <c r="EV61" s="4" t="e">
        <f t="shared" ca="1" si="232"/>
        <v>#NAME?</v>
      </c>
      <c r="EW61" s="4" t="e">
        <f t="shared" ca="1" si="146"/>
        <v>#NAME?</v>
      </c>
      <c r="EX61" s="4" t="e">
        <f t="shared" ca="1" si="233"/>
        <v>#NAME?</v>
      </c>
      <c r="EY61" s="4">
        <v>0</v>
      </c>
      <c r="EZ61" s="4" t="e">
        <f t="shared" ca="1" si="147"/>
        <v>#NAME?</v>
      </c>
      <c r="FA61" s="4" t="e">
        <f t="shared" ca="1" si="277"/>
        <v>#NAME?</v>
      </c>
      <c r="FB61" s="1" t="e">
        <f t="shared" ca="1" si="234"/>
        <v>#NAME?</v>
      </c>
      <c r="FC61" s="4" t="e">
        <f t="shared" ca="1" si="149"/>
        <v>#NAME?</v>
      </c>
      <c r="FD61" s="4" t="e">
        <f t="shared" ca="1" si="150"/>
        <v>#NAME?</v>
      </c>
      <c r="FE61" s="4" t="e">
        <f t="shared" ca="1" si="235"/>
        <v>#NAME?</v>
      </c>
      <c r="FF61" s="4" t="e">
        <f t="shared" ca="1" si="236"/>
        <v>#NAME?</v>
      </c>
      <c r="FG61" s="4" t="e">
        <f t="shared" ca="1" si="237"/>
        <v>#NAME?</v>
      </c>
      <c r="FH61" s="17" t="e">
        <f t="shared" ca="1" si="238"/>
        <v>#NAME?</v>
      </c>
      <c r="FI61" s="4" t="e">
        <f t="shared" ca="1" si="239"/>
        <v>#NAME?</v>
      </c>
      <c r="FJ61" s="4"/>
      <c r="FK61" s="4" t="e">
        <f t="shared" ca="1" si="240"/>
        <v>#NAME?</v>
      </c>
      <c r="FL61" s="4"/>
      <c r="FM61" s="4">
        <v>0</v>
      </c>
      <c r="FN61" s="4">
        <f t="shared" si="241"/>
        <v>0</v>
      </c>
      <c r="FO61" s="4">
        <f t="shared" si="242"/>
        <v>0</v>
      </c>
      <c r="FP61" s="4">
        <f t="shared" si="243"/>
        <v>0</v>
      </c>
      <c r="FQ61" s="4">
        <f t="shared" si="244"/>
        <v>0</v>
      </c>
      <c r="FR61" s="4">
        <f t="shared" si="245"/>
        <v>0</v>
      </c>
      <c r="FS61" s="4">
        <f t="shared" si="246"/>
        <v>8499.1201408667421</v>
      </c>
      <c r="FT61" s="4">
        <f t="shared" si="247"/>
        <v>0</v>
      </c>
      <c r="FU61" s="4"/>
      <c r="FV61" s="3">
        <f t="shared" si="248"/>
        <v>0.3432343345443114</v>
      </c>
      <c r="FW61" s="3">
        <f t="shared" si="249"/>
        <v>0.3432343345443114</v>
      </c>
      <c r="FX61" s="4">
        <f t="shared" si="151"/>
        <v>2071</v>
      </c>
      <c r="FY61" s="18">
        <f t="shared" si="250"/>
        <v>0</v>
      </c>
      <c r="FZ61" s="18">
        <f t="shared" si="251"/>
        <v>12.000000000000002</v>
      </c>
      <c r="GA61" s="18" t="e">
        <f t="shared" ca="1" si="252"/>
        <v>#NAME?</v>
      </c>
      <c r="GB61" s="18">
        <f t="shared" si="253"/>
        <v>8.7515695372876525</v>
      </c>
      <c r="GC61" s="18" t="e">
        <f t="shared" ca="1" si="254"/>
        <v>#NAME?</v>
      </c>
      <c r="GD61" s="18" t="e">
        <f t="shared" ca="1" si="255"/>
        <v>#NAME?</v>
      </c>
      <c r="GE61" s="18" t="e">
        <f t="shared" ca="1" si="256"/>
        <v>#NAME?</v>
      </c>
      <c r="GF61" s="18" t="e">
        <f t="shared" ca="1" si="257"/>
        <v>#NAME?</v>
      </c>
      <c r="GG61" s="18" t="e">
        <f t="shared" ca="1" si="258"/>
        <v>#NAME?</v>
      </c>
      <c r="GH61" s="18" t="e">
        <f t="shared" ca="1" si="259"/>
        <v>#NAME?</v>
      </c>
      <c r="GI61" s="4"/>
      <c r="GJ61" s="4">
        <f t="shared" si="260"/>
        <v>2071</v>
      </c>
      <c r="GK61" s="4" t="e">
        <f t="shared" ca="1" si="261"/>
        <v>#NAME?</v>
      </c>
      <c r="GL61" s="4" t="e">
        <f t="shared" ca="1" si="262"/>
        <v>#NAME?</v>
      </c>
      <c r="GM61" s="4" t="e">
        <f t="shared" ca="1" si="263"/>
        <v>#NAME?</v>
      </c>
      <c r="GN61" s="4" t="e">
        <f t="shared" ca="1" si="264"/>
        <v>#NAME?</v>
      </c>
      <c r="GO61" s="4"/>
      <c r="GP61" s="3" t="e">
        <f t="shared" ca="1" si="152"/>
        <v>#NAME?</v>
      </c>
      <c r="GQ61" s="3" t="e">
        <f t="shared" ca="1" si="265"/>
        <v>#NAME?</v>
      </c>
      <c r="GR61" s="3" t="e">
        <f t="shared" ca="1" si="266"/>
        <v>#NAME?</v>
      </c>
      <c r="GS61" s="3" t="e">
        <f t="shared" ca="1" si="267"/>
        <v>#NAME?</v>
      </c>
      <c r="GT61" s="3" t="e">
        <f t="array" aca="1" ref="GT61" ca="1">SUM(GP61:GS61*$GU$6:$GX$6)</f>
        <v>#NAME?</v>
      </c>
      <c r="GU61" s="3" t="e">
        <f t="shared" ca="1" si="155"/>
        <v>#NAME?</v>
      </c>
      <c r="GV61" s="3" t="e">
        <f t="shared" ca="1" si="156"/>
        <v>#NAME?</v>
      </c>
      <c r="GW61" s="3" t="e">
        <f t="shared" ca="1" si="157"/>
        <v>#NAME?</v>
      </c>
      <c r="GX61" s="3" t="e">
        <f t="shared" ca="1" si="158"/>
        <v>#NAME?</v>
      </c>
      <c r="GY61" s="11"/>
      <c r="HJ61">
        <f t="shared" si="159"/>
        <v>2064</v>
      </c>
      <c r="HK61" s="28">
        <f t="shared" si="164"/>
        <v>57760</v>
      </c>
      <c r="HL61" s="27">
        <f t="shared" si="162"/>
        <v>14000</v>
      </c>
      <c r="HM61" s="28">
        <f t="shared" si="163"/>
        <v>14228.887120246865</v>
      </c>
      <c r="HO61" t="s">
        <v>245</v>
      </c>
      <c r="HQ61" s="27">
        <v>0.5</v>
      </c>
    </row>
    <row r="62" spans="1:241" x14ac:dyDescent="0.25">
      <c r="A62" t="s">
        <v>504</v>
      </c>
      <c r="B62" s="62">
        <f>Inputs_Summary!AJ59</f>
        <v>1</v>
      </c>
      <c r="D62">
        <f t="shared" si="107"/>
        <v>2072</v>
      </c>
      <c r="E62">
        <f t="shared" si="108"/>
        <v>77</v>
      </c>
      <c r="F62" s="8"/>
      <c r="G62" s="8"/>
      <c r="H62" s="8"/>
      <c r="I62" s="8"/>
      <c r="J62" s="92"/>
      <c r="K62" s="91"/>
      <c r="L62" s="91"/>
      <c r="N62" s="93">
        <f t="shared" si="109"/>
        <v>0.05</v>
      </c>
      <c r="O62" s="23">
        <f t="shared" si="110"/>
        <v>0.4</v>
      </c>
      <c r="P62" s="23">
        <f t="shared" si="111"/>
        <v>0.1</v>
      </c>
      <c r="Q62" s="4">
        <f t="shared" si="169"/>
        <v>0</v>
      </c>
      <c r="R62" s="4">
        <f t="shared" si="269"/>
        <v>0</v>
      </c>
      <c r="S62" s="4">
        <f t="shared" si="113"/>
        <v>0</v>
      </c>
      <c r="T62" s="4">
        <f t="shared" ca="1" si="114"/>
        <v>0</v>
      </c>
      <c r="V62" s="18" t="e">
        <f t="shared" ca="1" si="170"/>
        <v>#NAME?</v>
      </c>
      <c r="W62" s="18" t="e">
        <f t="shared" ca="1" si="171"/>
        <v>#NAME?</v>
      </c>
      <c r="X62" s="18" t="e">
        <f t="shared" ca="1" si="172"/>
        <v>#NAME?</v>
      </c>
      <c r="Y62" s="18" t="e">
        <f t="shared" ca="1" si="173"/>
        <v>#NAME?</v>
      </c>
      <c r="Z62" s="18" t="e">
        <f t="shared" ca="1" si="174"/>
        <v>#NAME?</v>
      </c>
      <c r="AA62" s="18" t="e">
        <f t="shared" ca="1" si="175"/>
        <v>#NAME?</v>
      </c>
      <c r="AB62" s="18" t="e">
        <f t="shared" ca="1" si="176"/>
        <v>#NAME?</v>
      </c>
      <c r="AC62" s="18" t="e">
        <f t="shared" ca="1" si="177"/>
        <v>#NAME?</v>
      </c>
      <c r="AD62" s="18" t="e">
        <f t="shared" ca="1" si="178"/>
        <v>#NAME?</v>
      </c>
      <c r="AE62" s="18" t="e">
        <f t="shared" ca="1" si="179"/>
        <v>#NAME?</v>
      </c>
      <c r="AF62" s="18" t="e">
        <f t="shared" ca="1" si="180"/>
        <v>#NAME?</v>
      </c>
      <c r="AG62" s="18" t="e">
        <f t="shared" ca="1" si="181"/>
        <v>#NAME?</v>
      </c>
      <c r="AI62">
        <f>Person2!E62</f>
        <v>77</v>
      </c>
      <c r="AJ62">
        <f>Person2!AZ62</f>
        <v>2</v>
      </c>
      <c r="AK62">
        <f>IF($AZ62&lt;&gt;3,Person2!FM62,0)</f>
        <v>0</v>
      </c>
      <c r="AL62" s="4">
        <f>IF($AZ62&lt;&gt;3,Person2!FN62+Person2!FT62,0)</f>
        <v>0</v>
      </c>
      <c r="AM62">
        <f>IF($AZ62&lt;&gt;3,Person2!FO62,0)</f>
        <v>0</v>
      </c>
      <c r="AN62">
        <f>IF($AZ62&lt;&gt;3,Person2!FP62,0)</f>
        <v>0</v>
      </c>
      <c r="AO62">
        <f>IF($AZ62&lt;&gt;3,Person2!FQ62,0)</f>
        <v>0</v>
      </c>
      <c r="AP62">
        <f>IF($AZ62&lt;&gt;3,Person2!FR62,0)</f>
        <v>0</v>
      </c>
      <c r="AQ62">
        <v>0</v>
      </c>
      <c r="AR62" s="4">
        <f>Person2!FS62</f>
        <v>0</v>
      </c>
      <c r="AS62" s="4">
        <v>0</v>
      </c>
      <c r="AT62" s="4">
        <v>0</v>
      </c>
      <c r="AV62">
        <f t="shared" si="270"/>
        <v>2072</v>
      </c>
      <c r="AW62">
        <f t="shared" si="271"/>
        <v>77</v>
      </c>
      <c r="AX62">
        <f t="shared" si="272"/>
        <v>2.9717306730230932</v>
      </c>
      <c r="AY62">
        <f t="shared" si="118"/>
        <v>0.33650424955324643</v>
      </c>
      <c r="AZ62">
        <f t="shared" si="119"/>
        <v>2</v>
      </c>
      <c r="BB62" s="4">
        <f t="shared" si="182"/>
        <v>0</v>
      </c>
      <c r="BC62">
        <f t="shared" si="183"/>
        <v>0</v>
      </c>
      <c r="BD62" s="4">
        <f t="shared" si="184"/>
        <v>35660.76807627712</v>
      </c>
      <c r="BE62" s="4" t="e">
        <f t="shared" ca="1" si="120"/>
        <v>#NAME?</v>
      </c>
      <c r="BF62" s="4">
        <f t="shared" si="121"/>
        <v>25231.529929754288</v>
      </c>
      <c r="BG62" s="4">
        <f t="shared" si="122"/>
        <v>0</v>
      </c>
      <c r="BH62" s="4">
        <f t="shared" si="185"/>
        <v>0</v>
      </c>
      <c r="BI62" s="4" t="e">
        <f t="shared" ca="1" si="123"/>
        <v>#NAME?</v>
      </c>
      <c r="BJ62" s="4"/>
      <c r="BK62" s="4">
        <f t="shared" si="186"/>
        <v>148586.53365115466</v>
      </c>
      <c r="BL62" s="4">
        <f t="shared" si="124"/>
        <v>0</v>
      </c>
      <c r="BM62" s="4">
        <f t="shared" si="125"/>
        <v>148586.53365115466</v>
      </c>
      <c r="BN62" s="4">
        <v>27702.550389030926</v>
      </c>
      <c r="BO62" s="4">
        <f t="shared" si="126"/>
        <v>176289.08404018558</v>
      </c>
      <c r="BP62" s="4" t="e">
        <f t="shared" ca="1" si="127"/>
        <v>#NAME?</v>
      </c>
      <c r="BQ62" s="4"/>
      <c r="BR62" s="4">
        <v>0</v>
      </c>
      <c r="BS62" s="4" t="e">
        <f t="shared" ca="1" si="187"/>
        <v>#NAME?</v>
      </c>
      <c r="BT62" s="4" t="e">
        <f t="shared" ca="1" si="188"/>
        <v>#NAME?</v>
      </c>
      <c r="BU62" s="4" t="e">
        <f t="shared" ca="1" si="189"/>
        <v>#NAME?</v>
      </c>
      <c r="BV62" s="4">
        <f t="shared" si="190"/>
        <v>1</v>
      </c>
      <c r="BW62" s="4" t="e">
        <f t="shared" ca="1" si="191"/>
        <v>#NAME?</v>
      </c>
      <c r="BX62" s="4" t="e">
        <f t="shared" ca="1" si="192"/>
        <v>#NAME?</v>
      </c>
      <c r="BY62" s="4" t="e">
        <f t="shared" ca="1" si="193"/>
        <v>#NAME?</v>
      </c>
      <c r="BZ62" s="4" t="e">
        <f t="shared" ca="1" si="194"/>
        <v>#NAME?</v>
      </c>
      <c r="CA62" s="4" t="e">
        <f t="shared" ca="1" si="26"/>
        <v>#NAME?</v>
      </c>
      <c r="CB62" s="4" t="e">
        <f t="shared" ca="1" si="160"/>
        <v>#NAME?</v>
      </c>
      <c r="CC62" s="4"/>
      <c r="CD62" s="4" t="e">
        <f t="shared" ca="1" si="195"/>
        <v>#NAME?</v>
      </c>
      <c r="CE62" s="4" t="e">
        <f t="shared" ca="1" si="128"/>
        <v>#NAME?</v>
      </c>
      <c r="CF62" s="16" t="e">
        <f t="shared" ca="1" si="196"/>
        <v>#NAME?</v>
      </c>
      <c r="CG62" s="4">
        <f t="shared" si="129"/>
        <v>0</v>
      </c>
      <c r="CH62" s="4" t="e">
        <f t="shared" ca="1" si="197"/>
        <v>#NAME?</v>
      </c>
      <c r="CI62" s="4" t="e">
        <f t="shared" ca="1" si="198"/>
        <v>#NAME?</v>
      </c>
      <c r="CJ62" s="4" t="e">
        <f t="shared" ca="1" si="130"/>
        <v>#NAME?</v>
      </c>
      <c r="CK62" s="4" t="e">
        <f t="shared" ca="1" si="31"/>
        <v>#NAME?</v>
      </c>
      <c r="CL62" s="4" t="e">
        <f t="shared" ca="1" si="199"/>
        <v>#NAME?</v>
      </c>
      <c r="CM62" s="16"/>
      <c r="CN62" s="4" t="e">
        <f t="shared" ca="1" si="200"/>
        <v>#NAME?</v>
      </c>
      <c r="CO62" s="4" t="e">
        <f t="shared" ca="1" si="201"/>
        <v>#NAME?</v>
      </c>
      <c r="CP62" s="4" t="e">
        <f t="shared" ca="1" si="279"/>
        <v>#NAME?</v>
      </c>
      <c r="CQ62" s="4"/>
      <c r="CR62" s="4" t="e">
        <f t="shared" ca="1" si="202"/>
        <v>#NAME?</v>
      </c>
      <c r="CS62" s="4">
        <f t="shared" ca="1" si="203"/>
        <v>67680</v>
      </c>
      <c r="CT62" s="4">
        <f t="shared" ca="1" si="204"/>
        <v>0</v>
      </c>
      <c r="CU62" s="4"/>
      <c r="CV62" s="4" t="e">
        <f t="shared" ca="1" si="132"/>
        <v>#NAME?</v>
      </c>
      <c r="CW62" s="4">
        <f t="shared" ca="1" si="205"/>
        <v>0</v>
      </c>
      <c r="CX62" s="4">
        <f t="shared" si="206"/>
        <v>0</v>
      </c>
      <c r="CY62" s="4" t="e">
        <f t="shared" ca="1" si="133"/>
        <v>#NAME?</v>
      </c>
      <c r="CZ62" s="4"/>
      <c r="DA62" s="4" t="e">
        <f t="shared" ca="1" si="207"/>
        <v>#NAME?</v>
      </c>
      <c r="DB62" s="4">
        <f t="shared" si="208"/>
        <v>0</v>
      </c>
      <c r="DC62" s="4">
        <f t="shared" si="134"/>
        <v>0</v>
      </c>
      <c r="DD62" s="4">
        <f t="shared" si="209"/>
        <v>0</v>
      </c>
      <c r="DE62" s="4" t="e">
        <f t="shared" ca="1" si="210"/>
        <v>#NAME?</v>
      </c>
      <c r="DF62" s="4" t="e">
        <f t="shared" ca="1" si="135"/>
        <v>#NAME?</v>
      </c>
      <c r="DG62" s="4" t="e">
        <f t="shared" ca="1" si="136"/>
        <v>#NAME?</v>
      </c>
      <c r="DH62" s="4">
        <f t="shared" si="211"/>
        <v>0</v>
      </c>
      <c r="DI62" s="4"/>
      <c r="DJ62" s="4" t="e">
        <f t="shared" ca="1" si="212"/>
        <v>#NAME?</v>
      </c>
      <c r="DK62" s="4">
        <f t="shared" ca="1" si="213"/>
        <v>16500</v>
      </c>
      <c r="DL62" s="4">
        <f t="shared" ca="1" si="214"/>
        <v>16500</v>
      </c>
      <c r="DM62" s="4" t="e">
        <f t="shared" ca="1" si="215"/>
        <v>#NAME?</v>
      </c>
      <c r="DN62" s="4" t="e">
        <f t="shared" ca="1" si="216"/>
        <v>#NAME?</v>
      </c>
      <c r="DO62" s="4" t="e">
        <f t="shared" ca="1" si="50"/>
        <v>#NAME?</v>
      </c>
      <c r="DP62" s="4"/>
      <c r="DQ62" s="4" t="e">
        <f t="shared" ca="1" si="217"/>
        <v>#NAME?</v>
      </c>
      <c r="DR62" s="4"/>
      <c r="DS62" s="4">
        <f t="shared" si="137"/>
        <v>0</v>
      </c>
      <c r="DT62" s="4" t="e">
        <f t="shared" ca="1" si="282"/>
        <v>#NAME?</v>
      </c>
      <c r="DU62" s="4">
        <f t="shared" si="218"/>
        <v>0</v>
      </c>
      <c r="DV62" s="4"/>
      <c r="DW62" s="4" t="e">
        <f t="shared" ca="1" si="273"/>
        <v>#NAME?</v>
      </c>
      <c r="DX62" s="4" t="e">
        <f t="shared" ca="1" si="219"/>
        <v>#NAME?</v>
      </c>
      <c r="DY62" s="4" t="e">
        <f t="shared" ca="1" si="139"/>
        <v>#NAME?</v>
      </c>
      <c r="DZ62" s="4" t="e">
        <f t="shared" ca="1" si="220"/>
        <v>#NAME?</v>
      </c>
      <c r="EA62" s="4" t="e">
        <f t="shared" ca="1" si="221"/>
        <v>#NAME?</v>
      </c>
      <c r="EB62" s="4" t="e">
        <f t="shared" ca="1" si="222"/>
        <v>#NAME?</v>
      </c>
      <c r="EC62" s="4">
        <f t="shared" si="223"/>
        <v>2</v>
      </c>
      <c r="ED62" s="4"/>
      <c r="EE62" s="4" t="e">
        <f t="shared" ca="1" si="274"/>
        <v>#NAME?</v>
      </c>
      <c r="EF62" s="4">
        <f t="shared" si="224"/>
        <v>0</v>
      </c>
      <c r="EG62" s="4" t="e">
        <f t="shared" ca="1" si="141"/>
        <v>#NAME?</v>
      </c>
      <c r="EH62" s="4" t="e">
        <f t="shared" ca="1" si="225"/>
        <v>#NAME?</v>
      </c>
      <c r="EI62" s="4" t="e">
        <f t="shared" ca="1" si="226"/>
        <v>#NAME?</v>
      </c>
      <c r="EJ62" s="4" t="e">
        <f t="shared" ca="1" si="227"/>
        <v>#NAME?</v>
      </c>
      <c r="EK62" s="4">
        <f t="shared" si="228"/>
        <v>2</v>
      </c>
      <c r="EL62" s="4">
        <f t="shared" si="229"/>
        <v>0</v>
      </c>
      <c r="EM62" s="4"/>
      <c r="EN62" s="4" t="e">
        <f t="shared" ca="1" si="275"/>
        <v>#NAME?</v>
      </c>
      <c r="EO62" s="4" t="e">
        <f t="shared" ca="1" si="230"/>
        <v>#NAME?</v>
      </c>
      <c r="EP62" s="4" t="e">
        <f t="shared" ca="1" si="143"/>
        <v>#NAME?</v>
      </c>
      <c r="EQ62" s="4" t="e">
        <f t="shared" ca="1" si="231"/>
        <v>#NAME?</v>
      </c>
      <c r="ER62" s="4">
        <v>0</v>
      </c>
      <c r="ES62" s="4" t="e">
        <f t="shared" ca="1" si="144"/>
        <v>#NAME?</v>
      </c>
      <c r="ET62" s="4"/>
      <c r="EU62" s="4" t="e">
        <f t="shared" ca="1" si="276"/>
        <v>#NAME?</v>
      </c>
      <c r="EV62" s="4" t="e">
        <f t="shared" ca="1" si="232"/>
        <v>#NAME?</v>
      </c>
      <c r="EW62" s="4" t="e">
        <f t="shared" ca="1" si="146"/>
        <v>#NAME?</v>
      </c>
      <c r="EX62" s="4" t="e">
        <f t="shared" ca="1" si="233"/>
        <v>#NAME?</v>
      </c>
      <c r="EY62" s="4">
        <v>0</v>
      </c>
      <c r="EZ62" s="4" t="e">
        <f t="shared" ca="1" si="147"/>
        <v>#NAME?</v>
      </c>
      <c r="FA62" s="4" t="e">
        <f t="shared" ca="1" si="277"/>
        <v>#NAME?</v>
      </c>
      <c r="FB62" s="1" t="e">
        <f t="shared" ca="1" si="234"/>
        <v>#NAME?</v>
      </c>
      <c r="FC62" s="4" t="e">
        <f t="shared" ca="1" si="149"/>
        <v>#NAME?</v>
      </c>
      <c r="FD62" s="4" t="e">
        <f t="shared" ca="1" si="150"/>
        <v>#NAME?</v>
      </c>
      <c r="FE62" s="4" t="e">
        <f t="shared" ca="1" si="235"/>
        <v>#NAME?</v>
      </c>
      <c r="FF62" s="4" t="e">
        <f t="shared" ca="1" si="236"/>
        <v>#NAME?</v>
      </c>
      <c r="FG62" s="4" t="e">
        <f t="shared" ca="1" si="237"/>
        <v>#NAME?</v>
      </c>
      <c r="FH62" s="17" t="e">
        <f t="shared" ca="1" si="238"/>
        <v>#NAME?</v>
      </c>
      <c r="FI62" s="4" t="e">
        <f t="shared" ca="1" si="239"/>
        <v>#NAME?</v>
      </c>
      <c r="FJ62" s="4"/>
      <c r="FK62" s="4" t="e">
        <f t="shared" ca="1" si="240"/>
        <v>#NAME?</v>
      </c>
      <c r="FL62" s="4"/>
      <c r="FM62" s="4">
        <v>0</v>
      </c>
      <c r="FN62" s="4">
        <f t="shared" si="241"/>
        <v>0</v>
      </c>
      <c r="FO62" s="4">
        <f t="shared" si="242"/>
        <v>0</v>
      </c>
      <c r="FP62" s="4">
        <f t="shared" si="243"/>
        <v>0</v>
      </c>
      <c r="FQ62" s="4">
        <f t="shared" si="244"/>
        <v>0</v>
      </c>
      <c r="FR62" s="4">
        <f t="shared" si="245"/>
        <v>0</v>
      </c>
      <c r="FS62" s="4">
        <f t="shared" si="246"/>
        <v>8410.5099765847626</v>
      </c>
      <c r="FT62" s="4">
        <f t="shared" si="247"/>
        <v>0</v>
      </c>
      <c r="FU62" s="4"/>
      <c r="FV62" s="3">
        <f t="shared" si="248"/>
        <v>0.33650424955324643</v>
      </c>
      <c r="FW62" s="3">
        <f t="shared" si="249"/>
        <v>0.33650424955324643</v>
      </c>
      <c r="FX62" s="4">
        <f t="shared" si="151"/>
        <v>2072</v>
      </c>
      <c r="FY62" s="18">
        <f t="shared" si="250"/>
        <v>0</v>
      </c>
      <c r="FZ62" s="18">
        <f t="shared" si="251"/>
        <v>12</v>
      </c>
      <c r="GA62" s="18" t="e">
        <f t="shared" ca="1" si="252"/>
        <v>#NAME?</v>
      </c>
      <c r="GB62" s="18">
        <f t="shared" si="253"/>
        <v>8.4905170440922433</v>
      </c>
      <c r="GC62" s="18" t="e">
        <f t="shared" ca="1" si="254"/>
        <v>#NAME?</v>
      </c>
      <c r="GD62" s="18" t="e">
        <f t="shared" ca="1" si="255"/>
        <v>#NAME?</v>
      </c>
      <c r="GE62" s="18" t="e">
        <f t="shared" ca="1" si="256"/>
        <v>#NAME?</v>
      </c>
      <c r="GF62" s="18" t="e">
        <f t="shared" ca="1" si="257"/>
        <v>#NAME?</v>
      </c>
      <c r="GG62" s="18" t="e">
        <f t="shared" ca="1" si="258"/>
        <v>#NAME?</v>
      </c>
      <c r="GH62" s="18" t="e">
        <f t="shared" ca="1" si="259"/>
        <v>#NAME?</v>
      </c>
      <c r="GI62" s="4"/>
      <c r="GJ62" s="4">
        <f t="shared" si="260"/>
        <v>2072</v>
      </c>
      <c r="GK62" s="4" t="e">
        <f t="shared" ca="1" si="261"/>
        <v>#NAME?</v>
      </c>
      <c r="GL62" s="4" t="e">
        <f t="shared" ca="1" si="262"/>
        <v>#NAME?</v>
      </c>
      <c r="GM62" s="4" t="e">
        <f t="shared" ca="1" si="263"/>
        <v>#NAME?</v>
      </c>
      <c r="GN62" s="4" t="e">
        <f t="shared" ca="1" si="264"/>
        <v>#NAME?</v>
      </c>
      <c r="GO62" s="4"/>
      <c r="GP62" s="3" t="e">
        <f t="shared" ca="1" si="152"/>
        <v>#NAME?</v>
      </c>
      <c r="GQ62" s="3" t="e">
        <f t="shared" ca="1" si="265"/>
        <v>#NAME?</v>
      </c>
      <c r="GR62" s="3" t="e">
        <f t="shared" ca="1" si="266"/>
        <v>#NAME?</v>
      </c>
      <c r="GS62" s="3" t="e">
        <f t="shared" ca="1" si="267"/>
        <v>#NAME?</v>
      </c>
      <c r="GT62" s="3" t="e">
        <f t="array" aca="1" ref="GT62" ca="1">SUM(GP62:GS62*$GU$6:$GX$6)</f>
        <v>#NAME?</v>
      </c>
      <c r="GU62" s="3" t="e">
        <f t="shared" ca="1" si="155"/>
        <v>#NAME?</v>
      </c>
      <c r="GV62" s="3" t="e">
        <f t="shared" ca="1" si="156"/>
        <v>#NAME?</v>
      </c>
      <c r="GW62" s="3" t="e">
        <f t="shared" ca="1" si="157"/>
        <v>#NAME?</v>
      </c>
      <c r="GX62" s="3" t="e">
        <f t="shared" ca="1" si="158"/>
        <v>#NAME?</v>
      </c>
      <c r="GY62" s="11"/>
      <c r="HJ62">
        <f t="shared" si="159"/>
        <v>2065</v>
      </c>
      <c r="HK62" s="28">
        <f t="shared" si="164"/>
        <v>58920</v>
      </c>
      <c r="HL62" s="27">
        <f t="shared" si="162"/>
        <v>14500</v>
      </c>
      <c r="HM62" s="28">
        <f t="shared" si="163"/>
        <v>14513.464862651803</v>
      </c>
      <c r="HO62" t="s">
        <v>275</v>
      </c>
    </row>
    <row r="63" spans="1:241" x14ac:dyDescent="0.25">
      <c r="A63" t="s">
        <v>562</v>
      </c>
      <c r="B63" s="62">
        <f>Inputs_Summary!AJ60</f>
        <v>0</v>
      </c>
      <c r="D63">
        <f t="shared" si="107"/>
        <v>2073</v>
      </c>
      <c r="E63">
        <f t="shared" si="108"/>
        <v>78</v>
      </c>
      <c r="F63" s="8"/>
      <c r="G63" s="8"/>
      <c r="H63" s="8"/>
      <c r="I63" s="8"/>
      <c r="J63" s="92"/>
      <c r="K63" s="91"/>
      <c r="L63" s="91"/>
      <c r="N63" s="93">
        <f t="shared" si="109"/>
        <v>0.05</v>
      </c>
      <c r="O63" s="23">
        <f t="shared" si="110"/>
        <v>0.4</v>
      </c>
      <c r="P63" s="23">
        <f t="shared" si="111"/>
        <v>0.1</v>
      </c>
      <c r="Q63" s="4">
        <f t="shared" si="169"/>
        <v>0</v>
      </c>
      <c r="R63" s="4">
        <f t="shared" si="269"/>
        <v>0</v>
      </c>
      <c r="S63" s="4">
        <f t="shared" si="113"/>
        <v>0</v>
      </c>
      <c r="T63" s="4">
        <f t="shared" ca="1" si="114"/>
        <v>0</v>
      </c>
      <c r="V63" s="18" t="e">
        <f t="shared" ca="1" si="170"/>
        <v>#NAME?</v>
      </c>
      <c r="W63" s="18" t="e">
        <f t="shared" ca="1" si="171"/>
        <v>#NAME?</v>
      </c>
      <c r="X63" s="18" t="e">
        <f t="shared" ca="1" si="172"/>
        <v>#NAME?</v>
      </c>
      <c r="Y63" s="18" t="e">
        <f t="shared" ca="1" si="173"/>
        <v>#NAME?</v>
      </c>
      <c r="Z63" s="18" t="e">
        <f t="shared" ca="1" si="174"/>
        <v>#NAME?</v>
      </c>
      <c r="AA63" s="18" t="e">
        <f t="shared" ca="1" si="175"/>
        <v>#NAME?</v>
      </c>
      <c r="AB63" s="18" t="e">
        <f t="shared" ca="1" si="176"/>
        <v>#NAME?</v>
      </c>
      <c r="AC63" s="18" t="e">
        <f t="shared" ca="1" si="177"/>
        <v>#NAME?</v>
      </c>
      <c r="AD63" s="18" t="e">
        <f t="shared" ca="1" si="178"/>
        <v>#NAME?</v>
      </c>
      <c r="AE63" s="18" t="e">
        <f t="shared" ca="1" si="179"/>
        <v>#NAME?</v>
      </c>
      <c r="AF63" s="18" t="e">
        <f t="shared" ca="1" si="180"/>
        <v>#NAME?</v>
      </c>
      <c r="AG63" s="18" t="e">
        <f t="shared" ca="1" si="181"/>
        <v>#NAME?</v>
      </c>
      <c r="AI63">
        <f>Person2!E63</f>
        <v>78</v>
      </c>
      <c r="AJ63">
        <f>Person2!AZ63</f>
        <v>2</v>
      </c>
      <c r="AK63">
        <f>IF($AZ63&lt;&gt;3,Person2!FM63,0)</f>
        <v>0</v>
      </c>
      <c r="AL63" s="4">
        <f>IF($AZ63&lt;&gt;3,Person2!FN63+Person2!FT63,0)</f>
        <v>0</v>
      </c>
      <c r="AM63">
        <f>IF($AZ63&lt;&gt;3,Person2!FO63,0)</f>
        <v>0</v>
      </c>
      <c r="AN63">
        <f>IF($AZ63&lt;&gt;3,Person2!FP63,0)</f>
        <v>0</v>
      </c>
      <c r="AO63">
        <f>IF($AZ63&lt;&gt;3,Person2!FQ63,0)</f>
        <v>0</v>
      </c>
      <c r="AP63">
        <f>IF($AZ63&lt;&gt;3,Person2!FR63,0)</f>
        <v>0</v>
      </c>
      <c r="AQ63">
        <v>0</v>
      </c>
      <c r="AR63" s="4">
        <f>Person2!FS63</f>
        <v>0</v>
      </c>
      <c r="AS63" s="4">
        <v>0</v>
      </c>
      <c r="AT63" s="4">
        <v>0</v>
      </c>
      <c r="AV63">
        <f t="shared" si="270"/>
        <v>2073</v>
      </c>
      <c r="AW63">
        <f t="shared" si="271"/>
        <v>78</v>
      </c>
      <c r="AX63">
        <f t="shared" si="272"/>
        <v>3.0311652864835552</v>
      </c>
      <c r="AY63">
        <f t="shared" si="118"/>
        <v>0.32990612701298672</v>
      </c>
      <c r="AZ63">
        <f t="shared" si="119"/>
        <v>2</v>
      </c>
      <c r="BB63" s="4">
        <f t="shared" si="182"/>
        <v>0</v>
      </c>
      <c r="BC63">
        <f t="shared" si="183"/>
        <v>0</v>
      </c>
      <c r="BD63" s="4">
        <f t="shared" si="184"/>
        <v>36373.983437802664</v>
      </c>
      <c r="BE63" s="4" t="e">
        <f t="shared" ca="1" si="120"/>
        <v>#NAME?</v>
      </c>
      <c r="BF63" s="4">
        <f t="shared" si="121"/>
        <v>24956.503938544913</v>
      </c>
      <c r="BG63" s="4">
        <f t="shared" si="122"/>
        <v>0</v>
      </c>
      <c r="BH63" s="4">
        <f t="shared" si="185"/>
        <v>0</v>
      </c>
      <c r="BI63" s="4" t="e">
        <f t="shared" ca="1" si="123"/>
        <v>#NAME?</v>
      </c>
      <c r="BJ63" s="4"/>
      <c r="BK63" s="4">
        <f t="shared" si="186"/>
        <v>151558.26432417776</v>
      </c>
      <c r="BL63" s="4">
        <f t="shared" si="124"/>
        <v>0</v>
      </c>
      <c r="BM63" s="4">
        <f t="shared" si="125"/>
        <v>151558.26432417776</v>
      </c>
      <c r="BN63" s="4">
        <v>27563.324655540844</v>
      </c>
      <c r="BO63" s="4">
        <f t="shared" si="126"/>
        <v>179121.5889797186</v>
      </c>
      <c r="BP63" s="4" t="e">
        <f t="shared" ca="1" si="127"/>
        <v>#NAME?</v>
      </c>
      <c r="BQ63" s="4"/>
      <c r="BR63" s="4">
        <v>0</v>
      </c>
      <c r="BS63" s="4" t="e">
        <f t="shared" ca="1" si="187"/>
        <v>#NAME?</v>
      </c>
      <c r="BT63" s="4" t="e">
        <f t="shared" ca="1" si="188"/>
        <v>#NAME?</v>
      </c>
      <c r="BU63" s="4" t="e">
        <f t="shared" ca="1" si="189"/>
        <v>#NAME?</v>
      </c>
      <c r="BV63" s="4">
        <f t="shared" si="190"/>
        <v>1</v>
      </c>
      <c r="BW63" s="4" t="e">
        <f t="shared" ca="1" si="191"/>
        <v>#NAME?</v>
      </c>
      <c r="BX63" s="4" t="e">
        <f t="shared" ca="1" si="192"/>
        <v>#NAME?</v>
      </c>
      <c r="BY63" s="4" t="e">
        <f t="shared" ca="1" si="193"/>
        <v>#NAME?</v>
      </c>
      <c r="BZ63" s="4" t="e">
        <f t="shared" ca="1" si="194"/>
        <v>#NAME?</v>
      </c>
      <c r="CA63" s="4" t="e">
        <f t="shared" ca="1" si="26"/>
        <v>#NAME?</v>
      </c>
      <c r="CB63" s="4" t="e">
        <f t="shared" ca="1" si="160"/>
        <v>#NAME?</v>
      </c>
      <c r="CC63" s="4"/>
      <c r="CD63" s="4" t="e">
        <f t="shared" ca="1" si="195"/>
        <v>#NAME?</v>
      </c>
      <c r="CE63" s="4" t="e">
        <f t="shared" ca="1" si="128"/>
        <v>#NAME?</v>
      </c>
      <c r="CF63" s="16" t="e">
        <f t="shared" ca="1" si="196"/>
        <v>#NAME?</v>
      </c>
      <c r="CG63" s="4">
        <f t="shared" si="129"/>
        <v>0</v>
      </c>
      <c r="CH63" s="4" t="e">
        <f t="shared" ca="1" si="197"/>
        <v>#NAME?</v>
      </c>
      <c r="CI63" s="4" t="e">
        <f t="shared" ca="1" si="198"/>
        <v>#NAME?</v>
      </c>
      <c r="CJ63" s="4" t="e">
        <f t="shared" ca="1" si="130"/>
        <v>#NAME?</v>
      </c>
      <c r="CK63" s="4" t="e">
        <f t="shared" ca="1" si="31"/>
        <v>#NAME?</v>
      </c>
      <c r="CL63" s="4" t="e">
        <f t="shared" ca="1" si="199"/>
        <v>#NAME?</v>
      </c>
      <c r="CM63" s="16"/>
      <c r="CN63" s="4" t="e">
        <f t="shared" ca="1" si="200"/>
        <v>#NAME?</v>
      </c>
      <c r="CO63" s="4" t="e">
        <f t="shared" ca="1" si="201"/>
        <v>#NAME?</v>
      </c>
      <c r="CP63" s="4" t="e">
        <f t="shared" ca="1" si="279"/>
        <v>#NAME?</v>
      </c>
      <c r="CQ63" s="4"/>
      <c r="CR63" s="4" t="e">
        <f t="shared" ca="1" si="202"/>
        <v>#NAME?</v>
      </c>
      <c r="CS63" s="4">
        <f t="shared" ca="1" si="203"/>
        <v>69030</v>
      </c>
      <c r="CT63" s="4">
        <f t="shared" ca="1" si="204"/>
        <v>0</v>
      </c>
      <c r="CU63" s="4"/>
      <c r="CV63" s="4" t="e">
        <f t="shared" ca="1" si="132"/>
        <v>#NAME?</v>
      </c>
      <c r="CW63" s="4">
        <f t="shared" ca="1" si="205"/>
        <v>0</v>
      </c>
      <c r="CX63" s="4">
        <f t="shared" si="206"/>
        <v>0</v>
      </c>
      <c r="CY63" s="4" t="e">
        <f t="shared" ca="1" si="133"/>
        <v>#NAME?</v>
      </c>
      <c r="CZ63" s="4"/>
      <c r="DA63" s="4" t="e">
        <f t="shared" ca="1" si="207"/>
        <v>#NAME?</v>
      </c>
      <c r="DB63" s="4">
        <f t="shared" si="208"/>
        <v>0</v>
      </c>
      <c r="DC63" s="4">
        <f t="shared" si="134"/>
        <v>0</v>
      </c>
      <c r="DD63" s="4">
        <f t="shared" si="209"/>
        <v>0</v>
      </c>
      <c r="DE63" s="4" t="e">
        <f t="shared" ca="1" si="210"/>
        <v>#NAME?</v>
      </c>
      <c r="DF63" s="4" t="e">
        <f t="shared" ca="1" si="135"/>
        <v>#NAME?</v>
      </c>
      <c r="DG63" s="4" t="e">
        <f t="shared" ca="1" si="136"/>
        <v>#NAME?</v>
      </c>
      <c r="DH63" s="4">
        <f t="shared" si="211"/>
        <v>0</v>
      </c>
      <c r="DI63" s="4"/>
      <c r="DJ63" s="4" t="e">
        <f t="shared" ca="1" si="212"/>
        <v>#NAME?</v>
      </c>
      <c r="DK63" s="4">
        <f t="shared" ca="1" si="213"/>
        <v>17000</v>
      </c>
      <c r="DL63" s="4">
        <f t="shared" ca="1" si="214"/>
        <v>17000</v>
      </c>
      <c r="DM63" s="4" t="e">
        <f t="shared" ca="1" si="215"/>
        <v>#NAME?</v>
      </c>
      <c r="DN63" s="4" t="e">
        <f t="shared" ca="1" si="216"/>
        <v>#NAME?</v>
      </c>
      <c r="DO63" s="4" t="e">
        <f t="shared" ca="1" si="50"/>
        <v>#NAME?</v>
      </c>
      <c r="DP63" s="4"/>
      <c r="DQ63" s="4" t="e">
        <f t="shared" ca="1" si="217"/>
        <v>#NAME?</v>
      </c>
      <c r="DR63" s="4"/>
      <c r="DS63" s="4">
        <f t="shared" si="137"/>
        <v>0</v>
      </c>
      <c r="DT63" s="4" t="e">
        <f t="shared" ca="1" si="282"/>
        <v>#NAME?</v>
      </c>
      <c r="DU63" s="4">
        <f t="shared" si="218"/>
        <v>0</v>
      </c>
      <c r="DV63" s="4"/>
      <c r="DW63" s="4" t="e">
        <f t="shared" ca="1" si="273"/>
        <v>#NAME?</v>
      </c>
      <c r="DX63" s="4" t="e">
        <f t="shared" ca="1" si="219"/>
        <v>#NAME?</v>
      </c>
      <c r="DY63" s="4" t="e">
        <f t="shared" ca="1" si="139"/>
        <v>#NAME?</v>
      </c>
      <c r="DZ63" s="4" t="e">
        <f t="shared" ca="1" si="220"/>
        <v>#NAME?</v>
      </c>
      <c r="EA63" s="4" t="e">
        <f t="shared" ca="1" si="221"/>
        <v>#NAME?</v>
      </c>
      <c r="EB63" s="4" t="e">
        <f t="shared" ca="1" si="222"/>
        <v>#NAME?</v>
      </c>
      <c r="EC63" s="4">
        <f t="shared" si="223"/>
        <v>2</v>
      </c>
      <c r="ED63" s="4"/>
      <c r="EE63" s="4" t="e">
        <f t="shared" ca="1" si="274"/>
        <v>#NAME?</v>
      </c>
      <c r="EF63" s="4">
        <f t="shared" si="224"/>
        <v>0</v>
      </c>
      <c r="EG63" s="4" t="e">
        <f t="shared" ca="1" si="141"/>
        <v>#NAME?</v>
      </c>
      <c r="EH63" s="4" t="e">
        <f t="shared" ca="1" si="225"/>
        <v>#NAME?</v>
      </c>
      <c r="EI63" s="4" t="e">
        <f t="shared" ca="1" si="226"/>
        <v>#NAME?</v>
      </c>
      <c r="EJ63" s="4" t="e">
        <f t="shared" ca="1" si="227"/>
        <v>#NAME?</v>
      </c>
      <c r="EK63" s="4">
        <f t="shared" si="228"/>
        <v>2</v>
      </c>
      <c r="EL63" s="4">
        <f t="shared" si="229"/>
        <v>0</v>
      </c>
      <c r="EM63" s="4"/>
      <c r="EN63" s="4" t="e">
        <f t="shared" ca="1" si="275"/>
        <v>#NAME?</v>
      </c>
      <c r="EO63" s="4" t="e">
        <f t="shared" ca="1" si="230"/>
        <v>#NAME?</v>
      </c>
      <c r="EP63" s="4" t="e">
        <f t="shared" ca="1" si="143"/>
        <v>#NAME?</v>
      </c>
      <c r="EQ63" s="4" t="e">
        <f t="shared" ca="1" si="231"/>
        <v>#NAME?</v>
      </c>
      <c r="ER63" s="4">
        <v>0</v>
      </c>
      <c r="ES63" s="4" t="e">
        <f t="shared" ca="1" si="144"/>
        <v>#NAME?</v>
      </c>
      <c r="ET63" s="4"/>
      <c r="EU63" s="4" t="e">
        <f t="shared" ca="1" si="276"/>
        <v>#NAME?</v>
      </c>
      <c r="EV63" s="4" t="e">
        <f t="shared" ca="1" si="232"/>
        <v>#NAME?</v>
      </c>
      <c r="EW63" s="4" t="e">
        <f t="shared" ca="1" si="146"/>
        <v>#NAME?</v>
      </c>
      <c r="EX63" s="4" t="e">
        <f t="shared" ca="1" si="233"/>
        <v>#NAME?</v>
      </c>
      <c r="EY63" s="4">
        <v>0</v>
      </c>
      <c r="EZ63" s="4" t="e">
        <f t="shared" ca="1" si="147"/>
        <v>#NAME?</v>
      </c>
      <c r="FA63" s="4" t="e">
        <f t="shared" ca="1" si="277"/>
        <v>#NAME?</v>
      </c>
      <c r="FB63" s="1" t="e">
        <f t="shared" ca="1" si="234"/>
        <v>#NAME?</v>
      </c>
      <c r="FC63" s="4" t="e">
        <f t="shared" ca="1" si="149"/>
        <v>#NAME?</v>
      </c>
      <c r="FD63" s="4" t="e">
        <f t="shared" ca="1" si="150"/>
        <v>#NAME?</v>
      </c>
      <c r="FE63" s="4" t="e">
        <f t="shared" ca="1" si="235"/>
        <v>#NAME?</v>
      </c>
      <c r="FF63" s="4" t="e">
        <f t="shared" ca="1" si="236"/>
        <v>#NAME?</v>
      </c>
      <c r="FG63" s="4" t="e">
        <f t="shared" ca="1" si="237"/>
        <v>#NAME?</v>
      </c>
      <c r="FH63" s="17" t="e">
        <f t="shared" ca="1" si="238"/>
        <v>#NAME?</v>
      </c>
      <c r="FI63" s="4" t="e">
        <f t="shared" ca="1" si="239"/>
        <v>#NAME?</v>
      </c>
      <c r="FJ63" s="4"/>
      <c r="FK63" s="4" t="e">
        <f t="shared" ca="1" si="240"/>
        <v>#NAME?</v>
      </c>
      <c r="FL63" s="4"/>
      <c r="FM63" s="4">
        <v>0</v>
      </c>
      <c r="FN63" s="4">
        <f t="shared" si="241"/>
        <v>0</v>
      </c>
      <c r="FO63" s="4">
        <f t="shared" si="242"/>
        <v>0</v>
      </c>
      <c r="FP63" s="4">
        <f t="shared" si="243"/>
        <v>0</v>
      </c>
      <c r="FQ63" s="4">
        <f t="shared" si="244"/>
        <v>0</v>
      </c>
      <c r="FR63" s="4">
        <f t="shared" si="245"/>
        <v>0</v>
      </c>
      <c r="FS63" s="4">
        <f t="shared" si="246"/>
        <v>8318.8346461816363</v>
      </c>
      <c r="FT63" s="4">
        <f t="shared" si="247"/>
        <v>0</v>
      </c>
      <c r="FU63" s="4"/>
      <c r="FV63" s="3">
        <f t="shared" si="248"/>
        <v>0.32990612701298672</v>
      </c>
      <c r="FW63" s="3">
        <f t="shared" si="249"/>
        <v>0.32990612701298672</v>
      </c>
      <c r="FX63" s="4">
        <f t="shared" si="151"/>
        <v>2073</v>
      </c>
      <c r="FY63" s="18">
        <f t="shared" si="250"/>
        <v>0</v>
      </c>
      <c r="FZ63" s="18">
        <f t="shared" si="251"/>
        <v>12.000000000000002</v>
      </c>
      <c r="GA63" s="18" t="e">
        <f t="shared" ca="1" si="252"/>
        <v>#NAME?</v>
      </c>
      <c r="GB63" s="18">
        <f t="shared" si="253"/>
        <v>8.2333035581497001</v>
      </c>
      <c r="GC63" s="18" t="e">
        <f t="shared" ca="1" si="254"/>
        <v>#NAME?</v>
      </c>
      <c r="GD63" s="18" t="e">
        <f t="shared" ca="1" si="255"/>
        <v>#NAME?</v>
      </c>
      <c r="GE63" s="18" t="e">
        <f t="shared" ca="1" si="256"/>
        <v>#NAME?</v>
      </c>
      <c r="GF63" s="18" t="e">
        <f t="shared" ca="1" si="257"/>
        <v>#NAME?</v>
      </c>
      <c r="GG63" s="18" t="e">
        <f t="shared" ca="1" si="258"/>
        <v>#NAME?</v>
      </c>
      <c r="GH63" s="18" t="e">
        <f t="shared" ca="1" si="259"/>
        <v>#NAME?</v>
      </c>
      <c r="GI63" s="4"/>
      <c r="GJ63" s="4">
        <f t="shared" si="260"/>
        <v>2073</v>
      </c>
      <c r="GK63" s="4" t="e">
        <f t="shared" ca="1" si="261"/>
        <v>#NAME?</v>
      </c>
      <c r="GL63" s="4" t="e">
        <f t="shared" ca="1" si="262"/>
        <v>#NAME?</v>
      </c>
      <c r="GM63" s="4" t="e">
        <f t="shared" ca="1" si="263"/>
        <v>#NAME?</v>
      </c>
      <c r="GN63" s="4" t="e">
        <f t="shared" ca="1" si="264"/>
        <v>#NAME?</v>
      </c>
      <c r="GO63" s="4"/>
      <c r="GP63" s="3" t="e">
        <f t="shared" ca="1" si="152"/>
        <v>#NAME?</v>
      </c>
      <c r="GQ63" s="3" t="e">
        <f t="shared" ca="1" si="265"/>
        <v>#NAME?</v>
      </c>
      <c r="GR63" s="3" t="e">
        <f t="shared" ca="1" si="266"/>
        <v>#NAME?</v>
      </c>
      <c r="GS63" s="3" t="e">
        <f t="shared" ca="1" si="267"/>
        <v>#NAME?</v>
      </c>
      <c r="GT63" s="3" t="e">
        <f t="array" aca="1" ref="GT63" ca="1">SUM(GP63:GS63*$GU$6:$GX$6)</f>
        <v>#NAME?</v>
      </c>
      <c r="GU63" s="3" t="e">
        <f t="shared" ca="1" si="155"/>
        <v>#NAME?</v>
      </c>
      <c r="GV63" s="3" t="e">
        <f t="shared" ca="1" si="156"/>
        <v>#NAME?</v>
      </c>
      <c r="GW63" s="3" t="e">
        <f t="shared" ca="1" si="157"/>
        <v>#NAME?</v>
      </c>
      <c r="GX63" s="3" t="e">
        <f t="shared" ca="1" si="158"/>
        <v>#NAME?</v>
      </c>
      <c r="GY63" s="11"/>
      <c r="HJ63">
        <f t="shared" si="159"/>
        <v>2066</v>
      </c>
      <c r="HK63" s="28">
        <f t="shared" si="164"/>
        <v>60100</v>
      </c>
      <c r="HL63" s="27">
        <f t="shared" si="162"/>
        <v>15000</v>
      </c>
      <c r="HM63" s="28">
        <f t="shared" si="163"/>
        <v>14803.73415990484</v>
      </c>
      <c r="HO63" t="s">
        <v>276</v>
      </c>
      <c r="HQ63" s="27">
        <v>74789</v>
      </c>
      <c r="HR63" s="4">
        <f>HQ63*(1+$B$15)^($B$7-$HP$26)</f>
        <v>74789</v>
      </c>
    </row>
    <row r="64" spans="1:241" x14ac:dyDescent="0.25">
      <c r="A64" s="15" t="s">
        <v>81</v>
      </c>
      <c r="D64">
        <f t="shared" si="107"/>
        <v>2074</v>
      </c>
      <c r="E64">
        <f t="shared" si="108"/>
        <v>79</v>
      </c>
      <c r="F64" s="8"/>
      <c r="G64" s="8"/>
      <c r="H64" s="8"/>
      <c r="I64" s="8"/>
      <c r="J64" s="92"/>
      <c r="K64" s="91"/>
      <c r="L64" s="91"/>
      <c r="N64" s="93">
        <f t="shared" si="109"/>
        <v>0.05</v>
      </c>
      <c r="O64" s="23">
        <f t="shared" si="110"/>
        <v>0.4</v>
      </c>
      <c r="P64" s="23">
        <f t="shared" si="111"/>
        <v>0.1</v>
      </c>
      <c r="Q64" s="4">
        <f t="shared" si="169"/>
        <v>0</v>
      </c>
      <c r="R64" s="4">
        <f t="shared" si="269"/>
        <v>0</v>
      </c>
      <c r="S64" s="4">
        <f t="shared" si="113"/>
        <v>0</v>
      </c>
      <c r="T64" s="4">
        <f t="shared" ca="1" si="114"/>
        <v>0</v>
      </c>
      <c r="V64" s="18" t="e">
        <f t="shared" ca="1" si="170"/>
        <v>#NAME?</v>
      </c>
      <c r="W64" s="18" t="e">
        <f t="shared" ca="1" si="171"/>
        <v>#NAME?</v>
      </c>
      <c r="X64" s="18" t="e">
        <f t="shared" ca="1" si="172"/>
        <v>#NAME?</v>
      </c>
      <c r="Y64" s="18" t="e">
        <f t="shared" ca="1" si="173"/>
        <v>#NAME?</v>
      </c>
      <c r="Z64" s="18" t="e">
        <f t="shared" ca="1" si="174"/>
        <v>#NAME?</v>
      </c>
      <c r="AA64" s="18" t="e">
        <f t="shared" ca="1" si="175"/>
        <v>#NAME?</v>
      </c>
      <c r="AB64" s="18" t="e">
        <f t="shared" ca="1" si="176"/>
        <v>#NAME?</v>
      </c>
      <c r="AC64" s="18" t="e">
        <f t="shared" ca="1" si="177"/>
        <v>#NAME?</v>
      </c>
      <c r="AD64" s="18" t="e">
        <f t="shared" ca="1" si="178"/>
        <v>#NAME?</v>
      </c>
      <c r="AE64" s="18" t="e">
        <f t="shared" ca="1" si="179"/>
        <v>#NAME?</v>
      </c>
      <c r="AF64" s="18" t="e">
        <f t="shared" ca="1" si="180"/>
        <v>#NAME?</v>
      </c>
      <c r="AG64" s="18" t="e">
        <f t="shared" ca="1" si="181"/>
        <v>#NAME?</v>
      </c>
      <c r="AI64">
        <f>Person2!E64</f>
        <v>79</v>
      </c>
      <c r="AJ64">
        <f>Person2!AZ64</f>
        <v>2</v>
      </c>
      <c r="AK64">
        <f>IF($AZ64&lt;&gt;3,Person2!FM64,0)</f>
        <v>0</v>
      </c>
      <c r="AL64" s="4">
        <f>IF($AZ64&lt;&gt;3,Person2!FN64+Person2!FT64,0)</f>
        <v>0</v>
      </c>
      <c r="AM64">
        <f>IF($AZ64&lt;&gt;3,Person2!FO64,0)</f>
        <v>0</v>
      </c>
      <c r="AN64">
        <f>IF($AZ64&lt;&gt;3,Person2!FP64,0)</f>
        <v>0</v>
      </c>
      <c r="AO64">
        <f>IF($AZ64&lt;&gt;3,Person2!FQ64,0)</f>
        <v>0</v>
      </c>
      <c r="AP64">
        <f>IF($AZ64&lt;&gt;3,Person2!FR64,0)</f>
        <v>0</v>
      </c>
      <c r="AQ64">
        <v>0</v>
      </c>
      <c r="AR64" s="4">
        <f>Person2!FS64</f>
        <v>0</v>
      </c>
      <c r="AS64" s="4">
        <v>0</v>
      </c>
      <c r="AT64" s="4">
        <v>0</v>
      </c>
      <c r="AV64">
        <f t="shared" si="270"/>
        <v>2074</v>
      </c>
      <c r="AW64">
        <f t="shared" si="271"/>
        <v>79</v>
      </c>
      <c r="AX64">
        <f t="shared" si="272"/>
        <v>3.0917885922132262</v>
      </c>
      <c r="AY64">
        <f t="shared" si="118"/>
        <v>0.3234373794244968</v>
      </c>
      <c r="AZ64">
        <f t="shared" si="119"/>
        <v>2</v>
      </c>
      <c r="BB64" s="4">
        <f t="shared" si="182"/>
        <v>0</v>
      </c>
      <c r="BC64">
        <f t="shared" si="183"/>
        <v>0</v>
      </c>
      <c r="BD64" s="4">
        <f t="shared" si="184"/>
        <v>37101.463106558716</v>
      </c>
      <c r="BE64" s="4" t="e">
        <f t="shared" ca="1" si="120"/>
        <v>#NAME?</v>
      </c>
      <c r="BF64" s="4">
        <f t="shared" si="121"/>
        <v>24672.079144562362</v>
      </c>
      <c r="BG64" s="4">
        <f t="shared" si="122"/>
        <v>0</v>
      </c>
      <c r="BH64" s="4">
        <f t="shared" si="185"/>
        <v>0</v>
      </c>
      <c r="BI64" s="4" t="e">
        <f t="shared" ca="1" si="123"/>
        <v>#NAME?</v>
      </c>
      <c r="BJ64" s="4"/>
      <c r="BK64" s="4">
        <f t="shared" si="186"/>
        <v>154589.42961066132</v>
      </c>
      <c r="BL64" s="4">
        <f t="shared" si="124"/>
        <v>0</v>
      </c>
      <c r="BM64" s="4">
        <f t="shared" si="125"/>
        <v>154589.42961066132</v>
      </c>
      <c r="BN64" s="4">
        <v>23841.274761180117</v>
      </c>
      <c r="BO64" s="4">
        <f t="shared" si="126"/>
        <v>178430.70437184145</v>
      </c>
      <c r="BP64" s="4" t="e">
        <f t="shared" ca="1" si="127"/>
        <v>#NAME?</v>
      </c>
      <c r="BQ64" s="4"/>
      <c r="BR64" s="4">
        <v>0</v>
      </c>
      <c r="BS64" s="4" t="e">
        <f t="shared" ca="1" si="187"/>
        <v>#NAME?</v>
      </c>
      <c r="BT64" s="4" t="e">
        <f t="shared" ca="1" si="188"/>
        <v>#NAME?</v>
      </c>
      <c r="BU64" s="4" t="e">
        <f t="shared" ca="1" si="189"/>
        <v>#NAME?</v>
      </c>
      <c r="BV64" s="4">
        <f t="shared" si="190"/>
        <v>1</v>
      </c>
      <c r="BW64" s="4" t="e">
        <f t="shared" ca="1" si="191"/>
        <v>#NAME?</v>
      </c>
      <c r="BX64" s="4" t="e">
        <f t="shared" ca="1" si="192"/>
        <v>#NAME?</v>
      </c>
      <c r="BY64" s="4" t="e">
        <f t="shared" ca="1" si="193"/>
        <v>#NAME?</v>
      </c>
      <c r="BZ64" s="4" t="e">
        <f t="shared" ca="1" si="194"/>
        <v>#NAME?</v>
      </c>
      <c r="CA64" s="4" t="e">
        <f t="shared" ca="1" si="26"/>
        <v>#NAME?</v>
      </c>
      <c r="CB64" s="4" t="e">
        <f t="shared" ca="1" si="160"/>
        <v>#NAME?</v>
      </c>
      <c r="CC64" s="4"/>
      <c r="CD64" s="4" t="e">
        <f t="shared" ca="1" si="195"/>
        <v>#NAME?</v>
      </c>
      <c r="CE64" s="4" t="e">
        <f t="shared" ca="1" si="128"/>
        <v>#NAME?</v>
      </c>
      <c r="CF64" s="16" t="e">
        <f t="shared" ca="1" si="196"/>
        <v>#NAME?</v>
      </c>
      <c r="CG64" s="4">
        <f t="shared" si="129"/>
        <v>0</v>
      </c>
      <c r="CH64" s="4" t="e">
        <f t="shared" ca="1" si="197"/>
        <v>#NAME?</v>
      </c>
      <c r="CI64" s="4" t="e">
        <f t="shared" ca="1" si="198"/>
        <v>#NAME?</v>
      </c>
      <c r="CJ64" s="4" t="e">
        <f t="shared" ca="1" si="130"/>
        <v>#NAME?</v>
      </c>
      <c r="CK64" s="4" t="e">
        <f t="shared" ca="1" si="31"/>
        <v>#NAME?</v>
      </c>
      <c r="CL64" s="4" t="e">
        <f t="shared" ca="1" si="199"/>
        <v>#NAME?</v>
      </c>
      <c r="CM64" s="16"/>
      <c r="CN64" s="4" t="e">
        <f t="shared" ca="1" si="200"/>
        <v>#NAME?</v>
      </c>
      <c r="CO64" s="4" t="e">
        <f t="shared" ca="1" si="201"/>
        <v>#NAME?</v>
      </c>
      <c r="CP64" s="4" t="e">
        <f t="shared" ca="1" si="279"/>
        <v>#NAME?</v>
      </c>
      <c r="CQ64" s="4"/>
      <c r="CR64" s="4" t="e">
        <f t="shared" ca="1" si="202"/>
        <v>#NAME?</v>
      </c>
      <c r="CS64" s="4">
        <f t="shared" ca="1" si="203"/>
        <v>70410</v>
      </c>
      <c r="CT64" s="4">
        <f t="shared" ca="1" si="204"/>
        <v>0</v>
      </c>
      <c r="CU64" s="4"/>
      <c r="CV64" s="4" t="e">
        <f t="shared" ca="1" si="132"/>
        <v>#NAME?</v>
      </c>
      <c r="CW64" s="4">
        <f t="shared" ca="1" si="205"/>
        <v>0</v>
      </c>
      <c r="CX64" s="4">
        <f t="shared" si="206"/>
        <v>0</v>
      </c>
      <c r="CY64" s="4" t="e">
        <f t="shared" ca="1" si="133"/>
        <v>#NAME?</v>
      </c>
      <c r="CZ64" s="4"/>
      <c r="DA64" s="4" t="e">
        <f t="shared" ca="1" si="207"/>
        <v>#NAME?</v>
      </c>
      <c r="DB64" s="4">
        <f t="shared" si="208"/>
        <v>0</v>
      </c>
      <c r="DC64" s="4">
        <f t="shared" si="134"/>
        <v>0</v>
      </c>
      <c r="DD64" s="4">
        <f t="shared" si="209"/>
        <v>0</v>
      </c>
      <c r="DE64" s="4" t="e">
        <f t="shared" ca="1" si="210"/>
        <v>#NAME?</v>
      </c>
      <c r="DF64" s="4" t="e">
        <f t="shared" ca="1" si="135"/>
        <v>#NAME?</v>
      </c>
      <c r="DG64" s="4" t="e">
        <f t="shared" ca="1" si="136"/>
        <v>#NAME?</v>
      </c>
      <c r="DH64" s="4">
        <f t="shared" si="211"/>
        <v>0</v>
      </c>
      <c r="DI64" s="4"/>
      <c r="DJ64" s="4" t="e">
        <f t="shared" ca="1" si="212"/>
        <v>#NAME?</v>
      </c>
      <c r="DK64" s="4">
        <f t="shared" ca="1" si="213"/>
        <v>17500</v>
      </c>
      <c r="DL64" s="4">
        <f t="shared" ca="1" si="214"/>
        <v>17500</v>
      </c>
      <c r="DM64" s="4" t="e">
        <f t="shared" ca="1" si="215"/>
        <v>#NAME?</v>
      </c>
      <c r="DN64" s="4" t="e">
        <f t="shared" ca="1" si="216"/>
        <v>#NAME?</v>
      </c>
      <c r="DO64" s="4" t="e">
        <f t="shared" ca="1" si="50"/>
        <v>#NAME?</v>
      </c>
      <c r="DP64" s="4"/>
      <c r="DQ64" s="4" t="e">
        <f t="shared" ca="1" si="217"/>
        <v>#NAME?</v>
      </c>
      <c r="DR64" s="4"/>
      <c r="DS64" s="4">
        <f t="shared" si="137"/>
        <v>0</v>
      </c>
      <c r="DT64" s="4" t="e">
        <f t="shared" ca="1" si="282"/>
        <v>#NAME?</v>
      </c>
      <c r="DU64" s="4">
        <f t="shared" si="218"/>
        <v>0</v>
      </c>
      <c r="DV64" s="4"/>
      <c r="DW64" s="4" t="e">
        <f t="shared" ca="1" si="273"/>
        <v>#NAME?</v>
      </c>
      <c r="DX64" s="4" t="e">
        <f t="shared" ca="1" si="219"/>
        <v>#NAME?</v>
      </c>
      <c r="DY64" s="4" t="e">
        <f t="shared" ca="1" si="139"/>
        <v>#NAME?</v>
      </c>
      <c r="DZ64" s="4" t="e">
        <f t="shared" ca="1" si="220"/>
        <v>#NAME?</v>
      </c>
      <c r="EA64" s="4" t="e">
        <f t="shared" ca="1" si="221"/>
        <v>#NAME?</v>
      </c>
      <c r="EB64" s="4" t="e">
        <f t="shared" ca="1" si="222"/>
        <v>#NAME?</v>
      </c>
      <c r="EC64" s="4">
        <f t="shared" si="223"/>
        <v>2</v>
      </c>
      <c r="ED64" s="4"/>
      <c r="EE64" s="4" t="e">
        <f t="shared" ca="1" si="274"/>
        <v>#NAME?</v>
      </c>
      <c r="EF64" s="4">
        <f t="shared" si="224"/>
        <v>0</v>
      </c>
      <c r="EG64" s="4" t="e">
        <f t="shared" ca="1" si="141"/>
        <v>#NAME?</v>
      </c>
      <c r="EH64" s="4" t="e">
        <f t="shared" ca="1" si="225"/>
        <v>#NAME?</v>
      </c>
      <c r="EI64" s="4" t="e">
        <f t="shared" ca="1" si="226"/>
        <v>#NAME?</v>
      </c>
      <c r="EJ64" s="4" t="e">
        <f t="shared" ca="1" si="227"/>
        <v>#NAME?</v>
      </c>
      <c r="EK64" s="4">
        <f t="shared" si="228"/>
        <v>2</v>
      </c>
      <c r="EL64" s="4">
        <f t="shared" si="229"/>
        <v>0</v>
      </c>
      <c r="EM64" s="4"/>
      <c r="EN64" s="4" t="e">
        <f t="shared" ca="1" si="275"/>
        <v>#NAME?</v>
      </c>
      <c r="EO64" s="4" t="e">
        <f t="shared" ca="1" si="230"/>
        <v>#NAME?</v>
      </c>
      <c r="EP64" s="4" t="e">
        <f t="shared" ca="1" si="143"/>
        <v>#NAME?</v>
      </c>
      <c r="EQ64" s="4" t="e">
        <f t="shared" ca="1" si="231"/>
        <v>#NAME?</v>
      </c>
      <c r="ER64" s="4">
        <v>0</v>
      </c>
      <c r="ES64" s="4" t="e">
        <f t="shared" ca="1" si="144"/>
        <v>#NAME?</v>
      </c>
      <c r="ET64" s="4"/>
      <c r="EU64" s="4" t="e">
        <f t="shared" ca="1" si="276"/>
        <v>#NAME?</v>
      </c>
      <c r="EV64" s="4" t="e">
        <f t="shared" ca="1" si="232"/>
        <v>#NAME?</v>
      </c>
      <c r="EW64" s="4" t="e">
        <f t="shared" ca="1" si="146"/>
        <v>#NAME?</v>
      </c>
      <c r="EX64" s="4" t="e">
        <f t="shared" ca="1" si="233"/>
        <v>#NAME?</v>
      </c>
      <c r="EY64" s="4">
        <v>0</v>
      </c>
      <c r="EZ64" s="4" t="e">
        <f t="shared" ca="1" si="147"/>
        <v>#NAME?</v>
      </c>
      <c r="FA64" s="4" t="e">
        <f t="shared" ca="1" si="277"/>
        <v>#NAME?</v>
      </c>
      <c r="FB64" s="1" t="e">
        <f t="shared" ca="1" si="234"/>
        <v>#NAME?</v>
      </c>
      <c r="FC64" s="4" t="e">
        <f t="shared" ca="1" si="149"/>
        <v>#NAME?</v>
      </c>
      <c r="FD64" s="4" t="e">
        <f t="shared" ca="1" si="150"/>
        <v>#NAME?</v>
      </c>
      <c r="FE64" s="4" t="e">
        <f t="shared" ca="1" si="235"/>
        <v>#NAME?</v>
      </c>
      <c r="FF64" s="4" t="e">
        <f t="shared" ca="1" si="236"/>
        <v>#NAME?</v>
      </c>
      <c r="FG64" s="4" t="e">
        <f t="shared" ca="1" si="237"/>
        <v>#NAME?</v>
      </c>
      <c r="FH64" s="17" t="e">
        <f t="shared" ca="1" si="238"/>
        <v>#NAME?</v>
      </c>
      <c r="FI64" s="4" t="e">
        <f t="shared" ca="1" si="239"/>
        <v>#NAME?</v>
      </c>
      <c r="FJ64" s="4"/>
      <c r="FK64" s="4" t="e">
        <f t="shared" ca="1" si="240"/>
        <v>#NAME?</v>
      </c>
      <c r="FL64" s="4"/>
      <c r="FM64" s="4">
        <v>0</v>
      </c>
      <c r="FN64" s="4">
        <f t="shared" si="241"/>
        <v>0</v>
      </c>
      <c r="FO64" s="4">
        <f t="shared" si="242"/>
        <v>0</v>
      </c>
      <c r="FP64" s="4">
        <f t="shared" si="243"/>
        <v>0</v>
      </c>
      <c r="FQ64" s="4">
        <f t="shared" si="244"/>
        <v>0</v>
      </c>
      <c r="FR64" s="4">
        <f t="shared" si="245"/>
        <v>0</v>
      </c>
      <c r="FS64" s="4">
        <f t="shared" si="246"/>
        <v>8224.0263815207873</v>
      </c>
      <c r="FT64" s="4">
        <f t="shared" si="247"/>
        <v>0</v>
      </c>
      <c r="FU64" s="4"/>
      <c r="FV64" s="3">
        <f t="shared" si="248"/>
        <v>0.3234373794244968</v>
      </c>
      <c r="FW64" s="3">
        <f t="shared" si="249"/>
        <v>0.3234373794244968</v>
      </c>
      <c r="FX64" s="4">
        <f t="shared" si="151"/>
        <v>2074</v>
      </c>
      <c r="FY64" s="18">
        <f t="shared" si="250"/>
        <v>0</v>
      </c>
      <c r="FZ64" s="18">
        <f t="shared" si="251"/>
        <v>12.000000000000002</v>
      </c>
      <c r="GA64" s="18" t="e">
        <f t="shared" ca="1" si="252"/>
        <v>#NAME?</v>
      </c>
      <c r="GB64" s="18">
        <f t="shared" si="253"/>
        <v>7.9798726234710315</v>
      </c>
      <c r="GC64" s="18" t="e">
        <f t="shared" ca="1" si="254"/>
        <v>#NAME?</v>
      </c>
      <c r="GD64" s="18" t="e">
        <f t="shared" ca="1" si="255"/>
        <v>#NAME?</v>
      </c>
      <c r="GE64" s="18" t="e">
        <f t="shared" ca="1" si="256"/>
        <v>#NAME?</v>
      </c>
      <c r="GF64" s="18" t="e">
        <f t="shared" ca="1" si="257"/>
        <v>#NAME?</v>
      </c>
      <c r="GG64" s="18" t="e">
        <f t="shared" ca="1" si="258"/>
        <v>#NAME?</v>
      </c>
      <c r="GH64" s="18" t="e">
        <f t="shared" ca="1" si="259"/>
        <v>#NAME?</v>
      </c>
      <c r="GI64" s="4"/>
      <c r="GJ64" s="4">
        <f t="shared" si="260"/>
        <v>2074</v>
      </c>
      <c r="GK64" s="4" t="e">
        <f t="shared" ca="1" si="261"/>
        <v>#NAME?</v>
      </c>
      <c r="GL64" s="4" t="e">
        <f t="shared" ca="1" si="262"/>
        <v>#NAME?</v>
      </c>
      <c r="GM64" s="4" t="e">
        <f t="shared" ca="1" si="263"/>
        <v>#NAME?</v>
      </c>
      <c r="GN64" s="4" t="e">
        <f t="shared" ca="1" si="264"/>
        <v>#NAME?</v>
      </c>
      <c r="GO64" s="4"/>
      <c r="GP64" s="3" t="e">
        <f t="shared" ca="1" si="152"/>
        <v>#NAME?</v>
      </c>
      <c r="GQ64" s="3" t="e">
        <f t="shared" ca="1" si="265"/>
        <v>#NAME?</v>
      </c>
      <c r="GR64" s="3" t="e">
        <f t="shared" ca="1" si="266"/>
        <v>#NAME?</v>
      </c>
      <c r="GS64" s="3" t="e">
        <f t="shared" ca="1" si="267"/>
        <v>#NAME?</v>
      </c>
      <c r="GT64" s="3" t="e">
        <f t="array" aca="1" ref="GT64" ca="1">SUM(GP64:GS64*$GU$6:$GX$6)</f>
        <v>#NAME?</v>
      </c>
      <c r="GU64" s="3" t="e">
        <f t="shared" ca="1" si="155"/>
        <v>#NAME?</v>
      </c>
      <c r="GV64" s="3" t="e">
        <f t="shared" ca="1" si="156"/>
        <v>#NAME?</v>
      </c>
      <c r="GW64" s="3" t="e">
        <f t="shared" ca="1" si="157"/>
        <v>#NAME?</v>
      </c>
      <c r="GX64" s="3" t="e">
        <f t="shared" ca="1" si="158"/>
        <v>#NAME?</v>
      </c>
      <c r="GY64" s="11"/>
      <c r="HJ64">
        <f t="shared" si="159"/>
        <v>2067</v>
      </c>
      <c r="HK64" s="28">
        <f t="shared" si="164"/>
        <v>61300</v>
      </c>
      <c r="HL64" s="27">
        <f t="shared" si="162"/>
        <v>15000</v>
      </c>
      <c r="HM64" s="28">
        <f t="shared" si="163"/>
        <v>15099.808843102937</v>
      </c>
      <c r="HO64" t="s">
        <v>277</v>
      </c>
      <c r="HQ64" s="27">
        <v>0.15</v>
      </c>
    </row>
    <row r="65" spans="1:226" x14ac:dyDescent="0.25">
      <c r="A65" t="s">
        <v>8</v>
      </c>
      <c r="B65" s="62">
        <f>Inputs_Summary!AJ62</f>
        <v>1</v>
      </c>
      <c r="D65">
        <f t="shared" si="107"/>
        <v>2075</v>
      </c>
      <c r="E65">
        <f t="shared" si="108"/>
        <v>80</v>
      </c>
      <c r="F65" s="8"/>
      <c r="G65" s="8"/>
      <c r="H65" s="8"/>
      <c r="I65" s="8"/>
      <c r="J65" s="92"/>
      <c r="K65" s="91"/>
      <c r="L65" s="91"/>
      <c r="N65" s="93">
        <f t="shared" si="109"/>
        <v>0.05</v>
      </c>
      <c r="O65" s="23">
        <f t="shared" si="110"/>
        <v>0.4</v>
      </c>
      <c r="P65" s="23">
        <f t="shared" si="111"/>
        <v>0.1</v>
      </c>
      <c r="Q65" s="4">
        <f t="shared" si="169"/>
        <v>0</v>
      </c>
      <c r="R65" s="4">
        <f t="shared" si="269"/>
        <v>0</v>
      </c>
      <c r="S65" s="4">
        <f t="shared" si="113"/>
        <v>0</v>
      </c>
      <c r="T65" s="4">
        <f t="shared" ca="1" si="114"/>
        <v>0</v>
      </c>
      <c r="V65" s="18" t="e">
        <f t="shared" ca="1" si="170"/>
        <v>#NAME?</v>
      </c>
      <c r="W65" s="18" t="e">
        <f t="shared" ca="1" si="171"/>
        <v>#NAME?</v>
      </c>
      <c r="X65" s="18">
        <f t="shared" si="172"/>
        <v>0</v>
      </c>
      <c r="Y65" s="18" t="e">
        <f t="shared" ca="1" si="173"/>
        <v>#NAME?</v>
      </c>
      <c r="Z65" s="18" t="e">
        <f t="shared" ca="1" si="174"/>
        <v>#NAME?</v>
      </c>
      <c r="AA65" s="18" t="e">
        <f t="shared" ca="1" si="175"/>
        <v>#NAME?</v>
      </c>
      <c r="AB65" s="18" t="e">
        <f t="shared" ca="1" si="176"/>
        <v>#NAME?</v>
      </c>
      <c r="AC65" s="18" t="e">
        <f t="shared" ca="1" si="177"/>
        <v>#NAME?</v>
      </c>
      <c r="AD65" s="18" t="e">
        <f t="shared" ca="1" si="178"/>
        <v>#NAME?</v>
      </c>
      <c r="AE65" s="18" t="e">
        <f t="shared" ca="1" si="179"/>
        <v>#NAME?</v>
      </c>
      <c r="AF65" s="18" t="e">
        <f t="shared" ca="1" si="180"/>
        <v>#NAME?</v>
      </c>
      <c r="AG65" s="18" t="e">
        <f t="shared" ca="1" si="181"/>
        <v>#NAME?</v>
      </c>
      <c r="AI65">
        <f>Person2!E65</f>
        <v>80</v>
      </c>
      <c r="AJ65">
        <f>Person2!AZ65</f>
        <v>2</v>
      </c>
      <c r="AK65">
        <f>IF($AZ65&lt;&gt;3,Person2!FM65,0)</f>
        <v>0</v>
      </c>
      <c r="AL65" s="4">
        <f>IF($AZ65&lt;&gt;3,Person2!FN65+Person2!FT65,0)</f>
        <v>0</v>
      </c>
      <c r="AM65">
        <f>IF($AZ65&lt;&gt;3,Person2!FO65,0)</f>
        <v>0</v>
      </c>
      <c r="AN65">
        <f>IF($AZ65&lt;&gt;3,Person2!FP65,0)</f>
        <v>0</v>
      </c>
      <c r="AO65">
        <f>IF($AZ65&lt;&gt;3,Person2!FQ65,0)</f>
        <v>0</v>
      </c>
      <c r="AP65">
        <f>IF($AZ65&lt;&gt;3,Person2!FR65,0)</f>
        <v>0</v>
      </c>
      <c r="AQ65">
        <v>0</v>
      </c>
      <c r="AR65" s="4">
        <f>Person2!FS65</f>
        <v>0</v>
      </c>
      <c r="AS65" s="4">
        <v>0</v>
      </c>
      <c r="AT65" s="4">
        <v>0</v>
      </c>
      <c r="AV65">
        <f t="shared" si="270"/>
        <v>2075</v>
      </c>
      <c r="AW65">
        <f t="shared" si="271"/>
        <v>80</v>
      </c>
      <c r="AX65">
        <f t="shared" si="272"/>
        <v>3.1536243640574906</v>
      </c>
      <c r="AY65">
        <f t="shared" si="118"/>
        <v>0.31709547002401645</v>
      </c>
      <c r="AZ65">
        <f t="shared" si="119"/>
        <v>4</v>
      </c>
      <c r="BB65" s="4">
        <f t="shared" si="182"/>
        <v>0</v>
      </c>
      <c r="BC65">
        <f t="shared" si="183"/>
        <v>0</v>
      </c>
      <c r="BD65" s="4">
        <f t="shared" si="184"/>
        <v>0</v>
      </c>
      <c r="BE65" s="4">
        <f t="shared" si="120"/>
        <v>0</v>
      </c>
      <c r="BF65" s="4">
        <f t="shared" si="121"/>
        <v>0</v>
      </c>
      <c r="BG65" s="4">
        <f t="shared" si="122"/>
        <v>0</v>
      </c>
      <c r="BH65" s="4">
        <f t="shared" si="185"/>
        <v>0</v>
      </c>
      <c r="BI65" s="4">
        <f t="shared" si="123"/>
        <v>0</v>
      </c>
      <c r="BJ65" s="4"/>
      <c r="BK65" s="4">
        <f t="shared" si="186"/>
        <v>0</v>
      </c>
      <c r="BL65" s="4">
        <f t="shared" si="124"/>
        <v>0</v>
      </c>
      <c r="BM65" s="4">
        <f t="shared" si="125"/>
        <v>0</v>
      </c>
      <c r="BN65" s="4">
        <v>0</v>
      </c>
      <c r="BO65" s="4">
        <f t="shared" si="126"/>
        <v>0</v>
      </c>
      <c r="BP65" s="4">
        <f t="shared" si="127"/>
        <v>0</v>
      </c>
      <c r="BQ65" s="4"/>
      <c r="BR65" s="4">
        <v>0</v>
      </c>
      <c r="BS65" s="4" t="e">
        <f t="shared" ca="1" si="187"/>
        <v>#NAME?</v>
      </c>
      <c r="BT65" s="4">
        <f t="shared" si="188"/>
        <v>0</v>
      </c>
      <c r="BU65" s="4">
        <f t="shared" si="189"/>
        <v>0</v>
      </c>
      <c r="BV65" s="4">
        <f t="shared" si="190"/>
        <v>0</v>
      </c>
      <c r="BW65" s="4" t="e">
        <f t="shared" ca="1" si="191"/>
        <v>#NAME?</v>
      </c>
      <c r="BX65" s="4" t="e">
        <f t="shared" ca="1" si="192"/>
        <v>#NAME?</v>
      </c>
      <c r="BY65" s="4" t="e">
        <f t="shared" ca="1" si="193"/>
        <v>#NAME?</v>
      </c>
      <c r="BZ65" s="4" t="e">
        <f t="shared" ca="1" si="194"/>
        <v>#NAME?</v>
      </c>
      <c r="CA65" s="4" t="e">
        <f t="shared" ca="1" si="26"/>
        <v>#NAME?</v>
      </c>
      <c r="CB65" s="4" t="e">
        <f t="shared" ca="1" si="160"/>
        <v>#NAME?</v>
      </c>
      <c r="CC65" s="4"/>
      <c r="CD65" s="4" t="e">
        <f t="shared" ca="1" si="195"/>
        <v>#NAME?</v>
      </c>
      <c r="CE65" s="4" t="e">
        <f t="shared" ca="1" si="128"/>
        <v>#NAME?</v>
      </c>
      <c r="CF65" s="16" t="e">
        <f t="shared" ca="1" si="196"/>
        <v>#NAME?</v>
      </c>
      <c r="CG65" s="4">
        <f t="shared" si="129"/>
        <v>0</v>
      </c>
      <c r="CH65" s="4" t="e">
        <f t="shared" ca="1" si="197"/>
        <v>#NAME?</v>
      </c>
      <c r="CI65" s="4" t="e">
        <f t="shared" ca="1" si="198"/>
        <v>#NAME?</v>
      </c>
      <c r="CJ65" s="4" t="e">
        <f t="shared" ca="1" si="130"/>
        <v>#NAME?</v>
      </c>
      <c r="CK65" s="4" t="e">
        <f t="shared" ca="1" si="31"/>
        <v>#NAME?</v>
      </c>
      <c r="CL65" s="4" t="e">
        <f t="shared" ca="1" si="199"/>
        <v>#NAME?</v>
      </c>
      <c r="CM65" s="16"/>
      <c r="CN65" s="4">
        <f t="shared" si="200"/>
        <v>0</v>
      </c>
      <c r="CO65" s="4">
        <f t="shared" si="201"/>
        <v>0</v>
      </c>
      <c r="CP65" s="4" t="e">
        <f t="shared" ca="1" si="279"/>
        <v>#NAME?</v>
      </c>
      <c r="CQ65" s="4"/>
      <c r="CR65" s="4" t="e">
        <f t="shared" ca="1" si="202"/>
        <v>#NAME?</v>
      </c>
      <c r="CS65" s="4">
        <f t="shared" ca="1" si="203"/>
        <v>71820</v>
      </c>
      <c r="CT65" s="4">
        <f t="shared" ca="1" si="204"/>
        <v>0</v>
      </c>
      <c r="CU65" s="4"/>
      <c r="CV65" s="4" t="e">
        <f t="shared" ca="1" si="132"/>
        <v>#NAME?</v>
      </c>
      <c r="CW65" s="4">
        <f t="shared" ca="1" si="205"/>
        <v>0</v>
      </c>
      <c r="CX65" s="4">
        <f t="shared" si="206"/>
        <v>0</v>
      </c>
      <c r="CY65" s="4" t="e">
        <f t="shared" ca="1" si="133"/>
        <v>#NAME?</v>
      </c>
      <c r="CZ65" s="4"/>
      <c r="DA65" s="4" t="e">
        <f t="shared" ca="1" si="207"/>
        <v>#NAME?</v>
      </c>
      <c r="DB65" s="4">
        <f t="shared" si="208"/>
        <v>0</v>
      </c>
      <c r="DC65" s="4">
        <f t="shared" si="134"/>
        <v>0</v>
      </c>
      <c r="DD65" s="4">
        <f t="shared" si="209"/>
        <v>0</v>
      </c>
      <c r="DE65" s="4" t="e">
        <f t="shared" ca="1" si="210"/>
        <v>#NAME?</v>
      </c>
      <c r="DF65" s="4" t="e">
        <f t="shared" ca="1" si="135"/>
        <v>#NAME?</v>
      </c>
      <c r="DG65" s="4" t="e">
        <f t="shared" ca="1" si="136"/>
        <v>#NAME?</v>
      </c>
      <c r="DH65" s="4">
        <f t="shared" si="211"/>
        <v>0</v>
      </c>
      <c r="DI65" s="4"/>
      <c r="DJ65" s="4" t="e">
        <f t="shared" ca="1" si="212"/>
        <v>#NAME?</v>
      </c>
      <c r="DK65" s="4">
        <f t="shared" ca="1" si="213"/>
        <v>17500</v>
      </c>
      <c r="DL65" s="4">
        <f t="shared" ca="1" si="214"/>
        <v>17500</v>
      </c>
      <c r="DM65" s="4">
        <f t="shared" si="215"/>
        <v>0</v>
      </c>
      <c r="DN65" s="4" t="e">
        <f t="shared" ca="1" si="216"/>
        <v>#NAME?</v>
      </c>
      <c r="DO65" s="4" t="e">
        <f t="shared" ca="1" si="50"/>
        <v>#NAME?</v>
      </c>
      <c r="DP65" s="4"/>
      <c r="DQ65" s="4" t="e">
        <f t="shared" ca="1" si="217"/>
        <v>#NAME?</v>
      </c>
      <c r="DR65" s="4"/>
      <c r="DS65" s="4">
        <f t="shared" si="137"/>
        <v>0</v>
      </c>
      <c r="DT65" s="4">
        <f t="shared" si="282"/>
        <v>0</v>
      </c>
      <c r="DU65" s="4">
        <f t="shared" si="218"/>
        <v>0</v>
      </c>
      <c r="DV65" s="4"/>
      <c r="DW65" s="4" t="e">
        <f t="shared" ca="1" si="273"/>
        <v>#NAME?</v>
      </c>
      <c r="DX65" s="4" t="e">
        <f t="shared" ca="1" si="219"/>
        <v>#NAME?</v>
      </c>
      <c r="DY65" s="4">
        <f t="shared" si="139"/>
        <v>0</v>
      </c>
      <c r="DZ65" s="4" t="e">
        <f t="shared" ca="1" si="220"/>
        <v>#NAME?</v>
      </c>
      <c r="EA65" s="4" t="e">
        <f t="shared" ca="1" si="221"/>
        <v>#NAME?</v>
      </c>
      <c r="EB65" s="4" t="e">
        <f t="shared" ca="1" si="222"/>
        <v>#NAME?</v>
      </c>
      <c r="EC65" s="4">
        <f t="shared" si="223"/>
        <v>2</v>
      </c>
      <c r="ED65" s="4"/>
      <c r="EE65" s="4" t="e">
        <f t="shared" ca="1" si="274"/>
        <v>#NAME?</v>
      </c>
      <c r="EF65" s="4">
        <f t="shared" si="224"/>
        <v>0</v>
      </c>
      <c r="EG65" s="4">
        <f t="shared" si="141"/>
        <v>0</v>
      </c>
      <c r="EH65" s="4" t="e">
        <f t="shared" ca="1" si="225"/>
        <v>#NAME?</v>
      </c>
      <c r="EI65" s="4" t="e">
        <f t="shared" ca="1" si="226"/>
        <v>#NAME?</v>
      </c>
      <c r="EJ65" s="4" t="e">
        <f t="shared" ca="1" si="227"/>
        <v>#NAME?</v>
      </c>
      <c r="EK65" s="4">
        <f t="shared" si="228"/>
        <v>2</v>
      </c>
      <c r="EL65" s="4">
        <f t="shared" si="229"/>
        <v>0</v>
      </c>
      <c r="EM65" s="4"/>
      <c r="EN65" s="4" t="e">
        <f t="shared" ca="1" si="275"/>
        <v>#NAME?</v>
      </c>
      <c r="EO65" s="4" t="e">
        <f t="shared" ca="1" si="230"/>
        <v>#NAME?</v>
      </c>
      <c r="EP65" s="4">
        <f t="shared" si="143"/>
        <v>0</v>
      </c>
      <c r="EQ65" s="4" t="e">
        <f t="shared" ca="1" si="231"/>
        <v>#NAME?</v>
      </c>
      <c r="ER65" s="4">
        <v>0</v>
      </c>
      <c r="ES65" s="4" t="e">
        <f t="shared" ca="1" si="144"/>
        <v>#NAME?</v>
      </c>
      <c r="ET65" s="4"/>
      <c r="EU65" s="4" t="e">
        <f t="shared" ca="1" si="276"/>
        <v>#NAME?</v>
      </c>
      <c r="EV65" s="4" t="e">
        <f t="shared" ca="1" si="232"/>
        <v>#NAME?</v>
      </c>
      <c r="EW65" s="4">
        <f t="shared" si="146"/>
        <v>0</v>
      </c>
      <c r="EX65" s="4" t="e">
        <f t="shared" ca="1" si="233"/>
        <v>#NAME?</v>
      </c>
      <c r="EY65" s="4">
        <v>0</v>
      </c>
      <c r="EZ65" s="4" t="e">
        <f t="shared" ca="1" si="147"/>
        <v>#NAME?</v>
      </c>
      <c r="FA65" s="4" t="e">
        <f t="shared" ca="1" si="277"/>
        <v>#NAME?</v>
      </c>
      <c r="FB65" s="1" t="e">
        <f t="shared" ca="1" si="234"/>
        <v>#NAME?</v>
      </c>
      <c r="FC65" s="4">
        <f t="shared" si="149"/>
        <v>0</v>
      </c>
      <c r="FD65" s="4">
        <f t="shared" si="150"/>
        <v>0</v>
      </c>
      <c r="FE65" s="4">
        <f t="shared" si="235"/>
        <v>0</v>
      </c>
      <c r="FF65" s="4">
        <f t="shared" si="236"/>
        <v>0</v>
      </c>
      <c r="FG65" s="4">
        <f t="shared" ca="1" si="237"/>
        <v>0</v>
      </c>
      <c r="FH65" s="17" t="e">
        <f t="shared" ca="1" si="238"/>
        <v>#NAME?</v>
      </c>
      <c r="FI65" s="4" t="e">
        <f t="shared" ca="1" si="239"/>
        <v>#NAME?</v>
      </c>
      <c r="FJ65" s="4"/>
      <c r="FK65" s="4" t="e">
        <f t="shared" ca="1" si="240"/>
        <v>#NAME?</v>
      </c>
      <c r="FL65" s="4"/>
      <c r="FM65" s="4">
        <v>0</v>
      </c>
      <c r="FN65" s="4" t="e">
        <f t="shared" ca="1" si="241"/>
        <v>#NAME?</v>
      </c>
      <c r="FO65" s="4" t="e">
        <f t="shared" ca="1" si="242"/>
        <v>#NAME?</v>
      </c>
      <c r="FP65" s="4" t="e">
        <f t="shared" ca="1" si="243"/>
        <v>#NAME?</v>
      </c>
      <c r="FQ65" s="4" t="e">
        <f t="shared" ca="1" si="244"/>
        <v>#NAME?</v>
      </c>
      <c r="FR65" s="4" t="e">
        <f t="shared" ca="1" si="245"/>
        <v>#NAME?</v>
      </c>
      <c r="FS65" s="4">
        <f t="shared" si="246"/>
        <v>0</v>
      </c>
      <c r="FT65" s="4">
        <f t="shared" si="247"/>
        <v>0</v>
      </c>
      <c r="FU65" s="4"/>
      <c r="FV65" s="3">
        <f t="shared" si="248"/>
        <v>0</v>
      </c>
      <c r="FW65" s="3">
        <f t="shared" si="249"/>
        <v>0.31709547002401645</v>
      </c>
      <c r="FX65" s="4">
        <f t="shared" si="151"/>
        <v>2075</v>
      </c>
      <c r="FY65" s="18">
        <f t="shared" si="250"/>
        <v>0</v>
      </c>
      <c r="FZ65" s="18">
        <f t="shared" si="251"/>
        <v>0</v>
      </c>
      <c r="GA65" s="18">
        <f t="shared" si="252"/>
        <v>0</v>
      </c>
      <c r="GB65" s="18">
        <f t="shared" si="253"/>
        <v>0</v>
      </c>
      <c r="GC65" s="18" t="e">
        <f t="shared" ca="1" si="254"/>
        <v>#NAME?</v>
      </c>
      <c r="GD65" s="18" t="e">
        <f t="shared" ca="1" si="255"/>
        <v>#NAME?</v>
      </c>
      <c r="GE65" s="18" t="e">
        <f t="shared" ca="1" si="256"/>
        <v>#NAME?</v>
      </c>
      <c r="GF65" s="18" t="e">
        <f t="shared" ca="1" si="257"/>
        <v>#NAME?</v>
      </c>
      <c r="GG65" s="18" t="e">
        <f t="shared" ca="1" si="258"/>
        <v>#NAME?</v>
      </c>
      <c r="GH65" s="18" t="e">
        <f t="shared" ca="1" si="259"/>
        <v>#NAME?</v>
      </c>
      <c r="GI65" s="4"/>
      <c r="GJ65" s="4">
        <f t="shared" si="260"/>
        <v>2075</v>
      </c>
      <c r="GK65" s="4" t="e">
        <f t="shared" ca="1" si="261"/>
        <v>#NAME?</v>
      </c>
      <c r="GL65" s="4" t="e">
        <f t="shared" ca="1" si="262"/>
        <v>#NAME?</v>
      </c>
      <c r="GM65" s="4" t="e">
        <f t="shared" ca="1" si="263"/>
        <v>#NAME?</v>
      </c>
      <c r="GN65" s="4" t="e">
        <f t="shared" ca="1" si="264"/>
        <v>#NAME?</v>
      </c>
      <c r="GO65" s="4"/>
      <c r="GP65" s="3" t="e">
        <f t="shared" ca="1" si="152"/>
        <v>#NAME?</v>
      </c>
      <c r="GQ65" s="3" t="e">
        <f t="shared" ca="1" si="265"/>
        <v>#NAME?</v>
      </c>
      <c r="GR65" s="3" t="e">
        <f t="shared" ca="1" si="266"/>
        <v>#NAME?</v>
      </c>
      <c r="GS65" s="3" t="e">
        <f t="shared" ca="1" si="267"/>
        <v>#NAME?</v>
      </c>
      <c r="GT65" s="3" t="e">
        <f t="array" aca="1" ref="GT65" ca="1">SUM(GP65:GS65*$GU$6:$GX$6)</f>
        <v>#NAME?</v>
      </c>
      <c r="GU65" s="3" t="e">
        <f t="shared" ca="1" si="155"/>
        <v>#NAME?</v>
      </c>
      <c r="GV65" s="3" t="e">
        <f t="shared" ca="1" si="156"/>
        <v>#NAME?</v>
      </c>
      <c r="GW65" s="3" t="e">
        <f t="shared" ca="1" si="157"/>
        <v>#NAME?</v>
      </c>
      <c r="GX65" s="3" t="e">
        <f t="shared" ca="1" si="158"/>
        <v>#NAME?</v>
      </c>
      <c r="GY65" s="11"/>
      <c r="HJ65">
        <f t="shared" si="159"/>
        <v>2068</v>
      </c>
      <c r="HK65" s="28">
        <f t="shared" si="164"/>
        <v>62530</v>
      </c>
      <c r="HL65" s="27">
        <f t="shared" si="162"/>
        <v>15500</v>
      </c>
      <c r="HM65" s="28">
        <f t="shared" si="163"/>
        <v>15401.805019964997</v>
      </c>
    </row>
    <row r="66" spans="1:226" x14ac:dyDescent="0.25">
      <c r="A66" t="s">
        <v>61</v>
      </c>
      <c r="B66" s="62">
        <f>Inputs_Summary!AJ63</f>
        <v>1</v>
      </c>
      <c r="D66">
        <f t="shared" si="107"/>
        <v>2076</v>
      </c>
      <c r="E66">
        <f t="shared" si="108"/>
        <v>81</v>
      </c>
      <c r="F66" s="8"/>
      <c r="G66" s="8"/>
      <c r="H66" s="8"/>
      <c r="I66" s="8"/>
      <c r="J66" s="92"/>
      <c r="K66" s="91"/>
      <c r="L66" s="91"/>
      <c r="N66" s="93">
        <f t="shared" si="109"/>
        <v>0.05</v>
      </c>
      <c r="O66" s="23">
        <f t="shared" si="110"/>
        <v>0.4</v>
      </c>
      <c r="P66" s="23">
        <f t="shared" si="111"/>
        <v>0.1</v>
      </c>
      <c r="Q66" s="4">
        <f t="shared" si="169"/>
        <v>0</v>
      </c>
      <c r="R66" s="4">
        <f t="shared" si="269"/>
        <v>0</v>
      </c>
      <c r="S66" s="4">
        <f t="shared" si="113"/>
        <v>0</v>
      </c>
      <c r="T66" s="4">
        <f t="shared" ca="1" si="114"/>
        <v>0</v>
      </c>
      <c r="V66" s="18" t="e">
        <f t="shared" ca="1" si="170"/>
        <v>#NAME?</v>
      </c>
      <c r="W66" s="18" t="e">
        <f t="shared" ca="1" si="171"/>
        <v>#NAME?</v>
      </c>
      <c r="X66" s="18">
        <f t="shared" si="172"/>
        <v>0</v>
      </c>
      <c r="Y66" s="18" t="e">
        <f t="shared" ca="1" si="173"/>
        <v>#NAME?</v>
      </c>
      <c r="Z66" s="18" t="e">
        <f t="shared" ca="1" si="174"/>
        <v>#NAME?</v>
      </c>
      <c r="AA66" s="18" t="e">
        <f t="shared" ca="1" si="175"/>
        <v>#NAME?</v>
      </c>
      <c r="AB66" s="18" t="e">
        <f t="shared" ca="1" si="176"/>
        <v>#NAME?</v>
      </c>
      <c r="AC66" s="18" t="e">
        <f t="shared" ca="1" si="177"/>
        <v>#NAME?</v>
      </c>
      <c r="AD66" s="18" t="e">
        <f t="shared" ca="1" si="178"/>
        <v>#NAME?</v>
      </c>
      <c r="AE66" s="18" t="e">
        <f t="shared" ca="1" si="179"/>
        <v>#NAME?</v>
      </c>
      <c r="AF66" s="18" t="e">
        <f t="shared" ca="1" si="180"/>
        <v>#NAME?</v>
      </c>
      <c r="AG66" s="18" t="e">
        <f t="shared" ca="1" si="181"/>
        <v>#NAME?</v>
      </c>
      <c r="AI66">
        <f>Person2!E66</f>
        <v>81</v>
      </c>
      <c r="AJ66">
        <f>Person2!AZ66</f>
        <v>2</v>
      </c>
      <c r="AK66">
        <f>IF($AZ66&lt;&gt;3,Person2!FM66,0)</f>
        <v>0</v>
      </c>
      <c r="AL66" s="4">
        <f>IF($AZ66&lt;&gt;3,Person2!FN66+Person2!FT66,0)</f>
        <v>0</v>
      </c>
      <c r="AM66">
        <f>IF($AZ66&lt;&gt;3,Person2!FO66,0)</f>
        <v>0</v>
      </c>
      <c r="AN66">
        <f>IF($AZ66&lt;&gt;3,Person2!FP66,0)</f>
        <v>0</v>
      </c>
      <c r="AO66">
        <f>IF($AZ66&lt;&gt;3,Person2!FQ66,0)</f>
        <v>0</v>
      </c>
      <c r="AP66">
        <f>IF($AZ66&lt;&gt;3,Person2!FR66,0)</f>
        <v>0</v>
      </c>
      <c r="AQ66">
        <v>0</v>
      </c>
      <c r="AR66" s="4">
        <f>Person2!FS66</f>
        <v>0</v>
      </c>
      <c r="AS66" s="4">
        <v>0</v>
      </c>
      <c r="AT66" s="4">
        <v>0</v>
      </c>
      <c r="AV66">
        <f t="shared" si="270"/>
        <v>2076</v>
      </c>
      <c r="AW66">
        <f t="shared" si="271"/>
        <v>81</v>
      </c>
      <c r="AX66">
        <f t="shared" si="272"/>
        <v>3.2166968513386403</v>
      </c>
      <c r="AY66">
        <f t="shared" si="118"/>
        <v>0.31087791178825147</v>
      </c>
      <c r="AZ66">
        <f t="shared" si="119"/>
        <v>3</v>
      </c>
      <c r="BB66" s="4">
        <f t="shared" si="182"/>
        <v>0</v>
      </c>
      <c r="BC66">
        <f t="shared" si="183"/>
        <v>0</v>
      </c>
      <c r="BD66" s="4">
        <f t="shared" si="184"/>
        <v>0</v>
      </c>
      <c r="BE66" s="4">
        <f t="shared" si="120"/>
        <v>0</v>
      </c>
      <c r="BF66" s="4">
        <f t="shared" si="121"/>
        <v>0</v>
      </c>
      <c r="BG66" s="4">
        <f t="shared" si="122"/>
        <v>0</v>
      </c>
      <c r="BH66" s="4">
        <f t="shared" si="185"/>
        <v>0</v>
      </c>
      <c r="BI66" s="4">
        <f t="shared" si="123"/>
        <v>0</v>
      </c>
      <c r="BJ66" s="4"/>
      <c r="BK66" s="4">
        <f t="shared" si="186"/>
        <v>0</v>
      </c>
      <c r="BL66" s="4">
        <f t="shared" si="124"/>
        <v>0</v>
      </c>
      <c r="BM66" s="4">
        <f t="shared" si="125"/>
        <v>0</v>
      </c>
      <c r="BN66" s="4">
        <v>0</v>
      </c>
      <c r="BO66" s="4">
        <f t="shared" si="126"/>
        <v>0</v>
      </c>
      <c r="BP66" s="4">
        <f t="shared" si="127"/>
        <v>0</v>
      </c>
      <c r="BQ66" s="4"/>
      <c r="BR66" s="4">
        <v>0</v>
      </c>
      <c r="BS66" s="4" t="e">
        <f t="shared" ca="1" si="187"/>
        <v>#NAME?</v>
      </c>
      <c r="BT66" s="4">
        <f t="shared" si="188"/>
        <v>0</v>
      </c>
      <c r="BU66" s="4">
        <f t="shared" si="189"/>
        <v>0</v>
      </c>
      <c r="BV66" s="4">
        <f t="shared" si="190"/>
        <v>0</v>
      </c>
      <c r="BW66" s="4" t="e">
        <f t="shared" ca="1" si="191"/>
        <v>#NAME?</v>
      </c>
      <c r="BX66" s="4" t="e">
        <f t="shared" ca="1" si="192"/>
        <v>#NAME?</v>
      </c>
      <c r="BY66" s="4" t="e">
        <f t="shared" ca="1" si="193"/>
        <v>#NAME?</v>
      </c>
      <c r="BZ66" s="4" t="e">
        <f t="shared" ca="1" si="194"/>
        <v>#NAME?</v>
      </c>
      <c r="CA66" s="4" t="e">
        <f t="shared" ca="1" si="26"/>
        <v>#NAME?</v>
      </c>
      <c r="CB66" s="4" t="e">
        <f t="shared" ca="1" si="160"/>
        <v>#NAME?</v>
      </c>
      <c r="CC66" s="4"/>
      <c r="CD66" s="4" t="e">
        <f t="shared" ca="1" si="195"/>
        <v>#NAME?</v>
      </c>
      <c r="CE66" s="4">
        <f t="shared" si="128"/>
        <v>0</v>
      </c>
      <c r="CF66" s="16">
        <f t="shared" si="196"/>
        <v>1</v>
      </c>
      <c r="CG66" s="4">
        <f t="shared" si="129"/>
        <v>0</v>
      </c>
      <c r="CH66" s="4" t="e">
        <f t="shared" ca="1" si="197"/>
        <v>#NAME?</v>
      </c>
      <c r="CI66" s="4" t="e">
        <f t="shared" ca="1" si="198"/>
        <v>#NAME?</v>
      </c>
      <c r="CJ66" s="4" t="e">
        <f t="shared" ca="1" si="130"/>
        <v>#NAME?</v>
      </c>
      <c r="CK66" s="4" t="e">
        <f t="shared" ca="1" si="31"/>
        <v>#NAME?</v>
      </c>
      <c r="CL66" s="4" t="e">
        <f t="shared" ca="1" si="199"/>
        <v>#NAME?</v>
      </c>
      <c r="CM66" s="16"/>
      <c r="CN66" s="4">
        <f t="shared" si="200"/>
        <v>0</v>
      </c>
      <c r="CO66" s="4">
        <f t="shared" si="201"/>
        <v>0</v>
      </c>
      <c r="CP66" s="4" t="e">
        <f t="shared" ca="1" si="279"/>
        <v>#NAME?</v>
      </c>
      <c r="CQ66" s="4"/>
      <c r="CR66" s="4" t="e">
        <f t="shared" ca="1" si="202"/>
        <v>#NAME?</v>
      </c>
      <c r="CS66" s="4">
        <f t="shared" ca="1" si="203"/>
        <v>73260</v>
      </c>
      <c r="CT66" s="4">
        <f t="shared" ca="1" si="204"/>
        <v>0</v>
      </c>
      <c r="CU66" s="4"/>
      <c r="CV66" s="4" t="e">
        <f t="shared" ca="1" si="132"/>
        <v>#NAME?</v>
      </c>
      <c r="CW66" s="4">
        <f t="shared" ca="1" si="205"/>
        <v>0</v>
      </c>
      <c r="CX66" s="4">
        <f t="shared" si="206"/>
        <v>0</v>
      </c>
      <c r="CY66" s="4" t="e">
        <f t="shared" ca="1" si="133"/>
        <v>#NAME?</v>
      </c>
      <c r="CZ66" s="4"/>
      <c r="DA66" s="4" t="e">
        <f t="shared" ca="1" si="207"/>
        <v>#NAME?</v>
      </c>
      <c r="DB66" s="4">
        <f t="shared" si="208"/>
        <v>0</v>
      </c>
      <c r="DC66" s="4">
        <f t="shared" si="134"/>
        <v>0</v>
      </c>
      <c r="DD66" s="4">
        <f t="shared" si="209"/>
        <v>0</v>
      </c>
      <c r="DE66" s="4" t="e">
        <f t="shared" ca="1" si="210"/>
        <v>#NAME?</v>
      </c>
      <c r="DF66" s="4" t="e">
        <f t="shared" ca="1" si="135"/>
        <v>#NAME?</v>
      </c>
      <c r="DG66" s="4" t="e">
        <f t="shared" ca="1" si="136"/>
        <v>#NAME?</v>
      </c>
      <c r="DH66" s="4">
        <f t="shared" si="211"/>
        <v>0</v>
      </c>
      <c r="DI66" s="4"/>
      <c r="DJ66" s="4" t="e">
        <f t="shared" ca="1" si="212"/>
        <v>#NAME?</v>
      </c>
      <c r="DK66" s="4">
        <f t="shared" ca="1" si="213"/>
        <v>18000</v>
      </c>
      <c r="DL66" s="4">
        <f t="shared" ca="1" si="214"/>
        <v>18000</v>
      </c>
      <c r="DM66" s="4">
        <f t="shared" si="215"/>
        <v>0</v>
      </c>
      <c r="DN66" s="4" t="e">
        <f t="shared" ca="1" si="216"/>
        <v>#NAME?</v>
      </c>
      <c r="DO66" s="4" t="e">
        <f t="shared" ca="1" si="50"/>
        <v>#NAME?</v>
      </c>
      <c r="DP66" s="4"/>
      <c r="DQ66" s="4" t="e">
        <f t="shared" ca="1" si="217"/>
        <v>#NAME?</v>
      </c>
      <c r="DR66" s="4"/>
      <c r="DS66" s="4">
        <f t="shared" si="137"/>
        <v>0</v>
      </c>
      <c r="DT66" s="4">
        <f t="shared" si="282"/>
        <v>0</v>
      </c>
      <c r="DU66" s="4">
        <f t="shared" si="218"/>
        <v>0</v>
      </c>
      <c r="DV66" s="4"/>
      <c r="DW66" s="4" t="e">
        <f t="shared" ca="1" si="273"/>
        <v>#NAME?</v>
      </c>
      <c r="DX66" s="4" t="e">
        <f t="shared" ca="1" si="219"/>
        <v>#NAME?</v>
      </c>
      <c r="DY66" s="4">
        <f t="shared" si="139"/>
        <v>0</v>
      </c>
      <c r="DZ66" s="4" t="e">
        <f t="shared" ca="1" si="220"/>
        <v>#NAME?</v>
      </c>
      <c r="EA66" s="4" t="e">
        <f t="shared" ca="1" si="221"/>
        <v>#NAME?</v>
      </c>
      <c r="EB66" s="4" t="e">
        <f t="shared" ca="1" si="222"/>
        <v>#NAME?</v>
      </c>
      <c r="EC66" s="4">
        <f t="shared" si="223"/>
        <v>2</v>
      </c>
      <c r="ED66" s="4"/>
      <c r="EE66" s="4" t="e">
        <f t="shared" ca="1" si="274"/>
        <v>#NAME?</v>
      </c>
      <c r="EF66" s="4">
        <f t="shared" si="224"/>
        <v>0</v>
      </c>
      <c r="EG66" s="4">
        <f t="shared" si="141"/>
        <v>0</v>
      </c>
      <c r="EH66" s="4" t="e">
        <f t="shared" ca="1" si="225"/>
        <v>#NAME?</v>
      </c>
      <c r="EI66" s="4" t="e">
        <f t="shared" ca="1" si="226"/>
        <v>#NAME?</v>
      </c>
      <c r="EJ66" s="4" t="e">
        <f t="shared" ca="1" si="227"/>
        <v>#NAME?</v>
      </c>
      <c r="EK66" s="4">
        <f t="shared" si="228"/>
        <v>2</v>
      </c>
      <c r="EL66" s="4">
        <f t="shared" si="229"/>
        <v>0</v>
      </c>
      <c r="EM66" s="4"/>
      <c r="EN66" s="4" t="e">
        <f t="shared" ca="1" si="275"/>
        <v>#NAME?</v>
      </c>
      <c r="EO66" s="4" t="e">
        <f t="shared" ca="1" si="230"/>
        <v>#NAME?</v>
      </c>
      <c r="EP66" s="4">
        <f t="shared" si="143"/>
        <v>0</v>
      </c>
      <c r="EQ66" s="4" t="e">
        <f t="shared" ca="1" si="231"/>
        <v>#NAME?</v>
      </c>
      <c r="ER66" s="4">
        <v>0</v>
      </c>
      <c r="ES66" s="4" t="e">
        <f t="shared" ca="1" si="144"/>
        <v>#NAME?</v>
      </c>
      <c r="ET66" s="4"/>
      <c r="EU66" s="4" t="e">
        <f t="shared" ca="1" si="276"/>
        <v>#NAME?</v>
      </c>
      <c r="EV66" s="4" t="e">
        <f t="shared" ca="1" si="232"/>
        <v>#NAME?</v>
      </c>
      <c r="EW66" s="4">
        <f t="shared" si="146"/>
        <v>0</v>
      </c>
      <c r="EX66" s="4" t="e">
        <f t="shared" ca="1" si="233"/>
        <v>#NAME?</v>
      </c>
      <c r="EY66" s="4">
        <v>0</v>
      </c>
      <c r="EZ66" s="4" t="e">
        <f t="shared" ca="1" si="147"/>
        <v>#NAME?</v>
      </c>
      <c r="FA66" s="4" t="e">
        <f t="shared" ca="1" si="277"/>
        <v>#NAME?</v>
      </c>
      <c r="FB66" s="1" t="e">
        <f t="shared" ca="1" si="234"/>
        <v>#NAME?</v>
      </c>
      <c r="FC66" s="4">
        <f t="shared" si="149"/>
        <v>0</v>
      </c>
      <c r="FD66" s="4">
        <f t="shared" si="150"/>
        <v>0</v>
      </c>
      <c r="FE66" s="4">
        <f t="shared" si="235"/>
        <v>0</v>
      </c>
      <c r="FF66" s="4">
        <f t="shared" si="236"/>
        <v>0</v>
      </c>
      <c r="FG66" s="4">
        <f t="shared" ca="1" si="237"/>
        <v>0</v>
      </c>
      <c r="FH66" s="17" t="e">
        <f t="shared" ca="1" si="238"/>
        <v>#NAME?</v>
      </c>
      <c r="FI66" s="4" t="e">
        <f t="shared" ca="1" si="239"/>
        <v>#NAME?</v>
      </c>
      <c r="FJ66" s="4"/>
      <c r="FK66" s="4" t="e">
        <f t="shared" ca="1" si="240"/>
        <v>#NAME?</v>
      </c>
      <c r="FL66" s="4"/>
      <c r="FM66" s="4">
        <v>0</v>
      </c>
      <c r="FN66" s="4">
        <f t="shared" si="241"/>
        <v>0</v>
      </c>
      <c r="FO66" s="4">
        <f t="shared" si="242"/>
        <v>0</v>
      </c>
      <c r="FP66" s="4">
        <f t="shared" si="243"/>
        <v>0</v>
      </c>
      <c r="FQ66" s="4">
        <f t="shared" si="244"/>
        <v>0</v>
      </c>
      <c r="FR66" s="4">
        <f t="shared" si="245"/>
        <v>0</v>
      </c>
      <c r="FS66" s="4">
        <f t="shared" si="246"/>
        <v>0</v>
      </c>
      <c r="FT66" s="4">
        <f t="shared" si="247"/>
        <v>0</v>
      </c>
      <c r="FU66" s="4"/>
      <c r="FV66" s="3">
        <f t="shared" si="248"/>
        <v>0</v>
      </c>
      <c r="FW66" s="3">
        <f t="shared" si="249"/>
        <v>0</v>
      </c>
      <c r="FX66" s="4">
        <f t="shared" si="151"/>
        <v>2076</v>
      </c>
      <c r="FY66" s="18">
        <f t="shared" si="250"/>
        <v>0</v>
      </c>
      <c r="FZ66" s="18">
        <f t="shared" si="251"/>
        <v>0</v>
      </c>
      <c r="GA66" s="18">
        <f t="shared" si="252"/>
        <v>0</v>
      </c>
      <c r="GB66" s="18">
        <f t="shared" si="253"/>
        <v>0</v>
      </c>
      <c r="GC66" s="18" t="e">
        <f t="shared" ca="1" si="254"/>
        <v>#NAME?</v>
      </c>
      <c r="GD66" s="18" t="e">
        <f t="shared" ca="1" si="255"/>
        <v>#NAME?</v>
      </c>
      <c r="GE66" s="18" t="e">
        <f t="shared" ca="1" si="256"/>
        <v>#NAME?</v>
      </c>
      <c r="GF66" s="18" t="e">
        <f t="shared" ca="1" si="257"/>
        <v>#NAME?</v>
      </c>
      <c r="GG66" s="18" t="e">
        <f t="shared" ca="1" si="258"/>
        <v>#NAME?</v>
      </c>
      <c r="GH66" s="18" t="e">
        <f t="shared" ca="1" si="259"/>
        <v>#NAME?</v>
      </c>
      <c r="GI66" s="4"/>
      <c r="GJ66" s="4">
        <f t="shared" si="260"/>
        <v>2076</v>
      </c>
      <c r="GK66" s="4" t="e">
        <f t="shared" ca="1" si="261"/>
        <v>#NAME?</v>
      </c>
      <c r="GL66" s="4" t="e">
        <f t="shared" ca="1" si="262"/>
        <v>#NAME?</v>
      </c>
      <c r="GM66" s="4" t="e">
        <f t="shared" ca="1" si="263"/>
        <v>#NAME?</v>
      </c>
      <c r="GN66" s="4" t="e">
        <f t="shared" ca="1" si="264"/>
        <v>#NAME?</v>
      </c>
      <c r="GO66" s="4"/>
      <c r="GP66" s="3" t="e">
        <f t="shared" ca="1" si="152"/>
        <v>#NAME?</v>
      </c>
      <c r="GQ66" s="3" t="e">
        <f t="shared" ca="1" si="265"/>
        <v>#NAME?</v>
      </c>
      <c r="GR66" s="3" t="e">
        <f t="shared" ca="1" si="266"/>
        <v>#NAME?</v>
      </c>
      <c r="GS66" s="3" t="e">
        <f t="shared" ca="1" si="267"/>
        <v>#NAME?</v>
      </c>
      <c r="GT66" s="3" t="e">
        <f t="array" aca="1" ref="GT66" ca="1">SUM(GP66:GS66*$GU$6:$GX$6)</f>
        <v>#NAME?</v>
      </c>
      <c r="GU66" s="3" t="e">
        <f t="shared" ca="1" si="155"/>
        <v>#NAME?</v>
      </c>
      <c r="GV66" s="3" t="e">
        <f t="shared" ca="1" si="156"/>
        <v>#NAME?</v>
      </c>
      <c r="GW66" s="3" t="e">
        <f t="shared" ca="1" si="157"/>
        <v>#NAME?</v>
      </c>
      <c r="GX66" s="3" t="e">
        <f t="shared" ca="1" si="158"/>
        <v>#NAME?</v>
      </c>
      <c r="GY66" s="11"/>
      <c r="HJ66">
        <f t="shared" si="159"/>
        <v>2069</v>
      </c>
      <c r="HK66" s="28">
        <f t="shared" si="164"/>
        <v>63780</v>
      </c>
      <c r="HL66" s="27">
        <f t="shared" si="162"/>
        <v>15500</v>
      </c>
      <c r="HM66" s="28">
        <f t="shared" si="163"/>
        <v>15709.841120364297</v>
      </c>
      <c r="HO66" t="s">
        <v>301</v>
      </c>
      <c r="HQ66" s="66">
        <v>0.18</v>
      </c>
    </row>
    <row r="67" spans="1:226" x14ac:dyDescent="0.25">
      <c r="A67" t="s">
        <v>29</v>
      </c>
      <c r="B67" s="62">
        <f>Inputs_Summary!AJ64</f>
        <v>1</v>
      </c>
      <c r="D67">
        <f t="shared" si="107"/>
        <v>2077</v>
      </c>
      <c r="E67">
        <f t="shared" si="108"/>
        <v>82</v>
      </c>
      <c r="F67" s="8"/>
      <c r="G67" s="8"/>
      <c r="H67" s="8"/>
      <c r="I67" s="8"/>
      <c r="J67" s="92"/>
      <c r="K67" s="91"/>
      <c r="L67" s="91"/>
      <c r="N67" s="93">
        <f t="shared" si="109"/>
        <v>0.05</v>
      </c>
      <c r="O67" s="23">
        <f t="shared" si="110"/>
        <v>0.4</v>
      </c>
      <c r="P67" s="23">
        <f t="shared" si="111"/>
        <v>0.1</v>
      </c>
      <c r="Q67" s="4">
        <f t="shared" si="169"/>
        <v>0</v>
      </c>
      <c r="R67" s="4">
        <f t="shared" si="269"/>
        <v>0</v>
      </c>
      <c r="S67" s="4">
        <f t="shared" si="113"/>
        <v>0</v>
      </c>
      <c r="T67" s="4">
        <f t="shared" ca="1" si="114"/>
        <v>0</v>
      </c>
      <c r="V67" s="18" t="e">
        <f t="shared" ca="1" si="170"/>
        <v>#NAME?</v>
      </c>
      <c r="W67" s="18" t="e">
        <f t="shared" ca="1" si="171"/>
        <v>#NAME?</v>
      </c>
      <c r="X67" s="18">
        <f t="shared" si="172"/>
        <v>0</v>
      </c>
      <c r="Y67" s="18" t="e">
        <f t="shared" ca="1" si="173"/>
        <v>#NAME?</v>
      </c>
      <c r="Z67" s="18" t="e">
        <f t="shared" ca="1" si="174"/>
        <v>#NAME?</v>
      </c>
      <c r="AA67" s="18" t="e">
        <f t="shared" ca="1" si="175"/>
        <v>#NAME?</v>
      </c>
      <c r="AB67" s="18" t="e">
        <f t="shared" ca="1" si="176"/>
        <v>#NAME?</v>
      </c>
      <c r="AC67" s="18" t="e">
        <f t="shared" ca="1" si="177"/>
        <v>#NAME?</v>
      </c>
      <c r="AD67" s="18" t="e">
        <f t="shared" ca="1" si="178"/>
        <v>#NAME?</v>
      </c>
      <c r="AE67" s="18" t="e">
        <f t="shared" ca="1" si="179"/>
        <v>#NAME?</v>
      </c>
      <c r="AF67" s="18" t="e">
        <f t="shared" ca="1" si="180"/>
        <v>#NAME?</v>
      </c>
      <c r="AG67" s="18" t="e">
        <f t="shared" ca="1" si="181"/>
        <v>#NAME?</v>
      </c>
      <c r="AI67">
        <f>Person2!E67</f>
        <v>82</v>
      </c>
      <c r="AJ67">
        <f>Person2!AZ67</f>
        <v>2</v>
      </c>
      <c r="AK67">
        <f>IF($AZ67&lt;&gt;3,Person2!FM67,0)</f>
        <v>0</v>
      </c>
      <c r="AL67" s="4">
        <f>IF($AZ67&lt;&gt;3,Person2!FN67+Person2!FT67,0)</f>
        <v>0</v>
      </c>
      <c r="AM67">
        <f>IF($AZ67&lt;&gt;3,Person2!FO67,0)</f>
        <v>0</v>
      </c>
      <c r="AN67">
        <f>IF($AZ67&lt;&gt;3,Person2!FP67,0)</f>
        <v>0</v>
      </c>
      <c r="AO67">
        <f>IF($AZ67&lt;&gt;3,Person2!FQ67,0)</f>
        <v>0</v>
      </c>
      <c r="AP67">
        <f>IF($AZ67&lt;&gt;3,Person2!FR67,0)</f>
        <v>0</v>
      </c>
      <c r="AQ67">
        <v>0</v>
      </c>
      <c r="AR67" s="4">
        <f>Person2!FS67</f>
        <v>0</v>
      </c>
      <c r="AS67" s="4">
        <v>0</v>
      </c>
      <c r="AT67" s="4">
        <v>0</v>
      </c>
      <c r="AV67">
        <f t="shared" si="270"/>
        <v>2077</v>
      </c>
      <c r="AW67">
        <f t="shared" si="271"/>
        <v>82</v>
      </c>
      <c r="AX67">
        <f t="shared" si="272"/>
        <v>3.2810307883654133</v>
      </c>
      <c r="AY67">
        <f t="shared" si="118"/>
        <v>0.30478226645907003</v>
      </c>
      <c r="AZ67">
        <f t="shared" si="119"/>
        <v>3</v>
      </c>
      <c r="BB67" s="4">
        <f t="shared" si="182"/>
        <v>0</v>
      </c>
      <c r="BC67">
        <f t="shared" si="183"/>
        <v>0</v>
      </c>
      <c r="BD67" s="4">
        <f t="shared" si="184"/>
        <v>0</v>
      </c>
      <c r="BE67" s="4">
        <f t="shared" si="120"/>
        <v>0</v>
      </c>
      <c r="BF67" s="4">
        <f t="shared" si="121"/>
        <v>0</v>
      </c>
      <c r="BG67" s="4">
        <f t="shared" si="122"/>
        <v>0</v>
      </c>
      <c r="BH67" s="4">
        <f t="shared" si="185"/>
        <v>0</v>
      </c>
      <c r="BI67" s="4">
        <f t="shared" si="123"/>
        <v>0</v>
      </c>
      <c r="BJ67" s="4"/>
      <c r="BK67" s="4">
        <f t="shared" si="186"/>
        <v>0</v>
      </c>
      <c r="BL67" s="4">
        <f t="shared" si="124"/>
        <v>0</v>
      </c>
      <c r="BM67" s="4">
        <f t="shared" si="125"/>
        <v>0</v>
      </c>
      <c r="BN67" s="4">
        <v>0</v>
      </c>
      <c r="BO67" s="4">
        <f t="shared" si="126"/>
        <v>0</v>
      </c>
      <c r="BP67" s="4">
        <f t="shared" si="127"/>
        <v>0</v>
      </c>
      <c r="BQ67" s="4"/>
      <c r="BR67" s="4">
        <v>0</v>
      </c>
      <c r="BS67" s="4" t="e">
        <f t="shared" ca="1" si="187"/>
        <v>#NAME?</v>
      </c>
      <c r="BT67" s="4">
        <f t="shared" si="188"/>
        <v>0</v>
      </c>
      <c r="BU67" s="4">
        <f t="shared" si="189"/>
        <v>0</v>
      </c>
      <c r="BV67" s="4">
        <f t="shared" si="190"/>
        <v>0</v>
      </c>
      <c r="BW67" s="4" t="e">
        <f t="shared" ca="1" si="191"/>
        <v>#NAME?</v>
      </c>
      <c r="BX67" s="4" t="e">
        <f t="shared" ca="1" si="192"/>
        <v>#NAME?</v>
      </c>
      <c r="BY67" s="4" t="e">
        <f t="shared" ca="1" si="193"/>
        <v>#NAME?</v>
      </c>
      <c r="BZ67" s="4" t="e">
        <f t="shared" ca="1" si="194"/>
        <v>#NAME?</v>
      </c>
      <c r="CA67" s="4" t="e">
        <f t="shared" ca="1" si="26"/>
        <v>#NAME?</v>
      </c>
      <c r="CB67" s="4" t="e">
        <f t="shared" ca="1" si="160"/>
        <v>#NAME?</v>
      </c>
      <c r="CC67" s="4"/>
      <c r="CD67" s="4" t="e">
        <f t="shared" ca="1" si="195"/>
        <v>#NAME?</v>
      </c>
      <c r="CE67" s="4">
        <f t="shared" si="128"/>
        <v>0</v>
      </c>
      <c r="CF67" s="16">
        <f t="shared" si="196"/>
        <v>1</v>
      </c>
      <c r="CG67" s="4">
        <f t="shared" si="129"/>
        <v>0</v>
      </c>
      <c r="CH67" s="4" t="e">
        <f t="shared" ca="1" si="197"/>
        <v>#NAME?</v>
      </c>
      <c r="CI67" s="4" t="e">
        <f t="shared" ca="1" si="198"/>
        <v>#NAME?</v>
      </c>
      <c r="CJ67" s="4" t="e">
        <f t="shared" ca="1" si="130"/>
        <v>#NAME?</v>
      </c>
      <c r="CK67" s="4" t="e">
        <f t="shared" ca="1" si="31"/>
        <v>#NAME?</v>
      </c>
      <c r="CL67" s="4" t="e">
        <f t="shared" ca="1" si="199"/>
        <v>#NAME?</v>
      </c>
      <c r="CM67" s="16"/>
      <c r="CN67" s="4">
        <f t="shared" si="200"/>
        <v>0</v>
      </c>
      <c r="CO67" s="4">
        <f t="shared" si="201"/>
        <v>0</v>
      </c>
      <c r="CP67" s="4" t="e">
        <f t="shared" ca="1" si="279"/>
        <v>#NAME?</v>
      </c>
      <c r="CQ67" s="4"/>
      <c r="CR67" s="4" t="e">
        <f t="shared" ca="1" si="202"/>
        <v>#NAME?</v>
      </c>
      <c r="CS67" s="4">
        <f t="shared" ca="1" si="203"/>
        <v>74720</v>
      </c>
      <c r="CT67" s="4">
        <f t="shared" ca="1" si="204"/>
        <v>0</v>
      </c>
      <c r="CU67" s="4"/>
      <c r="CV67" s="4" t="e">
        <f t="shared" ca="1" si="132"/>
        <v>#NAME?</v>
      </c>
      <c r="CW67" s="4">
        <f t="shared" ca="1" si="205"/>
        <v>0</v>
      </c>
      <c r="CX67" s="4">
        <f t="shared" si="206"/>
        <v>0</v>
      </c>
      <c r="CY67" s="4" t="e">
        <f t="shared" ca="1" si="133"/>
        <v>#NAME?</v>
      </c>
      <c r="CZ67" s="4"/>
      <c r="DA67" s="4" t="e">
        <f t="shared" ca="1" si="207"/>
        <v>#NAME?</v>
      </c>
      <c r="DB67" s="4">
        <f t="shared" si="208"/>
        <v>0</v>
      </c>
      <c r="DC67" s="4">
        <f t="shared" si="134"/>
        <v>0</v>
      </c>
      <c r="DD67" s="4">
        <f t="shared" si="209"/>
        <v>0</v>
      </c>
      <c r="DE67" s="4" t="e">
        <f t="shared" ca="1" si="210"/>
        <v>#NAME?</v>
      </c>
      <c r="DF67" s="4" t="e">
        <f t="shared" ca="1" si="135"/>
        <v>#NAME?</v>
      </c>
      <c r="DG67" s="4" t="e">
        <f t="shared" ca="1" si="136"/>
        <v>#NAME?</v>
      </c>
      <c r="DH67" s="4">
        <f t="shared" si="211"/>
        <v>0</v>
      </c>
      <c r="DI67" s="4"/>
      <c r="DJ67" s="4" t="e">
        <f t="shared" ca="1" si="212"/>
        <v>#NAME?</v>
      </c>
      <c r="DK67" s="4">
        <f t="shared" ca="1" si="213"/>
        <v>18500</v>
      </c>
      <c r="DL67" s="4">
        <f t="shared" ca="1" si="214"/>
        <v>18500</v>
      </c>
      <c r="DM67" s="4">
        <f t="shared" si="215"/>
        <v>0</v>
      </c>
      <c r="DN67" s="4" t="e">
        <f t="shared" ca="1" si="216"/>
        <v>#NAME?</v>
      </c>
      <c r="DO67" s="4" t="e">
        <f t="shared" ca="1" si="50"/>
        <v>#NAME?</v>
      </c>
      <c r="DP67" s="4"/>
      <c r="DQ67" s="4" t="e">
        <f t="shared" ca="1" si="217"/>
        <v>#NAME?</v>
      </c>
      <c r="DR67" s="4"/>
      <c r="DS67" s="4">
        <f t="shared" si="137"/>
        <v>0</v>
      </c>
      <c r="DT67" s="4">
        <f t="shared" si="282"/>
        <v>0</v>
      </c>
      <c r="DU67" s="4">
        <f t="shared" si="218"/>
        <v>0</v>
      </c>
      <c r="DV67" s="4"/>
      <c r="DW67" s="4" t="e">
        <f t="shared" ca="1" si="273"/>
        <v>#NAME?</v>
      </c>
      <c r="DX67" s="4" t="e">
        <f t="shared" ca="1" si="219"/>
        <v>#NAME?</v>
      </c>
      <c r="DY67" s="4">
        <f t="shared" si="139"/>
        <v>0</v>
      </c>
      <c r="DZ67" s="4" t="e">
        <f t="shared" ca="1" si="220"/>
        <v>#NAME?</v>
      </c>
      <c r="EA67" s="4" t="e">
        <f t="shared" ca="1" si="221"/>
        <v>#NAME?</v>
      </c>
      <c r="EB67" s="4" t="e">
        <f t="shared" ca="1" si="222"/>
        <v>#NAME?</v>
      </c>
      <c r="EC67" s="4">
        <f t="shared" si="223"/>
        <v>2</v>
      </c>
      <c r="ED67" s="4"/>
      <c r="EE67" s="4" t="e">
        <f t="shared" ca="1" si="274"/>
        <v>#NAME?</v>
      </c>
      <c r="EF67" s="4">
        <f t="shared" si="224"/>
        <v>0</v>
      </c>
      <c r="EG67" s="4">
        <f t="shared" si="141"/>
        <v>0</v>
      </c>
      <c r="EH67" s="4" t="e">
        <f t="shared" ca="1" si="225"/>
        <v>#NAME?</v>
      </c>
      <c r="EI67" s="4" t="e">
        <f t="shared" ca="1" si="226"/>
        <v>#NAME?</v>
      </c>
      <c r="EJ67" s="4" t="e">
        <f t="shared" ca="1" si="227"/>
        <v>#NAME?</v>
      </c>
      <c r="EK67" s="4">
        <f t="shared" si="228"/>
        <v>2</v>
      </c>
      <c r="EL67" s="4">
        <f t="shared" si="229"/>
        <v>0</v>
      </c>
      <c r="EM67" s="4"/>
      <c r="EN67" s="4" t="e">
        <f t="shared" ca="1" si="275"/>
        <v>#NAME?</v>
      </c>
      <c r="EO67" s="4" t="e">
        <f t="shared" ca="1" si="230"/>
        <v>#NAME?</v>
      </c>
      <c r="EP67" s="4">
        <f t="shared" si="143"/>
        <v>0</v>
      </c>
      <c r="EQ67" s="4" t="e">
        <f t="shared" ca="1" si="231"/>
        <v>#NAME?</v>
      </c>
      <c r="ER67" s="4">
        <v>0</v>
      </c>
      <c r="ES67" s="4" t="e">
        <f t="shared" ca="1" si="144"/>
        <v>#NAME?</v>
      </c>
      <c r="ET67" s="4"/>
      <c r="EU67" s="4" t="e">
        <f t="shared" ca="1" si="276"/>
        <v>#NAME?</v>
      </c>
      <c r="EV67" s="4" t="e">
        <f t="shared" ca="1" si="232"/>
        <v>#NAME?</v>
      </c>
      <c r="EW67" s="4">
        <f t="shared" si="146"/>
        <v>0</v>
      </c>
      <c r="EX67" s="4" t="e">
        <f t="shared" ca="1" si="233"/>
        <v>#NAME?</v>
      </c>
      <c r="EY67" s="4">
        <v>0</v>
      </c>
      <c r="EZ67" s="4" t="e">
        <f t="shared" ca="1" si="147"/>
        <v>#NAME?</v>
      </c>
      <c r="FA67" s="4" t="e">
        <f t="shared" ca="1" si="277"/>
        <v>#NAME?</v>
      </c>
      <c r="FB67" s="1" t="e">
        <f t="shared" ca="1" si="234"/>
        <v>#NAME?</v>
      </c>
      <c r="FC67" s="4">
        <f t="shared" si="149"/>
        <v>0</v>
      </c>
      <c r="FD67" s="4">
        <f t="shared" si="150"/>
        <v>0</v>
      </c>
      <c r="FE67" s="4">
        <f t="shared" si="235"/>
        <v>0</v>
      </c>
      <c r="FF67" s="4">
        <f t="shared" si="236"/>
        <v>0</v>
      </c>
      <c r="FG67" s="4">
        <f t="shared" ca="1" si="237"/>
        <v>0</v>
      </c>
      <c r="FH67" s="17" t="e">
        <f t="shared" ca="1" si="238"/>
        <v>#NAME?</v>
      </c>
      <c r="FI67" s="4" t="e">
        <f t="shared" ca="1" si="239"/>
        <v>#NAME?</v>
      </c>
      <c r="FJ67" s="4"/>
      <c r="FK67" s="4" t="e">
        <f t="shared" ca="1" si="240"/>
        <v>#NAME?</v>
      </c>
      <c r="FL67" s="4"/>
      <c r="FM67" s="4">
        <v>0</v>
      </c>
      <c r="FN67" s="4">
        <f t="shared" si="241"/>
        <v>0</v>
      </c>
      <c r="FO67" s="4">
        <f t="shared" si="242"/>
        <v>0</v>
      </c>
      <c r="FP67" s="4">
        <f t="shared" si="243"/>
        <v>0</v>
      </c>
      <c r="FQ67" s="4">
        <f t="shared" si="244"/>
        <v>0</v>
      </c>
      <c r="FR67" s="4">
        <f t="shared" si="245"/>
        <v>0</v>
      </c>
      <c r="FS67" s="4">
        <f t="shared" si="246"/>
        <v>0</v>
      </c>
      <c r="FT67" s="4">
        <f t="shared" si="247"/>
        <v>0</v>
      </c>
      <c r="FU67" s="4"/>
      <c r="FV67" s="3">
        <f t="shared" si="248"/>
        <v>0</v>
      </c>
      <c r="FW67" s="3">
        <f t="shared" si="249"/>
        <v>0</v>
      </c>
      <c r="FX67" s="4">
        <f t="shared" si="151"/>
        <v>2077</v>
      </c>
      <c r="FY67" s="18">
        <f t="shared" si="250"/>
        <v>0</v>
      </c>
      <c r="FZ67" s="18">
        <f t="shared" si="251"/>
        <v>0</v>
      </c>
      <c r="GA67" s="18">
        <f t="shared" si="252"/>
        <v>0</v>
      </c>
      <c r="GB67" s="18">
        <f t="shared" si="253"/>
        <v>0</v>
      </c>
      <c r="GC67" s="18" t="e">
        <f t="shared" ca="1" si="254"/>
        <v>#NAME?</v>
      </c>
      <c r="GD67" s="18" t="e">
        <f t="shared" ca="1" si="255"/>
        <v>#NAME?</v>
      </c>
      <c r="GE67" s="18" t="e">
        <f t="shared" ca="1" si="256"/>
        <v>#NAME?</v>
      </c>
      <c r="GF67" s="18" t="e">
        <f t="shared" ca="1" si="257"/>
        <v>#NAME?</v>
      </c>
      <c r="GG67" s="18" t="e">
        <f t="shared" ca="1" si="258"/>
        <v>#NAME?</v>
      </c>
      <c r="GH67" s="18" t="e">
        <f t="shared" ca="1" si="259"/>
        <v>#NAME?</v>
      </c>
      <c r="GI67" s="4"/>
      <c r="GJ67" s="4">
        <f t="shared" si="260"/>
        <v>2077</v>
      </c>
      <c r="GK67" s="4" t="e">
        <f t="shared" ca="1" si="261"/>
        <v>#NAME?</v>
      </c>
      <c r="GL67" s="4" t="e">
        <f t="shared" ca="1" si="262"/>
        <v>#NAME?</v>
      </c>
      <c r="GM67" s="4" t="e">
        <f t="shared" ca="1" si="263"/>
        <v>#NAME?</v>
      </c>
      <c r="GN67" s="4" t="e">
        <f t="shared" ca="1" si="264"/>
        <v>#NAME?</v>
      </c>
      <c r="GO67" s="4"/>
      <c r="GP67" s="3" t="e">
        <f t="shared" ca="1" si="152"/>
        <v>#NAME?</v>
      </c>
      <c r="GQ67" s="3" t="e">
        <f t="shared" ca="1" si="265"/>
        <v>#NAME?</v>
      </c>
      <c r="GR67" s="3" t="e">
        <f t="shared" ca="1" si="266"/>
        <v>#NAME?</v>
      </c>
      <c r="GS67" s="3" t="e">
        <f t="shared" ca="1" si="267"/>
        <v>#NAME?</v>
      </c>
      <c r="GT67" s="3" t="e">
        <f t="array" aca="1" ref="GT67" ca="1">SUM(GP67:GS67*$GU$6:$GX$6)</f>
        <v>#NAME?</v>
      </c>
      <c r="GU67" s="3" t="e">
        <f t="shared" ca="1" si="155"/>
        <v>#NAME?</v>
      </c>
      <c r="GV67" s="3" t="e">
        <f t="shared" ca="1" si="156"/>
        <v>#NAME?</v>
      </c>
      <c r="GW67" s="3" t="e">
        <f t="shared" ca="1" si="157"/>
        <v>#NAME?</v>
      </c>
      <c r="GX67" s="3" t="e">
        <f t="shared" ca="1" si="158"/>
        <v>#NAME?</v>
      </c>
      <c r="GY67" s="11"/>
      <c r="HJ67">
        <f t="shared" si="159"/>
        <v>2070</v>
      </c>
      <c r="HK67" s="28">
        <f t="shared" si="164"/>
        <v>65050</v>
      </c>
      <c r="HL67" s="27">
        <f t="shared" si="162"/>
        <v>16000</v>
      </c>
      <c r="HM67" s="28">
        <f t="shared" si="163"/>
        <v>16024.037942771583</v>
      </c>
    </row>
    <row r="68" spans="1:226" x14ac:dyDescent="0.25">
      <c r="A68" t="s">
        <v>39</v>
      </c>
      <c r="B68" s="62">
        <f>Inputs_Summary!AJ65</f>
        <v>1</v>
      </c>
      <c r="D68">
        <f t="shared" si="107"/>
        <v>2078</v>
      </c>
      <c r="E68">
        <f t="shared" si="108"/>
        <v>83</v>
      </c>
      <c r="F68" s="8"/>
      <c r="G68" s="8"/>
      <c r="H68" s="8"/>
      <c r="I68" s="8"/>
      <c r="J68" s="92"/>
      <c r="K68" s="91"/>
      <c r="L68" s="91"/>
      <c r="N68" s="93">
        <f t="shared" si="109"/>
        <v>0.05</v>
      </c>
      <c r="O68" s="23">
        <f t="shared" si="110"/>
        <v>0.4</v>
      </c>
      <c r="P68" s="23">
        <f t="shared" si="111"/>
        <v>0.1</v>
      </c>
      <c r="Q68" s="4">
        <f t="shared" si="169"/>
        <v>0</v>
      </c>
      <c r="R68" s="4">
        <f t="shared" si="269"/>
        <v>0</v>
      </c>
      <c r="S68" s="4">
        <f t="shared" si="113"/>
        <v>0</v>
      </c>
      <c r="T68" s="4">
        <f t="shared" ca="1" si="114"/>
        <v>0</v>
      </c>
      <c r="V68" s="18" t="e">
        <f t="shared" ca="1" si="170"/>
        <v>#NAME?</v>
      </c>
      <c r="W68" s="18" t="e">
        <f t="shared" ca="1" si="171"/>
        <v>#NAME?</v>
      </c>
      <c r="X68" s="18">
        <f t="shared" si="172"/>
        <v>0</v>
      </c>
      <c r="Y68" s="18" t="e">
        <f t="shared" ca="1" si="173"/>
        <v>#NAME?</v>
      </c>
      <c r="Z68" s="18" t="e">
        <f t="shared" ca="1" si="174"/>
        <v>#NAME?</v>
      </c>
      <c r="AA68" s="18" t="e">
        <f t="shared" ca="1" si="175"/>
        <v>#NAME?</v>
      </c>
      <c r="AB68" s="18" t="e">
        <f t="shared" ca="1" si="176"/>
        <v>#NAME?</v>
      </c>
      <c r="AC68" s="18" t="e">
        <f t="shared" ca="1" si="177"/>
        <v>#NAME?</v>
      </c>
      <c r="AD68" s="18" t="e">
        <f t="shared" ca="1" si="178"/>
        <v>#NAME?</v>
      </c>
      <c r="AE68" s="18" t="e">
        <f t="shared" ca="1" si="179"/>
        <v>#NAME?</v>
      </c>
      <c r="AF68" s="18" t="e">
        <f t="shared" ca="1" si="180"/>
        <v>#NAME?</v>
      </c>
      <c r="AG68" s="18" t="e">
        <f t="shared" ca="1" si="181"/>
        <v>#NAME?</v>
      </c>
      <c r="AI68">
        <f>Person2!E68</f>
        <v>83</v>
      </c>
      <c r="AJ68">
        <f>Person2!AZ68</f>
        <v>2</v>
      </c>
      <c r="AK68">
        <f>IF($AZ68&lt;&gt;3,Person2!FM68,0)</f>
        <v>0</v>
      </c>
      <c r="AL68" s="4">
        <f>IF($AZ68&lt;&gt;3,Person2!FN68+Person2!FT68,0)</f>
        <v>0</v>
      </c>
      <c r="AM68">
        <f>IF($AZ68&lt;&gt;3,Person2!FO68,0)</f>
        <v>0</v>
      </c>
      <c r="AN68">
        <f>IF($AZ68&lt;&gt;3,Person2!FP68,0)</f>
        <v>0</v>
      </c>
      <c r="AO68">
        <f>IF($AZ68&lt;&gt;3,Person2!FQ68,0)</f>
        <v>0</v>
      </c>
      <c r="AP68">
        <f>IF($AZ68&lt;&gt;3,Person2!FR68,0)</f>
        <v>0</v>
      </c>
      <c r="AQ68">
        <v>0</v>
      </c>
      <c r="AR68" s="4">
        <f>Person2!FS68</f>
        <v>0</v>
      </c>
      <c r="AS68" s="4">
        <v>0</v>
      </c>
      <c r="AT68" s="4">
        <v>0</v>
      </c>
      <c r="AV68">
        <f t="shared" si="270"/>
        <v>2078</v>
      </c>
      <c r="AW68">
        <f t="shared" si="271"/>
        <v>83</v>
      </c>
      <c r="AX68">
        <f t="shared" si="272"/>
        <v>3.3466514041327216</v>
      </c>
      <c r="AY68">
        <f t="shared" si="118"/>
        <v>0.29880614358732355</v>
      </c>
      <c r="AZ68">
        <f t="shared" si="119"/>
        <v>3</v>
      </c>
      <c r="BB68" s="4">
        <f t="shared" si="182"/>
        <v>0</v>
      </c>
      <c r="BC68">
        <f t="shared" si="183"/>
        <v>0</v>
      </c>
      <c r="BD68" s="4">
        <f t="shared" si="184"/>
        <v>0</v>
      </c>
      <c r="BE68" s="4">
        <f t="shared" si="120"/>
        <v>0</v>
      </c>
      <c r="BF68" s="4">
        <f t="shared" si="121"/>
        <v>0</v>
      </c>
      <c r="BG68" s="4">
        <f t="shared" si="122"/>
        <v>0</v>
      </c>
      <c r="BH68" s="4">
        <f t="shared" si="185"/>
        <v>0</v>
      </c>
      <c r="BI68" s="4">
        <f t="shared" si="123"/>
        <v>0</v>
      </c>
      <c r="BJ68" s="4"/>
      <c r="BK68" s="4">
        <f t="shared" si="186"/>
        <v>0</v>
      </c>
      <c r="BL68" s="4">
        <f t="shared" si="124"/>
        <v>0</v>
      </c>
      <c r="BM68" s="4">
        <f t="shared" si="125"/>
        <v>0</v>
      </c>
      <c r="BN68" s="4">
        <v>0</v>
      </c>
      <c r="BO68" s="4">
        <f t="shared" si="126"/>
        <v>0</v>
      </c>
      <c r="BP68" s="4">
        <f t="shared" si="127"/>
        <v>0</v>
      </c>
      <c r="BQ68" s="4"/>
      <c r="BR68" s="4">
        <v>0</v>
      </c>
      <c r="BS68" s="4" t="e">
        <f t="shared" ca="1" si="187"/>
        <v>#NAME?</v>
      </c>
      <c r="BT68" s="4">
        <f t="shared" si="188"/>
        <v>0</v>
      </c>
      <c r="BU68" s="4">
        <f t="shared" si="189"/>
        <v>0</v>
      </c>
      <c r="BV68" s="4">
        <f t="shared" si="190"/>
        <v>0</v>
      </c>
      <c r="BW68" s="4" t="e">
        <f t="shared" ca="1" si="191"/>
        <v>#NAME?</v>
      </c>
      <c r="BX68" s="4" t="e">
        <f t="shared" ca="1" si="192"/>
        <v>#NAME?</v>
      </c>
      <c r="BY68" s="4" t="e">
        <f t="shared" ca="1" si="193"/>
        <v>#NAME?</v>
      </c>
      <c r="BZ68" s="4" t="e">
        <f t="shared" ca="1" si="194"/>
        <v>#NAME?</v>
      </c>
      <c r="CA68" s="4" t="e">
        <f t="shared" ca="1" si="26"/>
        <v>#NAME?</v>
      </c>
      <c r="CB68" s="4" t="e">
        <f t="shared" ca="1" si="160"/>
        <v>#NAME?</v>
      </c>
      <c r="CC68" s="4"/>
      <c r="CD68" s="4" t="e">
        <f t="shared" ca="1" si="195"/>
        <v>#NAME?</v>
      </c>
      <c r="CE68" s="4">
        <f t="shared" si="128"/>
        <v>0</v>
      </c>
      <c r="CF68" s="16">
        <f t="shared" si="196"/>
        <v>1</v>
      </c>
      <c r="CG68" s="4">
        <f t="shared" si="129"/>
        <v>0</v>
      </c>
      <c r="CH68" s="4" t="e">
        <f t="shared" ca="1" si="197"/>
        <v>#NAME?</v>
      </c>
      <c r="CI68" s="4" t="e">
        <f t="shared" ca="1" si="198"/>
        <v>#NAME?</v>
      </c>
      <c r="CJ68" s="4" t="e">
        <f t="shared" ca="1" si="130"/>
        <v>#NAME?</v>
      </c>
      <c r="CK68" s="4" t="e">
        <f t="shared" ca="1" si="31"/>
        <v>#NAME?</v>
      </c>
      <c r="CL68" s="4" t="e">
        <f t="shared" ca="1" si="199"/>
        <v>#NAME?</v>
      </c>
      <c r="CM68" s="16"/>
      <c r="CN68" s="4">
        <f t="shared" si="200"/>
        <v>0</v>
      </c>
      <c r="CO68" s="4">
        <f t="shared" si="201"/>
        <v>0</v>
      </c>
      <c r="CP68" s="4" t="e">
        <f t="shared" ca="1" si="279"/>
        <v>#NAME?</v>
      </c>
      <c r="CQ68" s="4"/>
      <c r="CR68" s="4" t="e">
        <f t="shared" ca="1" si="202"/>
        <v>#NAME?</v>
      </c>
      <c r="CS68" s="4">
        <f t="shared" ca="1" si="203"/>
        <v>76220</v>
      </c>
      <c r="CT68" s="4">
        <f t="shared" ca="1" si="204"/>
        <v>0</v>
      </c>
      <c r="CU68" s="4"/>
      <c r="CV68" s="4" t="e">
        <f t="shared" ca="1" si="132"/>
        <v>#NAME?</v>
      </c>
      <c r="CW68" s="4">
        <f t="shared" ca="1" si="205"/>
        <v>0</v>
      </c>
      <c r="CX68" s="4">
        <f t="shared" si="206"/>
        <v>0</v>
      </c>
      <c r="CY68" s="4" t="e">
        <f t="shared" ca="1" si="133"/>
        <v>#NAME?</v>
      </c>
      <c r="CZ68" s="4"/>
      <c r="DA68" s="4" t="e">
        <f t="shared" ca="1" si="207"/>
        <v>#NAME?</v>
      </c>
      <c r="DB68" s="4">
        <f t="shared" si="208"/>
        <v>0</v>
      </c>
      <c r="DC68" s="4">
        <f t="shared" si="134"/>
        <v>0</v>
      </c>
      <c r="DD68" s="4">
        <f t="shared" si="209"/>
        <v>0</v>
      </c>
      <c r="DE68" s="4" t="e">
        <f t="shared" ca="1" si="210"/>
        <v>#NAME?</v>
      </c>
      <c r="DF68" s="4" t="e">
        <f t="shared" ca="1" si="135"/>
        <v>#NAME?</v>
      </c>
      <c r="DG68" s="4" t="e">
        <f t="shared" ca="1" si="136"/>
        <v>#NAME?</v>
      </c>
      <c r="DH68" s="4">
        <f t="shared" si="211"/>
        <v>0</v>
      </c>
      <c r="DI68" s="4"/>
      <c r="DJ68" s="4" t="e">
        <f t="shared" ca="1" si="212"/>
        <v>#NAME?</v>
      </c>
      <c r="DK68" s="4">
        <f t="shared" ca="1" si="213"/>
        <v>19000</v>
      </c>
      <c r="DL68" s="4">
        <f t="shared" ca="1" si="214"/>
        <v>19000</v>
      </c>
      <c r="DM68" s="4">
        <f t="shared" si="215"/>
        <v>0</v>
      </c>
      <c r="DN68" s="4" t="e">
        <f t="shared" ca="1" si="216"/>
        <v>#NAME?</v>
      </c>
      <c r="DO68" s="4" t="e">
        <f t="shared" ca="1" si="50"/>
        <v>#NAME?</v>
      </c>
      <c r="DP68" s="4"/>
      <c r="DQ68" s="4" t="e">
        <f t="shared" ca="1" si="217"/>
        <v>#NAME?</v>
      </c>
      <c r="DR68" s="4"/>
      <c r="DS68" s="4">
        <f t="shared" si="137"/>
        <v>0</v>
      </c>
      <c r="DT68" s="4">
        <f t="shared" si="282"/>
        <v>0</v>
      </c>
      <c r="DU68" s="4">
        <f t="shared" si="218"/>
        <v>0</v>
      </c>
      <c r="DV68" s="4"/>
      <c r="DW68" s="4" t="e">
        <f t="shared" ca="1" si="273"/>
        <v>#NAME?</v>
      </c>
      <c r="DX68" s="4" t="e">
        <f t="shared" ca="1" si="219"/>
        <v>#NAME?</v>
      </c>
      <c r="DY68" s="4">
        <f t="shared" si="139"/>
        <v>0</v>
      </c>
      <c r="DZ68" s="4" t="e">
        <f t="shared" ca="1" si="220"/>
        <v>#NAME?</v>
      </c>
      <c r="EA68" s="4" t="e">
        <f t="shared" ca="1" si="221"/>
        <v>#NAME?</v>
      </c>
      <c r="EB68" s="4" t="e">
        <f t="shared" ca="1" si="222"/>
        <v>#NAME?</v>
      </c>
      <c r="EC68" s="4">
        <f t="shared" si="223"/>
        <v>2</v>
      </c>
      <c r="ED68" s="4"/>
      <c r="EE68" s="4" t="e">
        <f t="shared" ca="1" si="274"/>
        <v>#NAME?</v>
      </c>
      <c r="EF68" s="4">
        <f t="shared" si="224"/>
        <v>0</v>
      </c>
      <c r="EG68" s="4">
        <f t="shared" si="141"/>
        <v>0</v>
      </c>
      <c r="EH68" s="4" t="e">
        <f t="shared" ca="1" si="225"/>
        <v>#NAME?</v>
      </c>
      <c r="EI68" s="4" t="e">
        <f t="shared" ca="1" si="226"/>
        <v>#NAME?</v>
      </c>
      <c r="EJ68" s="4" t="e">
        <f t="shared" ca="1" si="227"/>
        <v>#NAME?</v>
      </c>
      <c r="EK68" s="4">
        <f t="shared" si="228"/>
        <v>2</v>
      </c>
      <c r="EL68" s="4">
        <f t="shared" si="229"/>
        <v>0</v>
      </c>
      <c r="EM68" s="4"/>
      <c r="EN68" s="4" t="e">
        <f t="shared" ca="1" si="275"/>
        <v>#NAME?</v>
      </c>
      <c r="EO68" s="4" t="e">
        <f t="shared" ca="1" si="230"/>
        <v>#NAME?</v>
      </c>
      <c r="EP68" s="4">
        <f t="shared" si="143"/>
        <v>0</v>
      </c>
      <c r="EQ68" s="4" t="e">
        <f t="shared" ca="1" si="231"/>
        <v>#NAME?</v>
      </c>
      <c r="ER68" s="4">
        <v>0</v>
      </c>
      <c r="ES68" s="4" t="e">
        <f t="shared" ca="1" si="144"/>
        <v>#NAME?</v>
      </c>
      <c r="ET68" s="4"/>
      <c r="EU68" s="4" t="e">
        <f t="shared" ca="1" si="276"/>
        <v>#NAME?</v>
      </c>
      <c r="EV68" s="4" t="e">
        <f t="shared" ca="1" si="232"/>
        <v>#NAME?</v>
      </c>
      <c r="EW68" s="4">
        <f t="shared" si="146"/>
        <v>0</v>
      </c>
      <c r="EX68" s="4" t="e">
        <f t="shared" ca="1" si="233"/>
        <v>#NAME?</v>
      </c>
      <c r="EY68" s="4">
        <v>0</v>
      </c>
      <c r="EZ68" s="4" t="e">
        <f t="shared" ca="1" si="147"/>
        <v>#NAME?</v>
      </c>
      <c r="FA68" s="4" t="e">
        <f t="shared" ca="1" si="277"/>
        <v>#NAME?</v>
      </c>
      <c r="FB68" s="1" t="e">
        <f t="shared" ca="1" si="234"/>
        <v>#NAME?</v>
      </c>
      <c r="FC68" s="4">
        <f t="shared" si="149"/>
        <v>0</v>
      </c>
      <c r="FD68" s="4">
        <f t="shared" si="150"/>
        <v>0</v>
      </c>
      <c r="FE68" s="4">
        <f t="shared" si="235"/>
        <v>0</v>
      </c>
      <c r="FF68" s="4">
        <f t="shared" si="236"/>
        <v>0</v>
      </c>
      <c r="FG68" s="4">
        <f t="shared" ca="1" si="237"/>
        <v>0</v>
      </c>
      <c r="FH68" s="17" t="e">
        <f t="shared" ca="1" si="238"/>
        <v>#NAME?</v>
      </c>
      <c r="FI68" s="4" t="e">
        <f t="shared" ca="1" si="239"/>
        <v>#NAME?</v>
      </c>
      <c r="FJ68" s="4"/>
      <c r="FK68" s="4" t="e">
        <f t="shared" ca="1" si="240"/>
        <v>#NAME?</v>
      </c>
      <c r="FL68" s="4"/>
      <c r="FM68" s="4">
        <v>0</v>
      </c>
      <c r="FN68" s="4">
        <f t="shared" si="241"/>
        <v>0</v>
      </c>
      <c r="FO68" s="4">
        <f t="shared" si="242"/>
        <v>0</v>
      </c>
      <c r="FP68" s="4">
        <f t="shared" si="243"/>
        <v>0</v>
      </c>
      <c r="FQ68" s="4">
        <f t="shared" si="244"/>
        <v>0</v>
      </c>
      <c r="FR68" s="4">
        <f t="shared" si="245"/>
        <v>0</v>
      </c>
      <c r="FS68" s="4">
        <f t="shared" si="246"/>
        <v>0</v>
      </c>
      <c r="FT68" s="4">
        <f t="shared" si="247"/>
        <v>0</v>
      </c>
      <c r="FU68" s="4"/>
      <c r="FV68" s="3">
        <f t="shared" si="248"/>
        <v>0</v>
      </c>
      <c r="FW68" s="3">
        <f t="shared" si="249"/>
        <v>0</v>
      </c>
      <c r="FX68" s="4">
        <f t="shared" si="151"/>
        <v>2078</v>
      </c>
      <c r="FY68" s="18">
        <f t="shared" si="250"/>
        <v>0</v>
      </c>
      <c r="FZ68" s="18">
        <f t="shared" si="251"/>
        <v>0</v>
      </c>
      <c r="GA68" s="18">
        <f t="shared" si="252"/>
        <v>0</v>
      </c>
      <c r="GB68" s="18">
        <f t="shared" si="253"/>
        <v>0</v>
      </c>
      <c r="GC68" s="18" t="e">
        <f t="shared" ca="1" si="254"/>
        <v>#NAME?</v>
      </c>
      <c r="GD68" s="18" t="e">
        <f t="shared" ca="1" si="255"/>
        <v>#NAME?</v>
      </c>
      <c r="GE68" s="18" t="e">
        <f t="shared" ca="1" si="256"/>
        <v>#NAME?</v>
      </c>
      <c r="GF68" s="18" t="e">
        <f t="shared" ca="1" si="257"/>
        <v>#NAME?</v>
      </c>
      <c r="GG68" s="18" t="e">
        <f t="shared" ca="1" si="258"/>
        <v>#NAME?</v>
      </c>
      <c r="GH68" s="18" t="e">
        <f t="shared" ca="1" si="259"/>
        <v>#NAME?</v>
      </c>
      <c r="GI68" s="4"/>
      <c r="GJ68" s="4">
        <f t="shared" si="260"/>
        <v>2078</v>
      </c>
      <c r="GK68" s="4" t="e">
        <f t="shared" ca="1" si="261"/>
        <v>#NAME?</v>
      </c>
      <c r="GL68" s="4" t="e">
        <f t="shared" ca="1" si="262"/>
        <v>#NAME?</v>
      </c>
      <c r="GM68" s="4" t="e">
        <f t="shared" ca="1" si="263"/>
        <v>#NAME?</v>
      </c>
      <c r="GN68" s="4" t="e">
        <f t="shared" ca="1" si="264"/>
        <v>#NAME?</v>
      </c>
      <c r="GO68" s="4"/>
      <c r="GP68" s="3" t="e">
        <f t="shared" ca="1" si="152"/>
        <v>#NAME?</v>
      </c>
      <c r="GQ68" s="3" t="e">
        <f t="shared" ca="1" si="265"/>
        <v>#NAME?</v>
      </c>
      <c r="GR68" s="3" t="e">
        <f t="shared" ca="1" si="266"/>
        <v>#NAME?</v>
      </c>
      <c r="GS68" s="3" t="e">
        <f t="shared" ca="1" si="267"/>
        <v>#NAME?</v>
      </c>
      <c r="GT68" s="3" t="e">
        <f t="array" aca="1" ref="GT68" ca="1">SUM(GP68:GS68*$GU$6:$GX$6)</f>
        <v>#NAME?</v>
      </c>
      <c r="GU68" s="3" t="e">
        <f t="shared" ca="1" si="155"/>
        <v>#NAME?</v>
      </c>
      <c r="GV68" s="3" t="e">
        <f t="shared" ca="1" si="156"/>
        <v>#NAME?</v>
      </c>
      <c r="GW68" s="3" t="e">
        <f t="shared" ca="1" si="157"/>
        <v>#NAME?</v>
      </c>
      <c r="GX68" s="3" t="e">
        <f t="shared" ca="1" si="158"/>
        <v>#NAME?</v>
      </c>
      <c r="GY68" s="11"/>
      <c r="HJ68">
        <f t="shared" si="159"/>
        <v>2071</v>
      </c>
      <c r="HK68" s="28">
        <f t="shared" si="164"/>
        <v>66350</v>
      </c>
      <c r="HL68" s="27">
        <f t="shared" si="162"/>
        <v>16500</v>
      </c>
      <c r="HM68" s="28">
        <f t="shared" si="163"/>
        <v>16344.518701627016</v>
      </c>
      <c r="HO68" t="s">
        <v>639</v>
      </c>
      <c r="HQ68" s="27">
        <v>1.6299999999999999E-2</v>
      </c>
    </row>
    <row r="69" spans="1:226" x14ac:dyDescent="0.25">
      <c r="A69" s="15" t="s">
        <v>331</v>
      </c>
      <c r="D69">
        <f t="shared" si="107"/>
        <v>2079</v>
      </c>
      <c r="E69">
        <f t="shared" si="108"/>
        <v>84</v>
      </c>
      <c r="F69" s="8"/>
      <c r="G69" s="8"/>
      <c r="H69" s="8"/>
      <c r="I69" s="8"/>
      <c r="J69" s="92"/>
      <c r="K69" s="91"/>
      <c r="L69" s="91"/>
      <c r="N69" s="93">
        <f t="shared" si="109"/>
        <v>0.05</v>
      </c>
      <c r="O69" s="23">
        <f t="shared" si="110"/>
        <v>0.4</v>
      </c>
      <c r="P69" s="23">
        <f t="shared" si="111"/>
        <v>0.1</v>
      </c>
      <c r="Q69" s="4">
        <f t="shared" si="169"/>
        <v>0</v>
      </c>
      <c r="R69" s="4">
        <f t="shared" si="269"/>
        <v>0</v>
      </c>
      <c r="S69" s="4">
        <f t="shared" si="113"/>
        <v>0</v>
      </c>
      <c r="T69" s="4">
        <f t="shared" ca="1" si="114"/>
        <v>0</v>
      </c>
      <c r="V69" s="18" t="e">
        <f t="shared" ca="1" si="170"/>
        <v>#NAME?</v>
      </c>
      <c r="W69" s="18" t="e">
        <f t="shared" ca="1" si="171"/>
        <v>#NAME?</v>
      </c>
      <c r="X69" s="18">
        <f t="shared" si="172"/>
        <v>0</v>
      </c>
      <c r="Y69" s="18" t="e">
        <f t="shared" ca="1" si="173"/>
        <v>#NAME?</v>
      </c>
      <c r="Z69" s="18" t="e">
        <f t="shared" ca="1" si="174"/>
        <v>#NAME?</v>
      </c>
      <c r="AA69" s="18" t="e">
        <f t="shared" ca="1" si="175"/>
        <v>#NAME?</v>
      </c>
      <c r="AB69" s="18" t="e">
        <f t="shared" ca="1" si="176"/>
        <v>#NAME?</v>
      </c>
      <c r="AC69" s="18" t="e">
        <f t="shared" ca="1" si="177"/>
        <v>#NAME?</v>
      </c>
      <c r="AD69" s="18" t="e">
        <f t="shared" ca="1" si="178"/>
        <v>#NAME?</v>
      </c>
      <c r="AE69" s="18" t="e">
        <f t="shared" ca="1" si="179"/>
        <v>#NAME?</v>
      </c>
      <c r="AF69" s="18" t="e">
        <f t="shared" ca="1" si="180"/>
        <v>#NAME?</v>
      </c>
      <c r="AG69" s="18" t="e">
        <f t="shared" ca="1" si="181"/>
        <v>#NAME?</v>
      </c>
      <c r="AI69">
        <f>Person2!E69</f>
        <v>84</v>
      </c>
      <c r="AJ69">
        <f>Person2!AZ69</f>
        <v>2</v>
      </c>
      <c r="AK69">
        <f>IF($AZ69&lt;&gt;3,Person2!FM69,0)</f>
        <v>0</v>
      </c>
      <c r="AL69" s="4">
        <f>IF($AZ69&lt;&gt;3,Person2!FN69+Person2!FT69,0)</f>
        <v>0</v>
      </c>
      <c r="AM69">
        <f>IF($AZ69&lt;&gt;3,Person2!FO69,0)</f>
        <v>0</v>
      </c>
      <c r="AN69">
        <f>IF($AZ69&lt;&gt;3,Person2!FP69,0)</f>
        <v>0</v>
      </c>
      <c r="AO69">
        <f>IF($AZ69&lt;&gt;3,Person2!FQ69,0)</f>
        <v>0</v>
      </c>
      <c r="AP69">
        <f>IF($AZ69&lt;&gt;3,Person2!FR69,0)</f>
        <v>0</v>
      </c>
      <c r="AQ69">
        <v>0</v>
      </c>
      <c r="AR69" s="4">
        <f>Person2!FS69</f>
        <v>0</v>
      </c>
      <c r="AS69" s="4">
        <v>0</v>
      </c>
      <c r="AT69" s="4">
        <v>0</v>
      </c>
      <c r="AV69">
        <f t="shared" si="270"/>
        <v>2079</v>
      </c>
      <c r="AW69">
        <f t="shared" si="271"/>
        <v>84</v>
      </c>
      <c r="AX69">
        <f t="shared" si="272"/>
        <v>3.4135844322153761</v>
      </c>
      <c r="AY69">
        <f t="shared" si="118"/>
        <v>0.29294719959541526</v>
      </c>
      <c r="AZ69">
        <f t="shared" si="119"/>
        <v>3</v>
      </c>
      <c r="BB69" s="4">
        <f t="shared" si="182"/>
        <v>0</v>
      </c>
      <c r="BC69">
        <f t="shared" si="183"/>
        <v>0</v>
      </c>
      <c r="BD69" s="4">
        <f t="shared" si="184"/>
        <v>0</v>
      </c>
      <c r="BE69" s="4">
        <f t="shared" si="120"/>
        <v>0</v>
      </c>
      <c r="BF69" s="4">
        <f t="shared" si="121"/>
        <v>0</v>
      </c>
      <c r="BG69" s="4">
        <f t="shared" si="122"/>
        <v>0</v>
      </c>
      <c r="BH69" s="4">
        <f t="shared" si="185"/>
        <v>0</v>
      </c>
      <c r="BI69" s="4">
        <f t="shared" si="123"/>
        <v>0</v>
      </c>
      <c r="BJ69" s="4"/>
      <c r="BK69" s="4">
        <f t="shared" si="186"/>
        <v>0</v>
      </c>
      <c r="BL69" s="4">
        <f t="shared" si="124"/>
        <v>0</v>
      </c>
      <c r="BM69" s="4">
        <f t="shared" si="125"/>
        <v>0</v>
      </c>
      <c r="BN69" s="4">
        <v>0</v>
      </c>
      <c r="BO69" s="4">
        <f t="shared" si="126"/>
        <v>0</v>
      </c>
      <c r="BP69" s="4">
        <f t="shared" si="127"/>
        <v>0</v>
      </c>
      <c r="BQ69" s="4"/>
      <c r="BR69" s="4">
        <v>0</v>
      </c>
      <c r="BS69" s="4" t="e">
        <f t="shared" ca="1" si="187"/>
        <v>#NAME?</v>
      </c>
      <c r="BT69" s="4">
        <f t="shared" si="188"/>
        <v>0</v>
      </c>
      <c r="BU69" s="4">
        <f t="shared" si="189"/>
        <v>0</v>
      </c>
      <c r="BV69" s="4">
        <f t="shared" si="190"/>
        <v>0</v>
      </c>
      <c r="BW69" s="4" t="e">
        <f t="shared" ca="1" si="191"/>
        <v>#NAME?</v>
      </c>
      <c r="BX69" s="4" t="e">
        <f t="shared" ca="1" si="192"/>
        <v>#NAME?</v>
      </c>
      <c r="BY69" s="4" t="e">
        <f t="shared" ca="1" si="193"/>
        <v>#NAME?</v>
      </c>
      <c r="BZ69" s="4" t="e">
        <f t="shared" ca="1" si="194"/>
        <v>#NAME?</v>
      </c>
      <c r="CA69" s="4" t="e">
        <f t="shared" ca="1" si="26"/>
        <v>#NAME?</v>
      </c>
      <c r="CB69" s="4" t="e">
        <f t="shared" ca="1" si="160"/>
        <v>#NAME?</v>
      </c>
      <c r="CC69" s="4"/>
      <c r="CD69" s="4" t="e">
        <f t="shared" ca="1" si="195"/>
        <v>#NAME?</v>
      </c>
      <c r="CE69" s="4">
        <f t="shared" si="128"/>
        <v>0</v>
      </c>
      <c r="CF69" s="16">
        <f t="shared" si="196"/>
        <v>1</v>
      </c>
      <c r="CG69" s="4">
        <f t="shared" si="129"/>
        <v>0</v>
      </c>
      <c r="CH69" s="4" t="e">
        <f t="shared" ca="1" si="197"/>
        <v>#NAME?</v>
      </c>
      <c r="CI69" s="4" t="e">
        <f t="shared" ca="1" si="198"/>
        <v>#NAME?</v>
      </c>
      <c r="CJ69" s="4" t="e">
        <f t="shared" ca="1" si="130"/>
        <v>#NAME?</v>
      </c>
      <c r="CK69" s="4" t="e">
        <f t="shared" ca="1" si="31"/>
        <v>#NAME?</v>
      </c>
      <c r="CL69" s="4" t="e">
        <f t="shared" ca="1" si="199"/>
        <v>#NAME?</v>
      </c>
      <c r="CM69" s="16"/>
      <c r="CN69" s="4">
        <f t="shared" si="200"/>
        <v>0</v>
      </c>
      <c r="CO69" s="4">
        <f t="shared" si="201"/>
        <v>0</v>
      </c>
      <c r="CP69" s="4" t="e">
        <f t="shared" ca="1" si="279"/>
        <v>#NAME?</v>
      </c>
      <c r="CQ69" s="4"/>
      <c r="CR69" s="4" t="e">
        <f t="shared" ca="1" si="202"/>
        <v>#NAME?</v>
      </c>
      <c r="CS69" s="4">
        <f t="shared" ca="1" si="203"/>
        <v>77740</v>
      </c>
      <c r="CT69" s="4">
        <f t="shared" ca="1" si="204"/>
        <v>0</v>
      </c>
      <c r="CU69" s="4"/>
      <c r="CV69" s="4" t="e">
        <f t="shared" ca="1" si="132"/>
        <v>#NAME?</v>
      </c>
      <c r="CW69" s="4">
        <f t="shared" ca="1" si="205"/>
        <v>0</v>
      </c>
      <c r="CX69" s="4">
        <f t="shared" si="206"/>
        <v>0</v>
      </c>
      <c r="CY69" s="4" t="e">
        <f t="shared" ca="1" si="133"/>
        <v>#NAME?</v>
      </c>
      <c r="CZ69" s="4"/>
      <c r="DA69" s="4" t="e">
        <f t="shared" ca="1" si="207"/>
        <v>#NAME?</v>
      </c>
      <c r="DB69" s="4">
        <f t="shared" si="208"/>
        <v>0</v>
      </c>
      <c r="DC69" s="4">
        <f t="shared" si="134"/>
        <v>0</v>
      </c>
      <c r="DD69" s="4">
        <f t="shared" si="209"/>
        <v>0</v>
      </c>
      <c r="DE69" s="4" t="e">
        <f t="shared" ca="1" si="210"/>
        <v>#NAME?</v>
      </c>
      <c r="DF69" s="4" t="e">
        <f t="shared" ca="1" si="135"/>
        <v>#NAME?</v>
      </c>
      <c r="DG69" s="4" t="e">
        <f t="shared" ca="1" si="136"/>
        <v>#NAME?</v>
      </c>
      <c r="DH69" s="4">
        <f t="shared" si="211"/>
        <v>0</v>
      </c>
      <c r="DI69" s="4"/>
      <c r="DJ69" s="4" t="e">
        <f t="shared" ca="1" si="212"/>
        <v>#NAME?</v>
      </c>
      <c r="DK69" s="4">
        <f t="shared" ca="1" si="213"/>
        <v>19000</v>
      </c>
      <c r="DL69" s="4">
        <f t="shared" ca="1" si="214"/>
        <v>19000</v>
      </c>
      <c r="DM69" s="4">
        <f t="shared" si="215"/>
        <v>0</v>
      </c>
      <c r="DN69" s="4" t="e">
        <f t="shared" ca="1" si="216"/>
        <v>#NAME?</v>
      </c>
      <c r="DO69" s="4" t="e">
        <f t="shared" ca="1" si="50"/>
        <v>#NAME?</v>
      </c>
      <c r="DP69" s="4"/>
      <c r="DQ69" s="4" t="e">
        <f t="shared" ca="1" si="217"/>
        <v>#NAME?</v>
      </c>
      <c r="DR69" s="4"/>
      <c r="DS69" s="4">
        <f t="shared" si="137"/>
        <v>0</v>
      </c>
      <c r="DT69" s="4">
        <f t="shared" si="282"/>
        <v>0</v>
      </c>
      <c r="DU69" s="4">
        <f t="shared" si="218"/>
        <v>0</v>
      </c>
      <c r="DV69" s="4"/>
      <c r="DW69" s="4" t="e">
        <f t="shared" ca="1" si="273"/>
        <v>#NAME?</v>
      </c>
      <c r="DX69" s="4" t="e">
        <f t="shared" ca="1" si="219"/>
        <v>#NAME?</v>
      </c>
      <c r="DY69" s="4">
        <f t="shared" si="139"/>
        <v>0</v>
      </c>
      <c r="DZ69" s="4" t="e">
        <f t="shared" ca="1" si="220"/>
        <v>#NAME?</v>
      </c>
      <c r="EA69" s="4" t="e">
        <f t="shared" ca="1" si="221"/>
        <v>#NAME?</v>
      </c>
      <c r="EB69" s="4" t="e">
        <f t="shared" ca="1" si="222"/>
        <v>#NAME?</v>
      </c>
      <c r="EC69" s="4">
        <f t="shared" si="223"/>
        <v>2</v>
      </c>
      <c r="ED69" s="4"/>
      <c r="EE69" s="4" t="e">
        <f t="shared" ca="1" si="274"/>
        <v>#NAME?</v>
      </c>
      <c r="EF69" s="4">
        <f t="shared" si="224"/>
        <v>0</v>
      </c>
      <c r="EG69" s="4">
        <f t="shared" si="141"/>
        <v>0</v>
      </c>
      <c r="EH69" s="4" t="e">
        <f t="shared" ca="1" si="225"/>
        <v>#NAME?</v>
      </c>
      <c r="EI69" s="4" t="e">
        <f t="shared" ca="1" si="226"/>
        <v>#NAME?</v>
      </c>
      <c r="EJ69" s="4" t="e">
        <f t="shared" ca="1" si="227"/>
        <v>#NAME?</v>
      </c>
      <c r="EK69" s="4">
        <f t="shared" si="228"/>
        <v>2</v>
      </c>
      <c r="EL69" s="4">
        <f t="shared" si="229"/>
        <v>0</v>
      </c>
      <c r="EM69" s="4"/>
      <c r="EN69" s="4" t="e">
        <f t="shared" ca="1" si="275"/>
        <v>#NAME?</v>
      </c>
      <c r="EO69" s="4" t="e">
        <f t="shared" ca="1" si="230"/>
        <v>#NAME?</v>
      </c>
      <c r="EP69" s="4">
        <f t="shared" si="143"/>
        <v>0</v>
      </c>
      <c r="EQ69" s="4" t="e">
        <f t="shared" ca="1" si="231"/>
        <v>#NAME?</v>
      </c>
      <c r="ER69" s="4">
        <v>0</v>
      </c>
      <c r="ES69" s="4" t="e">
        <f t="shared" ca="1" si="144"/>
        <v>#NAME?</v>
      </c>
      <c r="ET69" s="4"/>
      <c r="EU69" s="4" t="e">
        <f t="shared" ca="1" si="276"/>
        <v>#NAME?</v>
      </c>
      <c r="EV69" s="4" t="e">
        <f t="shared" ca="1" si="232"/>
        <v>#NAME?</v>
      </c>
      <c r="EW69" s="4">
        <f t="shared" si="146"/>
        <v>0</v>
      </c>
      <c r="EX69" s="4" t="e">
        <f t="shared" ca="1" si="233"/>
        <v>#NAME?</v>
      </c>
      <c r="EY69" s="4">
        <v>0</v>
      </c>
      <c r="EZ69" s="4" t="e">
        <f t="shared" ca="1" si="147"/>
        <v>#NAME?</v>
      </c>
      <c r="FA69" s="4" t="e">
        <f t="shared" ca="1" si="277"/>
        <v>#NAME?</v>
      </c>
      <c r="FB69" s="1" t="e">
        <f t="shared" ca="1" si="234"/>
        <v>#NAME?</v>
      </c>
      <c r="FC69" s="4">
        <f t="shared" si="149"/>
        <v>0</v>
      </c>
      <c r="FD69" s="4">
        <f t="shared" si="150"/>
        <v>0</v>
      </c>
      <c r="FE69" s="4">
        <f t="shared" si="235"/>
        <v>0</v>
      </c>
      <c r="FF69" s="4">
        <f t="shared" si="236"/>
        <v>0</v>
      </c>
      <c r="FG69" s="4">
        <f t="shared" ca="1" si="237"/>
        <v>0</v>
      </c>
      <c r="FH69" s="17" t="e">
        <f t="shared" ca="1" si="238"/>
        <v>#NAME?</v>
      </c>
      <c r="FI69" s="4" t="e">
        <f t="shared" ca="1" si="239"/>
        <v>#NAME?</v>
      </c>
      <c r="FJ69" s="4"/>
      <c r="FK69" s="4" t="e">
        <f t="shared" ca="1" si="240"/>
        <v>#NAME?</v>
      </c>
      <c r="FL69" s="4"/>
      <c r="FM69" s="4">
        <v>0</v>
      </c>
      <c r="FN69" s="4">
        <f t="shared" si="241"/>
        <v>0</v>
      </c>
      <c r="FO69" s="4">
        <f t="shared" si="242"/>
        <v>0</v>
      </c>
      <c r="FP69" s="4">
        <f t="shared" si="243"/>
        <v>0</v>
      </c>
      <c r="FQ69" s="4">
        <f t="shared" si="244"/>
        <v>0</v>
      </c>
      <c r="FR69" s="4">
        <f t="shared" si="245"/>
        <v>0</v>
      </c>
      <c r="FS69" s="4">
        <f t="shared" si="246"/>
        <v>0</v>
      </c>
      <c r="FT69" s="4">
        <f t="shared" si="247"/>
        <v>0</v>
      </c>
      <c r="FU69" s="4"/>
      <c r="FV69" s="3">
        <f t="shared" si="248"/>
        <v>0</v>
      </c>
      <c r="FW69" s="3">
        <f t="shared" si="249"/>
        <v>0</v>
      </c>
      <c r="FX69" s="4">
        <f t="shared" si="151"/>
        <v>2079</v>
      </c>
      <c r="FY69" s="18">
        <f t="shared" si="250"/>
        <v>0</v>
      </c>
      <c r="FZ69" s="18">
        <f t="shared" si="251"/>
        <v>0</v>
      </c>
      <c r="GA69" s="18">
        <f t="shared" si="252"/>
        <v>0</v>
      </c>
      <c r="GB69" s="18">
        <f t="shared" si="253"/>
        <v>0</v>
      </c>
      <c r="GC69" s="18" t="e">
        <f t="shared" ca="1" si="254"/>
        <v>#NAME?</v>
      </c>
      <c r="GD69" s="18" t="e">
        <f t="shared" ca="1" si="255"/>
        <v>#NAME?</v>
      </c>
      <c r="GE69" s="18" t="e">
        <f t="shared" ca="1" si="256"/>
        <v>#NAME?</v>
      </c>
      <c r="GF69" s="18" t="e">
        <f t="shared" ca="1" si="257"/>
        <v>#NAME?</v>
      </c>
      <c r="GG69" s="18" t="e">
        <f t="shared" ca="1" si="258"/>
        <v>#NAME?</v>
      </c>
      <c r="GH69" s="18" t="e">
        <f t="shared" ca="1" si="259"/>
        <v>#NAME?</v>
      </c>
      <c r="GI69" s="4"/>
      <c r="GJ69" s="4">
        <f t="shared" si="260"/>
        <v>2079</v>
      </c>
      <c r="GK69" s="4" t="e">
        <f t="shared" ca="1" si="261"/>
        <v>#NAME?</v>
      </c>
      <c r="GL69" s="4" t="e">
        <f t="shared" ca="1" si="262"/>
        <v>#NAME?</v>
      </c>
      <c r="GM69" s="4" t="e">
        <f t="shared" ca="1" si="263"/>
        <v>#NAME?</v>
      </c>
      <c r="GN69" s="4" t="e">
        <f t="shared" ca="1" si="264"/>
        <v>#NAME?</v>
      </c>
      <c r="GO69" s="4"/>
      <c r="GP69" s="3" t="e">
        <f t="shared" ca="1" si="152"/>
        <v>#NAME?</v>
      </c>
      <c r="GQ69" s="3" t="e">
        <f t="shared" ca="1" si="265"/>
        <v>#NAME?</v>
      </c>
      <c r="GR69" s="3" t="e">
        <f t="shared" ca="1" si="266"/>
        <v>#NAME?</v>
      </c>
      <c r="GS69" s="3" t="e">
        <f t="shared" ca="1" si="267"/>
        <v>#NAME?</v>
      </c>
      <c r="GT69" s="3" t="e">
        <f t="array" aca="1" ref="GT69" ca="1">SUM(GP69:GS69*$GU$6:$GX$6)</f>
        <v>#NAME?</v>
      </c>
      <c r="GU69" s="3" t="e">
        <f t="shared" ca="1" si="155"/>
        <v>#NAME?</v>
      </c>
      <c r="GV69" s="3" t="e">
        <f t="shared" ca="1" si="156"/>
        <v>#NAME?</v>
      </c>
      <c r="GW69" s="3" t="e">
        <f t="shared" ca="1" si="157"/>
        <v>#NAME?</v>
      </c>
      <c r="GX69" s="3" t="e">
        <f t="shared" ca="1" si="158"/>
        <v>#NAME?</v>
      </c>
      <c r="GY69" s="11"/>
      <c r="HJ69">
        <f t="shared" si="159"/>
        <v>2072</v>
      </c>
      <c r="HK69" s="28">
        <f t="shared" si="164"/>
        <v>67680</v>
      </c>
      <c r="HL69" s="27">
        <f t="shared" si="162"/>
        <v>16500</v>
      </c>
      <c r="HM69" s="28">
        <f t="shared" si="163"/>
        <v>16671.409075659558</v>
      </c>
      <c r="HO69" t="s">
        <v>640</v>
      </c>
      <c r="HQ69" s="27">
        <v>836.19</v>
      </c>
      <c r="HR69" s="4">
        <f>HQ69*(1+$B$15)^($B$7-$HP$26)</f>
        <v>836.19</v>
      </c>
    </row>
    <row r="70" spans="1:226" x14ac:dyDescent="0.25">
      <c r="A70" s="50" t="s">
        <v>660</v>
      </c>
      <c r="B70" s="62">
        <f>Inputs_Summary!AJ67</f>
        <v>0</v>
      </c>
      <c r="D70">
        <f t="shared" si="107"/>
        <v>2080</v>
      </c>
      <c r="E70">
        <f t="shared" si="108"/>
        <v>85</v>
      </c>
      <c r="F70" s="8"/>
      <c r="G70" s="8"/>
      <c r="H70" s="8"/>
      <c r="I70" s="8"/>
      <c r="J70" s="92"/>
      <c r="K70" s="91"/>
      <c r="L70" s="91"/>
      <c r="N70" s="93">
        <f t="shared" si="109"/>
        <v>0.05</v>
      </c>
      <c r="O70" s="23">
        <f t="shared" si="110"/>
        <v>0.4</v>
      </c>
      <c r="P70" s="23">
        <f t="shared" si="111"/>
        <v>0.1</v>
      </c>
      <c r="Q70" s="4">
        <f t="shared" si="169"/>
        <v>0</v>
      </c>
      <c r="R70" s="4">
        <f t="shared" si="269"/>
        <v>0</v>
      </c>
      <c r="S70" s="4">
        <f t="shared" si="113"/>
        <v>0</v>
      </c>
      <c r="T70" s="4">
        <f t="shared" ca="1" si="114"/>
        <v>0</v>
      </c>
      <c r="V70" s="18" t="e">
        <f t="shared" ca="1" si="170"/>
        <v>#NAME?</v>
      </c>
      <c r="W70" s="18" t="e">
        <f t="shared" ca="1" si="171"/>
        <v>#NAME?</v>
      </c>
      <c r="X70" s="18">
        <f t="shared" si="172"/>
        <v>0</v>
      </c>
      <c r="Y70" s="18" t="e">
        <f t="shared" ca="1" si="173"/>
        <v>#NAME?</v>
      </c>
      <c r="Z70" s="18" t="e">
        <f t="shared" ca="1" si="174"/>
        <v>#NAME?</v>
      </c>
      <c r="AA70" s="18" t="e">
        <f t="shared" ca="1" si="175"/>
        <v>#NAME?</v>
      </c>
      <c r="AB70" s="18" t="e">
        <f t="shared" ca="1" si="176"/>
        <v>#NAME?</v>
      </c>
      <c r="AC70" s="18" t="e">
        <f t="shared" ca="1" si="177"/>
        <v>#NAME?</v>
      </c>
      <c r="AD70" s="18" t="e">
        <f t="shared" ca="1" si="178"/>
        <v>#NAME?</v>
      </c>
      <c r="AE70" s="18" t="e">
        <f t="shared" ca="1" si="179"/>
        <v>#NAME?</v>
      </c>
      <c r="AF70" s="18" t="e">
        <f t="shared" ca="1" si="180"/>
        <v>#NAME?</v>
      </c>
      <c r="AG70" s="18" t="e">
        <f t="shared" ca="1" si="181"/>
        <v>#NAME?</v>
      </c>
      <c r="AI70">
        <f>Person2!E70</f>
        <v>85</v>
      </c>
      <c r="AJ70">
        <f>Person2!AZ70</f>
        <v>4</v>
      </c>
      <c r="AK70">
        <f>IF($AZ70&lt;&gt;3,Person2!FM70,0)</f>
        <v>0</v>
      </c>
      <c r="AL70" s="4">
        <f>IF($AZ70&lt;&gt;3,Person2!FN70+Person2!FT70,0)</f>
        <v>0</v>
      </c>
      <c r="AM70">
        <f>IF($AZ70&lt;&gt;3,Person2!FO70,0)</f>
        <v>0</v>
      </c>
      <c r="AN70">
        <f>IF($AZ70&lt;&gt;3,Person2!FP70,0)</f>
        <v>0</v>
      </c>
      <c r="AO70">
        <f>IF($AZ70&lt;&gt;3,Person2!FQ70,0)</f>
        <v>0</v>
      </c>
      <c r="AP70">
        <f>IF($AZ70&lt;&gt;3,Person2!FR70,0)</f>
        <v>0</v>
      </c>
      <c r="AQ70">
        <v>0</v>
      </c>
      <c r="AR70" s="4">
        <f>Person2!FS70</f>
        <v>0</v>
      </c>
      <c r="AS70" s="4">
        <v>0</v>
      </c>
      <c r="AT70" s="4">
        <v>0</v>
      </c>
      <c r="AV70">
        <f t="shared" si="270"/>
        <v>2080</v>
      </c>
      <c r="AW70">
        <f t="shared" si="271"/>
        <v>85</v>
      </c>
      <c r="AX70">
        <f t="shared" si="272"/>
        <v>3.4818561208596837</v>
      </c>
      <c r="AY70">
        <f t="shared" si="118"/>
        <v>0.28720313685825022</v>
      </c>
      <c r="AZ70">
        <f t="shared" si="119"/>
        <v>3</v>
      </c>
      <c r="BB70" s="4">
        <f t="shared" si="182"/>
        <v>0</v>
      </c>
      <c r="BC70">
        <f t="shared" si="183"/>
        <v>0</v>
      </c>
      <c r="BD70" s="4">
        <f t="shared" si="184"/>
        <v>0</v>
      </c>
      <c r="BE70" s="4">
        <f t="shared" si="120"/>
        <v>0</v>
      </c>
      <c r="BF70" s="4">
        <f t="shared" si="121"/>
        <v>0</v>
      </c>
      <c r="BG70" s="4">
        <f t="shared" si="122"/>
        <v>0</v>
      </c>
      <c r="BH70" s="4">
        <f t="shared" si="185"/>
        <v>0</v>
      </c>
      <c r="BI70" s="4">
        <f t="shared" si="123"/>
        <v>0</v>
      </c>
      <c r="BJ70" s="4"/>
      <c r="BK70" s="4">
        <f t="shared" si="186"/>
        <v>0</v>
      </c>
      <c r="BL70" s="4">
        <f t="shared" si="124"/>
        <v>0</v>
      </c>
      <c r="BM70" s="4">
        <f t="shared" si="125"/>
        <v>0</v>
      </c>
      <c r="BN70" s="4">
        <v>0</v>
      </c>
      <c r="BO70" s="4">
        <f t="shared" si="126"/>
        <v>0</v>
      </c>
      <c r="BP70" s="4">
        <f t="shared" si="127"/>
        <v>0</v>
      </c>
      <c r="BQ70" s="4"/>
      <c r="BR70" s="4">
        <v>0</v>
      </c>
      <c r="BS70" s="4" t="e">
        <f t="shared" ca="1" si="187"/>
        <v>#NAME?</v>
      </c>
      <c r="BT70" s="4">
        <f t="shared" si="188"/>
        <v>0</v>
      </c>
      <c r="BU70" s="4">
        <f t="shared" si="189"/>
        <v>0</v>
      </c>
      <c r="BV70" s="4">
        <f t="shared" si="190"/>
        <v>0</v>
      </c>
      <c r="BW70" s="4" t="e">
        <f t="shared" ca="1" si="191"/>
        <v>#NAME?</v>
      </c>
      <c r="BX70" s="4" t="e">
        <f t="shared" ca="1" si="192"/>
        <v>#NAME?</v>
      </c>
      <c r="BY70" s="4" t="e">
        <f t="shared" ca="1" si="193"/>
        <v>#NAME?</v>
      </c>
      <c r="BZ70" s="4" t="e">
        <f t="shared" ca="1" si="194"/>
        <v>#NAME?</v>
      </c>
      <c r="CA70" s="4" t="e">
        <f t="shared" ca="1" si="26"/>
        <v>#NAME?</v>
      </c>
      <c r="CB70" s="4" t="e">
        <f t="shared" ca="1" si="160"/>
        <v>#NAME?</v>
      </c>
      <c r="CC70" s="4"/>
      <c r="CD70" s="4" t="e">
        <f t="shared" ca="1" si="195"/>
        <v>#NAME?</v>
      </c>
      <c r="CE70" s="4">
        <f t="shared" si="128"/>
        <v>0</v>
      </c>
      <c r="CF70" s="16">
        <f t="shared" si="196"/>
        <v>1</v>
      </c>
      <c r="CG70" s="4">
        <f t="shared" si="129"/>
        <v>0</v>
      </c>
      <c r="CH70" s="4" t="e">
        <f t="shared" ca="1" si="197"/>
        <v>#NAME?</v>
      </c>
      <c r="CI70" s="4" t="e">
        <f t="shared" ca="1" si="198"/>
        <v>#NAME?</v>
      </c>
      <c r="CJ70" s="4" t="e">
        <f t="shared" ca="1" si="130"/>
        <v>#NAME?</v>
      </c>
      <c r="CK70" s="4" t="e">
        <f t="shared" ca="1" si="31"/>
        <v>#NAME?</v>
      </c>
      <c r="CL70" s="4" t="e">
        <f t="shared" ca="1" si="199"/>
        <v>#NAME?</v>
      </c>
      <c r="CM70" s="16"/>
      <c r="CN70" s="4">
        <f t="shared" si="200"/>
        <v>0</v>
      </c>
      <c r="CO70" s="4">
        <f t="shared" si="201"/>
        <v>0</v>
      </c>
      <c r="CP70" s="4" t="e">
        <f t="shared" ca="1" si="279"/>
        <v>#NAME?</v>
      </c>
      <c r="CQ70" s="4"/>
      <c r="CR70" s="4" t="e">
        <f t="shared" ca="1" si="202"/>
        <v>#NAME?</v>
      </c>
      <c r="CS70" s="4">
        <f t="shared" ca="1" si="203"/>
        <v>79300</v>
      </c>
      <c r="CT70" s="4">
        <f t="shared" ca="1" si="204"/>
        <v>0</v>
      </c>
      <c r="CU70" s="4"/>
      <c r="CV70" s="4" t="e">
        <f t="shared" ca="1" si="132"/>
        <v>#NAME?</v>
      </c>
      <c r="CW70" s="4">
        <f t="shared" ca="1" si="205"/>
        <v>0</v>
      </c>
      <c r="CX70" s="4">
        <f t="shared" si="206"/>
        <v>0</v>
      </c>
      <c r="CY70" s="4" t="e">
        <f t="shared" ca="1" si="133"/>
        <v>#NAME?</v>
      </c>
      <c r="CZ70" s="4"/>
      <c r="DA70" s="4" t="e">
        <f t="shared" ca="1" si="207"/>
        <v>#NAME?</v>
      </c>
      <c r="DB70" s="4">
        <f t="shared" si="208"/>
        <v>0</v>
      </c>
      <c r="DC70" s="4">
        <f t="shared" si="134"/>
        <v>0</v>
      </c>
      <c r="DD70" s="4">
        <f t="shared" si="209"/>
        <v>0</v>
      </c>
      <c r="DE70" s="4" t="e">
        <f t="shared" ca="1" si="210"/>
        <v>#NAME?</v>
      </c>
      <c r="DF70" s="4" t="e">
        <f t="shared" ca="1" si="135"/>
        <v>#NAME?</v>
      </c>
      <c r="DG70" s="4" t="e">
        <f t="shared" ca="1" si="136"/>
        <v>#NAME?</v>
      </c>
      <c r="DH70" s="4">
        <f t="shared" si="211"/>
        <v>0</v>
      </c>
      <c r="DI70" s="4"/>
      <c r="DJ70" s="4" t="e">
        <f t="shared" ca="1" si="212"/>
        <v>#NAME?</v>
      </c>
      <c r="DK70" s="4">
        <f t="shared" ca="1" si="213"/>
        <v>19500</v>
      </c>
      <c r="DL70" s="4">
        <f t="shared" ca="1" si="214"/>
        <v>19500</v>
      </c>
      <c r="DM70" s="4">
        <f t="shared" si="215"/>
        <v>0</v>
      </c>
      <c r="DN70" s="4" t="e">
        <f t="shared" ca="1" si="216"/>
        <v>#NAME?</v>
      </c>
      <c r="DO70" s="4" t="e">
        <f t="shared" ca="1" si="50"/>
        <v>#NAME?</v>
      </c>
      <c r="DP70" s="4"/>
      <c r="DQ70" s="4" t="e">
        <f t="shared" ca="1" si="217"/>
        <v>#NAME?</v>
      </c>
      <c r="DR70" s="4"/>
      <c r="DS70" s="4">
        <f t="shared" si="137"/>
        <v>0</v>
      </c>
      <c r="DT70" s="4">
        <f t="shared" si="282"/>
        <v>0</v>
      </c>
      <c r="DU70" s="4">
        <f t="shared" si="218"/>
        <v>0</v>
      </c>
      <c r="DV70" s="4"/>
      <c r="DW70" s="4" t="e">
        <f t="shared" ca="1" si="273"/>
        <v>#NAME?</v>
      </c>
      <c r="DX70" s="4" t="e">
        <f t="shared" ca="1" si="219"/>
        <v>#NAME?</v>
      </c>
      <c r="DY70" s="4">
        <f t="shared" si="139"/>
        <v>0</v>
      </c>
      <c r="DZ70" s="4" t="e">
        <f t="shared" ca="1" si="220"/>
        <v>#NAME?</v>
      </c>
      <c r="EA70" s="4" t="e">
        <f t="shared" ca="1" si="221"/>
        <v>#NAME?</v>
      </c>
      <c r="EB70" s="4" t="e">
        <f t="shared" ca="1" si="222"/>
        <v>#NAME?</v>
      </c>
      <c r="EC70" s="4">
        <f t="shared" si="223"/>
        <v>2</v>
      </c>
      <c r="ED70" s="4"/>
      <c r="EE70" s="4" t="e">
        <f t="shared" ca="1" si="274"/>
        <v>#NAME?</v>
      </c>
      <c r="EF70" s="4">
        <f t="shared" si="224"/>
        <v>0</v>
      </c>
      <c r="EG70" s="4">
        <f t="shared" si="141"/>
        <v>0</v>
      </c>
      <c r="EH70" s="4" t="e">
        <f t="shared" ca="1" si="225"/>
        <v>#NAME?</v>
      </c>
      <c r="EI70" s="4" t="e">
        <f t="shared" ca="1" si="226"/>
        <v>#NAME?</v>
      </c>
      <c r="EJ70" s="4" t="e">
        <f t="shared" ca="1" si="227"/>
        <v>#NAME?</v>
      </c>
      <c r="EK70" s="4">
        <f t="shared" si="228"/>
        <v>2</v>
      </c>
      <c r="EL70" s="4">
        <f t="shared" si="229"/>
        <v>0</v>
      </c>
      <c r="EM70" s="4"/>
      <c r="EN70" s="4" t="e">
        <f t="shared" ca="1" si="275"/>
        <v>#NAME?</v>
      </c>
      <c r="EO70" s="4" t="e">
        <f t="shared" ca="1" si="230"/>
        <v>#NAME?</v>
      </c>
      <c r="EP70" s="4">
        <f t="shared" si="143"/>
        <v>0</v>
      </c>
      <c r="EQ70" s="4" t="e">
        <f t="shared" ca="1" si="231"/>
        <v>#NAME?</v>
      </c>
      <c r="ER70" s="4">
        <v>0</v>
      </c>
      <c r="ES70" s="4" t="e">
        <f t="shared" ca="1" si="144"/>
        <v>#NAME?</v>
      </c>
      <c r="ET70" s="4"/>
      <c r="EU70" s="4" t="e">
        <f t="shared" ca="1" si="276"/>
        <v>#NAME?</v>
      </c>
      <c r="EV70" s="4" t="e">
        <f t="shared" ca="1" si="232"/>
        <v>#NAME?</v>
      </c>
      <c r="EW70" s="4">
        <f t="shared" si="146"/>
        <v>0</v>
      </c>
      <c r="EX70" s="4" t="e">
        <f t="shared" ca="1" si="233"/>
        <v>#NAME?</v>
      </c>
      <c r="EY70" s="4">
        <v>0</v>
      </c>
      <c r="EZ70" s="4" t="e">
        <f t="shared" ca="1" si="147"/>
        <v>#NAME?</v>
      </c>
      <c r="FA70" s="4" t="e">
        <f t="shared" ca="1" si="277"/>
        <v>#NAME?</v>
      </c>
      <c r="FB70" s="1" t="e">
        <f t="shared" ca="1" si="234"/>
        <v>#NAME?</v>
      </c>
      <c r="FC70" s="4">
        <f t="shared" si="149"/>
        <v>0</v>
      </c>
      <c r="FD70" s="4">
        <f t="shared" si="150"/>
        <v>0</v>
      </c>
      <c r="FE70" s="4">
        <f t="shared" si="235"/>
        <v>0</v>
      </c>
      <c r="FF70" s="4">
        <f t="shared" si="236"/>
        <v>0</v>
      </c>
      <c r="FG70" s="4">
        <f t="shared" ca="1" si="237"/>
        <v>0</v>
      </c>
      <c r="FH70" s="17" t="e">
        <f t="shared" ca="1" si="238"/>
        <v>#NAME?</v>
      </c>
      <c r="FI70" s="4" t="e">
        <f t="shared" ca="1" si="239"/>
        <v>#NAME?</v>
      </c>
      <c r="FJ70" s="4"/>
      <c r="FK70" s="4" t="e">
        <f t="shared" ca="1" si="240"/>
        <v>#NAME?</v>
      </c>
      <c r="FL70" s="4"/>
      <c r="FM70" s="4">
        <v>0</v>
      </c>
      <c r="FN70" s="4">
        <f t="shared" si="241"/>
        <v>0</v>
      </c>
      <c r="FO70" s="4">
        <f t="shared" si="242"/>
        <v>0</v>
      </c>
      <c r="FP70" s="4">
        <f t="shared" si="243"/>
        <v>0</v>
      </c>
      <c r="FQ70" s="4">
        <f t="shared" si="244"/>
        <v>0</v>
      </c>
      <c r="FR70" s="4">
        <f t="shared" si="245"/>
        <v>0</v>
      </c>
      <c r="FS70" s="4">
        <f t="shared" si="246"/>
        <v>0</v>
      </c>
      <c r="FT70" s="4">
        <f t="shared" si="247"/>
        <v>0</v>
      </c>
      <c r="FU70" s="4"/>
      <c r="FV70" s="3">
        <f t="shared" si="248"/>
        <v>0</v>
      </c>
      <c r="FW70" s="3">
        <f t="shared" si="249"/>
        <v>0</v>
      </c>
      <c r="FX70" s="4">
        <f t="shared" si="151"/>
        <v>2080</v>
      </c>
      <c r="FY70" s="18">
        <f t="shared" si="250"/>
        <v>0</v>
      </c>
      <c r="FZ70" s="18">
        <f t="shared" si="251"/>
        <v>0</v>
      </c>
      <c r="GA70" s="18">
        <f t="shared" si="252"/>
        <v>0</v>
      </c>
      <c r="GB70" s="18">
        <f t="shared" si="253"/>
        <v>0</v>
      </c>
      <c r="GC70" s="18" t="e">
        <f t="shared" ca="1" si="254"/>
        <v>#NAME?</v>
      </c>
      <c r="GD70" s="18" t="e">
        <f t="shared" ca="1" si="255"/>
        <v>#NAME?</v>
      </c>
      <c r="GE70" s="18" t="e">
        <f t="shared" ca="1" si="256"/>
        <v>#NAME?</v>
      </c>
      <c r="GF70" s="18" t="e">
        <f t="shared" ca="1" si="257"/>
        <v>#NAME?</v>
      </c>
      <c r="GG70" s="18" t="e">
        <f t="shared" ca="1" si="258"/>
        <v>#NAME?</v>
      </c>
      <c r="GH70" s="18" t="e">
        <f t="shared" ca="1" si="259"/>
        <v>#NAME?</v>
      </c>
      <c r="GI70" s="4"/>
      <c r="GJ70" s="4">
        <f t="shared" si="260"/>
        <v>2080</v>
      </c>
      <c r="GK70" s="4" t="e">
        <f t="shared" ca="1" si="261"/>
        <v>#NAME?</v>
      </c>
      <c r="GL70" s="4" t="e">
        <f t="shared" ca="1" si="262"/>
        <v>#NAME?</v>
      </c>
      <c r="GM70" s="4" t="e">
        <f t="shared" ca="1" si="263"/>
        <v>#NAME?</v>
      </c>
      <c r="GN70" s="4" t="e">
        <f t="shared" ca="1" si="264"/>
        <v>#NAME?</v>
      </c>
      <c r="GO70" s="4"/>
      <c r="GP70" s="3" t="e">
        <f t="shared" ca="1" si="152"/>
        <v>#NAME?</v>
      </c>
      <c r="GQ70" s="3" t="e">
        <f t="shared" ca="1" si="265"/>
        <v>#NAME?</v>
      </c>
      <c r="GR70" s="3" t="e">
        <f t="shared" ca="1" si="266"/>
        <v>#NAME?</v>
      </c>
      <c r="GS70" s="3" t="e">
        <f t="shared" ca="1" si="267"/>
        <v>#NAME?</v>
      </c>
      <c r="GT70" s="3" t="e">
        <f t="array" aca="1" ref="GT70" ca="1">SUM(GP70:GS70*$GU$6:$GX$6)</f>
        <v>#NAME?</v>
      </c>
      <c r="GU70" s="3" t="e">
        <f t="shared" ca="1" si="155"/>
        <v>#NAME?</v>
      </c>
      <c r="GV70" s="3" t="e">
        <f t="shared" ca="1" si="156"/>
        <v>#NAME?</v>
      </c>
      <c r="GW70" s="3" t="e">
        <f t="shared" ca="1" si="157"/>
        <v>#NAME?</v>
      </c>
      <c r="GX70" s="3" t="e">
        <f t="shared" ca="1" si="158"/>
        <v>#NAME?</v>
      </c>
      <c r="GY70" s="11"/>
      <c r="HJ70">
        <f t="shared" si="159"/>
        <v>2073</v>
      </c>
      <c r="HK70" s="28">
        <f t="shared" si="164"/>
        <v>69030</v>
      </c>
      <c r="HL70" s="27">
        <f t="shared" si="162"/>
        <v>17000</v>
      </c>
      <c r="HM70" s="28">
        <f t="shared" si="163"/>
        <v>17004.837257172749</v>
      </c>
      <c r="HO70" t="s">
        <v>641</v>
      </c>
      <c r="HQ70" s="27">
        <v>4.9500000000000002E-2</v>
      </c>
    </row>
    <row r="71" spans="1:226" x14ac:dyDescent="0.25">
      <c r="A71" t="s">
        <v>307</v>
      </c>
      <c r="B71" s="62">
        <f>Inputs_Summary!AJ68</f>
        <v>1</v>
      </c>
      <c r="D71">
        <f t="shared" si="107"/>
        <v>2081</v>
      </c>
      <c r="E71">
        <f t="shared" si="108"/>
        <v>86</v>
      </c>
      <c r="F71" s="8"/>
      <c r="G71" s="8"/>
      <c r="H71" s="8"/>
      <c r="I71" s="8"/>
      <c r="J71" s="92"/>
      <c r="K71" s="91"/>
      <c r="L71" s="91"/>
      <c r="N71" s="93">
        <f t="shared" si="109"/>
        <v>0.05</v>
      </c>
      <c r="O71" s="23">
        <f t="shared" si="110"/>
        <v>0.4</v>
      </c>
      <c r="P71" s="23">
        <f t="shared" si="111"/>
        <v>0.1</v>
      </c>
      <c r="Q71" s="4">
        <f t="shared" ref="Q71:Q86" si="283">G71*$AX71*$HW$12</f>
        <v>0</v>
      </c>
      <c r="R71" s="4">
        <f t="shared" si="269"/>
        <v>0</v>
      </c>
      <c r="S71" s="4">
        <f t="shared" si="113"/>
        <v>0</v>
      </c>
      <c r="T71" s="4">
        <f t="shared" ca="1" si="114"/>
        <v>0</v>
      </c>
      <c r="V71" s="18" t="e">
        <f t="shared" ref="V71:V86" ca="1" si="284">CJ71*$FV71/1000</f>
        <v>#NAME?</v>
      </c>
      <c r="W71" s="18" t="e">
        <f t="shared" ref="W71:W86" ca="1" si="285">(CH71+CI71)*$FV71/1000</f>
        <v>#NAME?</v>
      </c>
      <c r="X71" s="18">
        <f t="shared" ref="X71:X86" si="286">CN71*$FV71/1000</f>
        <v>0</v>
      </c>
      <c r="Y71" s="18" t="e">
        <f t="shared" ref="Y71:Y86" ca="1" si="287">(DE71-BW71)*$FV71/1000</f>
        <v>#NAME?</v>
      </c>
      <c r="Z71" s="18" t="e">
        <f t="shared" ref="Z71:Z86" ca="1" si="288">(CX71-BX71)*$FV71/1000</f>
        <v>#NAME?</v>
      </c>
      <c r="AA71" s="18" t="e">
        <f t="shared" ref="AA71:AA86" ca="1" si="289">(DN71-BZ71)*$FV71/1000</f>
        <v>#NAME?</v>
      </c>
      <c r="AB71" s="18" t="e">
        <f t="shared" ref="AB71:AB86" ca="1" si="290">(DQ71-BY71)*$FV71/1000</f>
        <v>#NAME?</v>
      </c>
      <c r="AC71" s="18" t="e">
        <f t="shared" ref="AC71:AC86" ca="1" si="291">DW71*$FW71/1000</f>
        <v>#NAME?</v>
      </c>
      <c r="AD71" s="18" t="e">
        <f t="shared" ref="AD71:AD86" ca="1" si="292">EE71*$FW71/1000</f>
        <v>#NAME?</v>
      </c>
      <c r="AE71" s="18" t="e">
        <f t="shared" ref="AE71:AE86" ca="1" si="293">EN71*$FW71/1000</f>
        <v>#NAME?</v>
      </c>
      <c r="AF71" s="18" t="e">
        <f t="shared" ref="AF71:AF86" ca="1" si="294">EU71*$FW71/1000</f>
        <v>#NAME?</v>
      </c>
      <c r="AG71" s="18" t="e">
        <f t="shared" ref="AG71:AG86" ca="1" si="295">CP71*$FW71/1000</f>
        <v>#NAME?</v>
      </c>
      <c r="AI71">
        <f>Person2!E71</f>
        <v>86</v>
      </c>
      <c r="AJ71">
        <f>Person2!AZ71</f>
        <v>3</v>
      </c>
      <c r="AK71">
        <f>IF($AZ71&lt;&gt;3,Person2!FM71,0)</f>
        <v>0</v>
      </c>
      <c r="AL71" s="4">
        <f>IF($AZ71&lt;&gt;3,Person2!FN71+Person2!FT71,0)</f>
        <v>0</v>
      </c>
      <c r="AM71">
        <f>IF($AZ71&lt;&gt;3,Person2!FO71,0)</f>
        <v>0</v>
      </c>
      <c r="AN71">
        <f>IF($AZ71&lt;&gt;3,Person2!FP71,0)</f>
        <v>0</v>
      </c>
      <c r="AO71">
        <f>IF($AZ71&lt;&gt;3,Person2!FQ71,0)</f>
        <v>0</v>
      </c>
      <c r="AP71">
        <f>IF($AZ71&lt;&gt;3,Person2!FR71,0)</f>
        <v>0</v>
      </c>
      <c r="AQ71">
        <v>0</v>
      </c>
      <c r="AR71" s="4">
        <f>Person2!FS71</f>
        <v>0</v>
      </c>
      <c r="AS71" s="4">
        <v>0</v>
      </c>
      <c r="AT71" s="4">
        <v>0</v>
      </c>
      <c r="AV71">
        <f t="shared" si="270"/>
        <v>2081</v>
      </c>
      <c r="AW71">
        <f t="shared" si="271"/>
        <v>86</v>
      </c>
      <c r="AX71">
        <f t="shared" si="272"/>
        <v>3.5514932432768775</v>
      </c>
      <c r="AY71">
        <f t="shared" si="118"/>
        <v>0.28157170280220611</v>
      </c>
      <c r="AZ71">
        <f t="shared" si="119"/>
        <v>3</v>
      </c>
      <c r="BB71" s="4">
        <f t="shared" ref="BB71:BB86" si="296">CHOOSE($AZ71,$B$21*(1+$B$16)^(D71-$B$7),0,0,0)</f>
        <v>0</v>
      </c>
      <c r="BC71">
        <f t="shared" ref="BC71:BC86" si="297">(F71+G71)*AX71</f>
        <v>0</v>
      </c>
      <c r="BD71" s="4">
        <f t="shared" ref="BD71:BD86" si="298">CHOOSE($AZ71,0,IF(AW71&gt;=$B$42,$B$80*AX71,0),0,0)+AT71</f>
        <v>0</v>
      </c>
      <c r="BE71" s="4">
        <f t="shared" si="120"/>
        <v>0</v>
      </c>
      <c r="BF71" s="4">
        <f t="shared" si="121"/>
        <v>0</v>
      </c>
      <c r="BG71" s="4">
        <f t="shared" si="122"/>
        <v>0</v>
      </c>
      <c r="BH71" s="4">
        <f t="shared" ref="BH71:BH86" si="299">H71*AX71+AK71</f>
        <v>0</v>
      </c>
      <c r="BI71" s="4">
        <f t="shared" si="123"/>
        <v>0</v>
      </c>
      <c r="BJ71" s="4"/>
      <c r="BK71" s="4">
        <f t="shared" ref="BK71:BK86" si="300">CHOOSE(AZ71,$B$28*$AX71*(1+$B$29)^(AW71-$B$11),$B$30*$AX71*(1+$B$31)^(AW71-$B$12),0,0)</f>
        <v>0</v>
      </c>
      <c r="BL71" s="4">
        <f t="shared" si="124"/>
        <v>0</v>
      </c>
      <c r="BM71" s="4">
        <f t="shared" si="125"/>
        <v>0</v>
      </c>
      <c r="BN71" s="4">
        <v>0</v>
      </c>
      <c r="BO71" s="4">
        <f t="shared" si="126"/>
        <v>0</v>
      </c>
      <c r="BP71" s="4">
        <f t="shared" si="127"/>
        <v>0</v>
      </c>
      <c r="BQ71" s="4"/>
      <c r="BR71" s="4">
        <v>0</v>
      </c>
      <c r="BS71" s="4" t="e">
        <f t="shared" ref="BS71:BS86" ca="1" si="301">IF(AND($B$56=1,$B$62=1),CT71-DB71+DF70,0)</f>
        <v>#NAME?</v>
      </c>
      <c r="BT71" s="4">
        <f t="shared" ref="BT71:BT86" si="302">IF(AND($B$57=1,$B$60=1),DM71,0)</f>
        <v>0</v>
      </c>
      <c r="BU71" s="4">
        <f t="shared" ref="BU71:BU86" si="303">MAX(0,-BP71)</f>
        <v>0</v>
      </c>
      <c r="BV71" s="4">
        <f t="shared" ref="BV71:BV86" si="304">CHOOSE(AZ71,1,1,0,0)</f>
        <v>0</v>
      </c>
      <c r="BW71" s="4" t="e">
        <f t="shared" ref="BW71:BW86" ca="1" si="305">IF(AND(AZ71=4,$B$79=2),DW71,MAX(EA71,MIN(EB71,$BU71*GU71+BR71+IF(AND($B$61=1,AZ71=2),(BT71-MAX(0,BP71)))))*$BV71)</f>
        <v>#NAME?</v>
      </c>
      <c r="BX71" s="4" t="e">
        <f t="shared" ref="BX71:BX86" ca="1" si="306">IF(AND(AZ71=4,$B$79=2),EE71,MAX(EI71,MIN(EJ71,$BU71*GV71))*$BV71)</f>
        <v>#NAME?</v>
      </c>
      <c r="BY71" s="4" t="e">
        <f t="shared" ref="BY71:BY86" ca="1" si="307">IF(AND(AZ71=4,$B$79=2),EU71,MAX(EY71,MIN(EZ71,$BU71-SUM(BW71,BX71)+(BS71+BT71-MAX(0,BP71))-MAX(0,BW71+BX71-BU71)))*$BV71)</f>
        <v>#NAME?</v>
      </c>
      <c r="BZ71" s="4" t="e">
        <f t="shared" ref="BZ71:BZ86" ca="1" si="308">IF(AND(AZ71=4,$B$79=2),EN71,MAX(ER71,MIN(ES71,$BU71-SUM(BW71,BX71,BY71)))*$BV71)</f>
        <v>#NAME?</v>
      </c>
      <c r="CA71" s="4" t="e">
        <f t="shared" ref="CA71:CA86" ca="1" si="309">SUM(BW71,BX71,BY71,BZ71)</f>
        <v>#NAME?</v>
      </c>
      <c r="CB71" s="4" t="e">
        <f t="shared" ca="1" si="160"/>
        <v>#NAME?</v>
      </c>
      <c r="CC71" s="4"/>
      <c r="CD71" s="4" t="e">
        <f t="shared" ref="CD71:CD86" ca="1" si="310">BI71+CA71</f>
        <v>#NAME?</v>
      </c>
      <c r="CE71" s="4">
        <f t="shared" si="128"/>
        <v>0</v>
      </c>
      <c r="CF71" s="16">
        <f t="shared" ref="CF71:CF86" si="311">IF($E71&gt;=$HQ$49,MAX(0,MIN(1,1-(CE71-AX71*$HR$50)*$HQ$51/$HW$9)),0)</f>
        <v>1</v>
      </c>
      <c r="CG71" s="4">
        <f t="shared" si="129"/>
        <v>0</v>
      </c>
      <c r="CH71" s="4" t="e">
        <f t="shared" ref="CH71:CH86" ca="1" si="312">MAX(0,interpolate($CE71/$AX71,$HP$7:$HP$13,$HR$7:$HR$13,7)*$AX71-($B$25+$HW$8+CF71*$HW$9)*$AX71*$HV$7-FF71-S71)</f>
        <v>#NAME?</v>
      </c>
      <c r="CI71" s="4" t="e">
        <f t="shared" ref="CI71:CI86" ca="1" si="313">MAX(0,interpolate($CE71/$AX71,$HP$18:$HP$24,$HR$18:$HR$24,7)*$AX71-($B$26+$HW$19+CF71*$HW$20)*$AX71*$HV$18-FG71-T71)</f>
        <v>#NAME?</v>
      </c>
      <c r="CJ71" s="4" t="e">
        <f t="shared" ca="1" si="130"/>
        <v>#NAME?</v>
      </c>
      <c r="CK71" s="4" t="e">
        <f t="shared" ref="CK71:CK86" ca="1" si="314">CJ71/AX71</f>
        <v>#NAME?</v>
      </c>
      <c r="CL71" s="4" t="e">
        <f t="shared" ref="CL71:CL86" ca="1" si="315">IF(OR(CD71=0,ISERROR(BN71),(CD71-CR71)=0),0.15*CD71,MAX(0,$B$71*(CG71+CH71+CI71)+(1-$B$71)*(BN71)))</f>
        <v>#NAME?</v>
      </c>
      <c r="CM71" s="16"/>
      <c r="CN71" s="4">
        <f t="shared" ref="CN71:CN86" si="316">CHOOSE($AZ71,0,BM71-CJ71,0,0)</f>
        <v>0</v>
      </c>
      <c r="CO71" s="4">
        <f t="shared" ref="CO71:CO86" si="317">CHOOSE(AZ71,0,IF(CN71&gt;100,1,0),0,0)</f>
        <v>0</v>
      </c>
      <c r="CP71" s="4" t="e">
        <f t="shared" ca="1" si="279"/>
        <v>#NAME?</v>
      </c>
      <c r="CQ71" s="4"/>
      <c r="CR71" s="4" t="e">
        <f t="shared" ref="CR71:CR86" ca="1" si="318">MAX(0,BP71)+CB71</f>
        <v>#NAME?</v>
      </c>
      <c r="CS71" s="4">
        <f t="shared" ref="CS71:CS86" ca="1" si="319">OFFSET($HK$7,$D71-$HJ$7,0)</f>
        <v>80880</v>
      </c>
      <c r="CT71" s="4">
        <f t="shared" ref="CT71:CT86" ca="1" si="320">MAX(0,MIN($HQ$66*BB71,CS71))</f>
        <v>0</v>
      </c>
      <c r="CU71" s="4"/>
      <c r="CV71" s="4" t="e">
        <f t="shared" ca="1" si="132"/>
        <v>#NAME?</v>
      </c>
      <c r="CW71" s="4">
        <f t="shared" ref="CW71:CW86" ca="1" si="321">MIN(CT71,$B$22*BB71)</f>
        <v>0</v>
      </c>
      <c r="CX71" s="4">
        <f t="shared" ref="CX71:CX86" si="322">IF(E71&gt;=72,0,MIN(CV71,CW71))</f>
        <v>0</v>
      </c>
      <c r="CY71" s="4" t="e">
        <f t="shared" ca="1" si="133"/>
        <v>#NAME?</v>
      </c>
      <c r="CZ71" s="4"/>
      <c r="DA71" s="4" t="e">
        <f t="shared" ref="DA71:DA86" ca="1" si="323">CHOOSE($B$58+1,CY71-DN71,CY71)</f>
        <v>#NAME?</v>
      </c>
      <c r="DB71" s="4">
        <f t="shared" ref="DB71:DB86" si="324">CHOOSE(AZ71,$B$23*(1+$B$16)^(D71-$B$7),0,0,0)</f>
        <v>0</v>
      </c>
      <c r="DC71" s="4">
        <f t="shared" si="134"/>
        <v>0</v>
      </c>
      <c r="DD71" s="4">
        <f t="shared" ref="DD71:DD86" si="325">IF(E71&gt;=72,0,MAX(0,CT71-DB71-DC71+DF70))</f>
        <v>0</v>
      </c>
      <c r="DE71" s="4" t="e">
        <f t="shared" ref="DE71:DE86" ca="1" si="326">MIN(DA71,DD71*$B$56)</f>
        <v>#NAME?</v>
      </c>
      <c r="DF71" s="4" t="e">
        <f t="shared" ca="1" si="135"/>
        <v>#NAME?</v>
      </c>
      <c r="DG71" s="4" t="e">
        <f t="shared" ca="1" si="136"/>
        <v>#NAME?</v>
      </c>
      <c r="DH71" s="4">
        <f t="shared" ref="DH71:DH86" si="327">IF(AND(AI71&lt;=70,AJ71&lt;=2),DE71*$B$24,0)</f>
        <v>0</v>
      </c>
      <c r="DI71" s="4"/>
      <c r="DJ71" s="4" t="e">
        <f t="shared" ref="DJ71:DJ86" ca="1" si="328">CHOOSE($B$58+1,CY71,CY71-DE71)</f>
        <v>#NAME?</v>
      </c>
      <c r="DK71" s="4">
        <f t="shared" ref="DK71:DK86" ca="1" si="329">OFFSET($HL$7,$D71-$HJ$7,0)</f>
        <v>20000</v>
      </c>
      <c r="DL71" s="4">
        <f t="shared" ref="DL71:DL86" ca="1" si="330">IF(E71&lt;18,0,DK71)</f>
        <v>20000</v>
      </c>
      <c r="DM71" s="4">
        <f t="shared" ref="DM71:DM86" si="331">CHOOSE(AZ71,DL71+DO70+EQ70,DL71+DO70+EQ70,0,0)</f>
        <v>0</v>
      </c>
      <c r="DN71" s="4" t="e">
        <f t="shared" ref="DN71:DN86" ca="1" si="332">MIN(DJ71,DM71*CHOOSE(AZ71,$B$57,$B$57,0,0))</f>
        <v>#NAME?</v>
      </c>
      <c r="DO71" s="4" t="e">
        <f t="shared" ref="DO71:DO86" ca="1" si="333">DM71-DN71</f>
        <v>#NAME?</v>
      </c>
      <c r="DP71" s="4"/>
      <c r="DQ71" s="4" t="e">
        <f t="shared" ref="DQ71:DQ86" ca="1" si="334">MAX(0,CY71-DE71-DN71)</f>
        <v>#NAME?</v>
      </c>
      <c r="DR71" s="4"/>
      <c r="DS71" s="4">
        <f t="shared" si="137"/>
        <v>0</v>
      </c>
      <c r="DT71" s="4">
        <f t="shared" si="282"/>
        <v>0</v>
      </c>
      <c r="DU71" s="4">
        <f t="shared" ref="DU71:DU86" si="335">IF($B$74=1,IF(ISERROR(DT71),0,DT71),0)</f>
        <v>0</v>
      </c>
      <c r="DV71" s="4"/>
      <c r="DW71" s="4" t="e">
        <f t="shared" ca="1" si="273"/>
        <v>#NAME?</v>
      </c>
      <c r="DX71" s="4" t="e">
        <f t="shared" ref="DX71:DX86" ca="1" si="336">DG71+AL71</f>
        <v>#NAME?</v>
      </c>
      <c r="DY71" s="4">
        <f t="shared" si="139"/>
        <v>0</v>
      </c>
      <c r="DZ71" s="4" t="e">
        <f t="shared" ref="DZ71:DZ86" ca="1" si="337">BW71</f>
        <v>#NAME?</v>
      </c>
      <c r="EA71" s="4" t="e">
        <f t="shared" ref="EA71:EA86" ca="1" si="338">CHOOSE($EC71,0,interpolate($AW71,$HG$7:$HG$60,$HH$7:$HH$60,54))*$DW71</f>
        <v>#NAME?</v>
      </c>
      <c r="EB71" s="4" t="e">
        <f t="shared" ref="EB71:EB86" ca="1" si="339">IF(AND($B$63=1,E71&lt;$B$49),0,MAX(0,DW71+DY71))</f>
        <v>#NAME?</v>
      </c>
      <c r="EC71" s="4">
        <f t="shared" ref="EC71:EC86" si="340">IF($AW71&lt;$B$49,1,2)</f>
        <v>2</v>
      </c>
      <c r="ED71" s="4"/>
      <c r="EE71" s="4" t="e">
        <f t="shared" ca="1" si="274"/>
        <v>#NAME?</v>
      </c>
      <c r="EF71" s="4">
        <f t="shared" ref="EF71:EF86" si="341">CX71+AM71</f>
        <v>0</v>
      </c>
      <c r="EG71" s="4">
        <f t="shared" si="141"/>
        <v>0</v>
      </c>
      <c r="EH71" s="4" t="e">
        <f t="shared" ref="EH71:EH86" ca="1" si="342">BX71</f>
        <v>#NAME?</v>
      </c>
      <c r="EI71" s="4" t="e">
        <f t="shared" ref="EI71:EI86" ca="1" si="343">CHOOSE($EK71,0,interpolate($AW71,$GZ$7:$GZ$58,$HA$7:$HA$58,52))*$EE71</f>
        <v>#NAME?</v>
      </c>
      <c r="EJ71" s="4" t="e">
        <f t="shared" ref="EJ71:EJ86" ca="1" si="344">CHOOSE($EK71,0,interpolate($AW71,$GZ$7:$GZ$58,$HB$7:$HB$58,52))*$EE71</f>
        <v>#NAME?</v>
      </c>
      <c r="EK71" s="4">
        <f t="shared" ref="EK71:EK86" si="345">IF($AW71&lt;$B$48,1,2)</f>
        <v>2</v>
      </c>
      <c r="EL71" s="4">
        <f t="shared" ref="EL71:EL86" si="346">IF(AND($B$59=1,AW71=MAX($B$12,$B$48,IF($B$8="Alberta",50,55))),0.5*EE71,0)</f>
        <v>0</v>
      </c>
      <c r="EM71" s="4"/>
      <c r="EN71" s="4" t="e">
        <f t="shared" ca="1" si="275"/>
        <v>#NAME?</v>
      </c>
      <c r="EO71" s="4" t="e">
        <f t="shared" ref="EO71:EO86" ca="1" si="347">DN71+AN71</f>
        <v>#NAME?</v>
      </c>
      <c r="EP71" s="4">
        <f t="shared" si="143"/>
        <v>0</v>
      </c>
      <c r="EQ71" s="4" t="e">
        <f t="shared" ref="EQ71:EQ86" ca="1" si="348">BZ71</f>
        <v>#NAME?</v>
      </c>
      <c r="ER71" s="4">
        <v>0</v>
      </c>
      <c r="ES71" s="4" t="e">
        <f t="shared" ca="1" si="144"/>
        <v>#NAME?</v>
      </c>
      <c r="ET71" s="4"/>
      <c r="EU71" s="4" t="e">
        <f t="shared" ca="1" si="276"/>
        <v>#NAME?</v>
      </c>
      <c r="EV71" s="4" t="e">
        <f t="shared" ref="EV71:EV86" ca="1" si="349">DQ71+AO71</f>
        <v>#NAME?</v>
      </c>
      <c r="EW71" s="4">
        <f t="shared" si="146"/>
        <v>0</v>
      </c>
      <c r="EX71" s="4" t="e">
        <f t="shared" ref="EX71:EX86" ca="1" si="350">BY71</f>
        <v>#NAME?</v>
      </c>
      <c r="EY71" s="4">
        <v>0</v>
      </c>
      <c r="EZ71" s="4" t="e">
        <f t="shared" ca="1" si="147"/>
        <v>#NAME?</v>
      </c>
      <c r="FA71" s="4" t="e">
        <f t="shared" ca="1" si="277"/>
        <v>#NAME?</v>
      </c>
      <c r="FB71" s="1" t="e">
        <f t="shared" ref="FB71:FB86" ca="1" si="351">IF(EU71=0,0,FA71/EU71)</f>
        <v>#NAME?</v>
      </c>
      <c r="FC71" s="4">
        <f t="shared" si="149"/>
        <v>0</v>
      </c>
      <c r="FD71" s="4">
        <f t="shared" si="150"/>
        <v>0</v>
      </c>
      <c r="FE71" s="4">
        <f t="shared" ref="FE71:FE86" si="352">EW71*$P71*(1+$HQ$59)</f>
        <v>0</v>
      </c>
      <c r="FF71" s="4">
        <f t="shared" ref="FF71:FF86" si="353">FE71*$HV$13</f>
        <v>0</v>
      </c>
      <c r="FG71" s="4">
        <f t="shared" ref="FG71:FG86" ca="1" si="354">FE71*$HV$24</f>
        <v>0</v>
      </c>
      <c r="FH71" s="17" t="e">
        <f t="shared" ref="FH71:FH86" ca="1" si="355">MAX(0,EX71*FB71)</f>
        <v>#NAME?</v>
      </c>
      <c r="FI71" s="4" t="e">
        <f t="shared" ref="FI71:FI86" ca="1" si="356">FH71*$HQ$61</f>
        <v>#NAME?</v>
      </c>
      <c r="FJ71" s="4"/>
      <c r="FK71" s="4" t="e">
        <f t="shared" ref="FK71:FK86" ca="1" si="357">EB71+(EE71+EG71)*(EK71-1)+ES71+EZ71</f>
        <v>#NAME?</v>
      </c>
      <c r="FL71" s="4"/>
      <c r="FM71" s="4">
        <v>0</v>
      </c>
      <c r="FN71" s="4">
        <f t="shared" ref="FN71:FN86" si="358">IF(AND(AZ71=4,$B$79=1),DW71,0)</f>
        <v>0</v>
      </c>
      <c r="FO71" s="4">
        <f t="shared" ref="FO71:FO86" si="359">IF(AND(AZ71=4,$B$79=1),EE71,0)</f>
        <v>0</v>
      </c>
      <c r="FP71" s="4">
        <f t="shared" ref="FP71:FP86" si="360">IF(AND(AZ71=4,$B$79=1),EN71,0)</f>
        <v>0</v>
      </c>
      <c r="FQ71" s="4">
        <f t="shared" ref="FQ71:FQ86" si="361">IF(AND(AZ71=4,$B$79=1),EU71,0)</f>
        <v>0</v>
      </c>
      <c r="FR71" s="4">
        <f t="shared" ref="FR71:FR86" si="362">IF(AND(AZ71=4,$B$79=1),FA71,0)</f>
        <v>0</v>
      </c>
      <c r="FS71" s="4">
        <f t="shared" ref="FS71:FS86" si="363">$B$40/(1-$B$40)*BF71</f>
        <v>0</v>
      </c>
      <c r="FT71" s="4">
        <f t="shared" ref="FT71:FT86" si="364">DH71</f>
        <v>0</v>
      </c>
      <c r="FU71" s="4"/>
      <c r="FV71" s="3">
        <f t="shared" ref="FV71:FV86" si="365">IF(AZ71&gt;=3,0,IF($B$9=1,1/$AX71,1))</f>
        <v>0</v>
      </c>
      <c r="FW71" s="3">
        <f t="shared" ref="FW71:FW86" si="366">IF(AZ71=3,0,IF($B$9=1,1/$AX71,1))</f>
        <v>0</v>
      </c>
      <c r="FX71" s="4">
        <f t="shared" si="151"/>
        <v>2081</v>
      </c>
      <c r="FY71" s="18">
        <f t="shared" ref="FY71:FY86" si="367">(BB71+BC71+BH71)*$FV71/1000</f>
        <v>0</v>
      </c>
      <c r="FZ71" s="18">
        <f t="shared" ref="FZ71:FZ86" si="368">BD71*$FV71/1000</f>
        <v>0</v>
      </c>
      <c r="GA71" s="18">
        <f t="shared" ref="GA71:GA86" si="369">BE71*$FV71/1000</f>
        <v>0</v>
      </c>
      <c r="GB71" s="18">
        <f t="shared" ref="GB71:GB86" si="370">(BF71+BG71)*$FV71/1000</f>
        <v>0</v>
      </c>
      <c r="GC71" s="18" t="e">
        <f t="shared" ref="GC71:GC86" ca="1" si="371">BW71*$FV71/1000</f>
        <v>#NAME?</v>
      </c>
      <c r="GD71" s="18" t="e">
        <f t="shared" ref="GD71:GD86" ca="1" si="372">BX71*$FV71/1000</f>
        <v>#NAME?</v>
      </c>
      <c r="GE71" s="18" t="e">
        <f t="shared" ref="GE71:GE86" ca="1" si="373">BY71*$FV71/1000</f>
        <v>#NAME?</v>
      </c>
      <c r="GF71" s="18" t="e">
        <f t="shared" ref="GF71:GF86" ca="1" si="374">BZ71*$FV71/1000</f>
        <v>#NAME?</v>
      </c>
      <c r="GG71" s="18" t="e">
        <f t="shared" ref="GG71:GG86" ca="1" si="375">(CJ71+CR71)*$FV71/1000</f>
        <v>#NAME?</v>
      </c>
      <c r="GH71" s="18" t="e">
        <f t="shared" ref="GH71:GH86" ca="1" si="376">CJ71*$FV71/1000</f>
        <v>#NAME?</v>
      </c>
      <c r="GI71" s="4"/>
      <c r="GJ71" s="4">
        <f t="shared" si="260"/>
        <v>2081</v>
      </c>
      <c r="GK71" s="4" t="e">
        <f t="shared" ref="GK71:GK86" ca="1" si="377">DW71*$FW71/1000</f>
        <v>#NAME?</v>
      </c>
      <c r="GL71" s="4" t="e">
        <f t="shared" ref="GL71:GL86" ca="1" si="378">EE71*$FW71/1000</f>
        <v>#NAME?</v>
      </c>
      <c r="GM71" s="4" t="e">
        <f t="shared" ref="GM71:GM86" ca="1" si="379">EN71*$FW71/1000</f>
        <v>#NAME?</v>
      </c>
      <c r="GN71" s="4" t="e">
        <f t="shared" ref="GN71:GN86" ca="1" si="380">EU71*$FW71/1000</f>
        <v>#NAME?</v>
      </c>
      <c r="GO71" s="4"/>
      <c r="GP71" s="3" t="e">
        <f t="shared" ca="1" si="152"/>
        <v>#NAME?</v>
      </c>
      <c r="GQ71" s="3" t="e">
        <f t="shared" ref="GQ71:GQ86" ca="1" si="381">IF(FK71=0,0.1,(EE71+EG71)*(EK71-1)/FK71)</f>
        <v>#NAME?</v>
      </c>
      <c r="GR71" s="3" t="e">
        <f t="shared" ref="GR71:GR86" ca="1" si="382">IF(FK71=0,0.1,EZ71/FK71)</f>
        <v>#NAME?</v>
      </c>
      <c r="GS71" s="3" t="e">
        <f t="shared" ref="GS71:GS86" ca="1" si="383">IF(FK71=0,0.1,ES71/FK71)</f>
        <v>#NAME?</v>
      </c>
      <c r="GT71" s="3" t="e">
        <f t="array" aca="1" ref="GT71" ca="1">SUM(GP71:GS71*$GU$6:$GX$6)</f>
        <v>#NAME?</v>
      </c>
      <c r="GU71" s="3" t="e">
        <f t="shared" ca="1" si="155"/>
        <v>#NAME?</v>
      </c>
      <c r="GV71" s="3" t="e">
        <f t="shared" ca="1" si="156"/>
        <v>#NAME?</v>
      </c>
      <c r="GW71" s="3" t="e">
        <f t="shared" ca="1" si="157"/>
        <v>#NAME?</v>
      </c>
      <c r="GX71" s="3" t="e">
        <f t="shared" ca="1" si="158"/>
        <v>#NAME?</v>
      </c>
      <c r="GY71" s="11"/>
      <c r="HJ71">
        <f t="shared" si="159"/>
        <v>2074</v>
      </c>
      <c r="HK71" s="28">
        <f t="shared" si="164"/>
        <v>70410</v>
      </c>
      <c r="HL71" s="27">
        <f t="shared" si="162"/>
        <v>17500</v>
      </c>
      <c r="HM71" s="28">
        <f t="shared" si="163"/>
        <v>17344.934002316204</v>
      </c>
      <c r="HO71" t="s">
        <v>642</v>
      </c>
      <c r="HQ71" s="27">
        <v>3500</v>
      </c>
      <c r="HR71" s="4">
        <f>HQ71*(1+$B$15)^($B$7-$HP$26)</f>
        <v>3500</v>
      </c>
    </row>
    <row r="72" spans="1:226" x14ac:dyDescent="0.25">
      <c r="D72">
        <f t="shared" ref="D72:D86" si="384">AV72</f>
        <v>2082</v>
      </c>
      <c r="E72">
        <f t="shared" ref="E72:E86" si="385">AW72</f>
        <v>87</v>
      </c>
      <c r="F72" s="8"/>
      <c r="G72" s="8"/>
      <c r="H72" s="8"/>
      <c r="I72" s="8"/>
      <c r="J72" s="92"/>
      <c r="K72" s="91"/>
      <c r="L72" s="91"/>
      <c r="N72" s="93">
        <f t="shared" ref="N72:N86" si="386">IF(AND(J72&lt;&gt;"",J72&lt;&gt;" "),J72,$B$17)</f>
        <v>0.05</v>
      </c>
      <c r="O72" s="23">
        <f t="shared" ref="O72:O86" si="387">IF(AND(K72&lt;&gt;"",K72&lt;&gt;" "),K72,$B$18)</f>
        <v>0.4</v>
      </c>
      <c r="P72" s="23">
        <f t="shared" ref="P72:P86" si="388">IF(AND(L72&lt;&gt;"",L72&lt;&gt;" "),L72,$B$19)</f>
        <v>0.1</v>
      </c>
      <c r="Q72" s="4">
        <f t="shared" si="283"/>
        <v>0</v>
      </c>
      <c r="R72" s="4">
        <f t="shared" ref="R72:R86" si="389">G72*AX72*(1+$HW$12)</f>
        <v>0</v>
      </c>
      <c r="S72" s="4">
        <f t="shared" ref="S72:S86" si="390">R72*$HW$13</f>
        <v>0</v>
      </c>
      <c r="T72" s="4">
        <f t="shared" ref="T72:T86" ca="1" si="391">R72*$HW$24</f>
        <v>0</v>
      </c>
      <c r="V72" s="18" t="e">
        <f t="shared" ca="1" si="284"/>
        <v>#NAME?</v>
      </c>
      <c r="W72" s="18" t="e">
        <f t="shared" ca="1" si="285"/>
        <v>#NAME?</v>
      </c>
      <c r="X72" s="18">
        <f t="shared" si="286"/>
        <v>0</v>
      </c>
      <c r="Y72" s="18" t="e">
        <f t="shared" ca="1" si="287"/>
        <v>#NAME?</v>
      </c>
      <c r="Z72" s="18" t="e">
        <f t="shared" ca="1" si="288"/>
        <v>#NAME?</v>
      </c>
      <c r="AA72" s="18" t="e">
        <f t="shared" ca="1" si="289"/>
        <v>#NAME?</v>
      </c>
      <c r="AB72" s="18" t="e">
        <f t="shared" ca="1" si="290"/>
        <v>#NAME?</v>
      </c>
      <c r="AC72" s="18" t="e">
        <f t="shared" ca="1" si="291"/>
        <v>#NAME?</v>
      </c>
      <c r="AD72" s="18" t="e">
        <f t="shared" ca="1" si="292"/>
        <v>#NAME?</v>
      </c>
      <c r="AE72" s="18" t="e">
        <f t="shared" ca="1" si="293"/>
        <v>#NAME?</v>
      </c>
      <c r="AF72" s="18" t="e">
        <f t="shared" ca="1" si="294"/>
        <v>#NAME?</v>
      </c>
      <c r="AG72" s="18" t="e">
        <f t="shared" ca="1" si="295"/>
        <v>#NAME?</v>
      </c>
      <c r="AI72">
        <f>Person2!E72</f>
        <v>87</v>
      </c>
      <c r="AJ72">
        <f>Person2!AZ72</f>
        <v>3</v>
      </c>
      <c r="AK72">
        <f>IF($AZ72&lt;&gt;3,Person2!FM72,0)</f>
        <v>0</v>
      </c>
      <c r="AL72" s="4">
        <f>IF($AZ72&lt;&gt;3,Person2!FN72+Person2!FT72,0)</f>
        <v>0</v>
      </c>
      <c r="AM72">
        <f>IF($AZ72&lt;&gt;3,Person2!FO72,0)</f>
        <v>0</v>
      </c>
      <c r="AN72">
        <f>IF($AZ72&lt;&gt;3,Person2!FP72,0)</f>
        <v>0</v>
      </c>
      <c r="AO72">
        <f>IF($AZ72&lt;&gt;3,Person2!FQ72,0)</f>
        <v>0</v>
      </c>
      <c r="AP72">
        <f>IF($AZ72&lt;&gt;3,Person2!FR72,0)</f>
        <v>0</v>
      </c>
      <c r="AQ72">
        <v>0</v>
      </c>
      <c r="AR72" s="4">
        <f>Person2!FS72</f>
        <v>0</v>
      </c>
      <c r="AS72" s="4">
        <v>0</v>
      </c>
      <c r="AT72" s="4">
        <v>0</v>
      </c>
      <c r="AV72">
        <f t="shared" si="270"/>
        <v>2082</v>
      </c>
      <c r="AW72">
        <f t="shared" si="271"/>
        <v>87</v>
      </c>
      <c r="AX72">
        <f t="shared" ref="AX72:AX86" si="392">AX71*(1+$B$15)</f>
        <v>3.6225231081424152</v>
      </c>
      <c r="AY72">
        <f t="shared" ref="AY72:AY86" si="393">1/AX72</f>
        <v>0.27605068902177066</v>
      </c>
      <c r="AZ72">
        <f t="shared" ref="AZ72:AZ86" si="394">IF(AW72=$B$13,4,IF(AW72&gt;$B$13,3,IF(AW72&lt;$B$12,1,2)))</f>
        <v>3</v>
      </c>
      <c r="BB72" s="4">
        <f t="shared" si="296"/>
        <v>0</v>
      </c>
      <c r="BC72">
        <f t="shared" si="297"/>
        <v>0</v>
      </c>
      <c r="BD72" s="4">
        <f t="shared" si="298"/>
        <v>0</v>
      </c>
      <c r="BE72" s="4">
        <f t="shared" ref="BE72:BE86" si="395">CHOOSE($AZ72,0,MAX(0,IF(AW72&gt;=$B$45,$B$81*AX72-$HQ$64*MAX(0,(CE71-$HR$63*AX72))),0),0,0)</f>
        <v>0</v>
      </c>
      <c r="BF72" s="4">
        <f t="shared" ref="BF72:BF86" si="396">(1-$B$40)*MAX(0,CHOOSE($AZ72,0,IF(AW72&gt;=$B$36,$B$35*(1+$B$37)^($B$36-$B$11)*(1+$B$38)^(AW72-$B$36)-$B$39*BD72,0),0,0))</f>
        <v>0</v>
      </c>
      <c r="BG72" s="4">
        <f t="shared" ref="BG72:BG86" si="397">AR72+AS72</f>
        <v>0</v>
      </c>
      <c r="BH72" s="4">
        <f t="shared" si="299"/>
        <v>0</v>
      </c>
      <c r="BI72" s="4">
        <f t="shared" ref="BI72:BI86" si="398">SUM(BB72:BH72)</f>
        <v>0</v>
      </c>
      <c r="BJ72" s="4"/>
      <c r="BK72" s="4">
        <f t="shared" si="300"/>
        <v>0</v>
      </c>
      <c r="BL72" s="4">
        <f t="shared" ref="BL72:BL86" si="399">CHOOSE(AZ72,I72*AX72,I72*AX72,0,0)</f>
        <v>0</v>
      </c>
      <c r="BM72" s="4">
        <f t="shared" ref="BM72:BM86" si="400">BK72+BL72+AQ72</f>
        <v>0</v>
      </c>
      <c r="BN72" s="4">
        <v>0</v>
      </c>
      <c r="BO72" s="4">
        <f t="shared" ref="BO72:BO86" si="401">IF(ISERROR(BN72),BM72,BM72+BN72)</f>
        <v>0</v>
      </c>
      <c r="BP72" s="4">
        <f t="shared" ref="BP72:BP86" si="402">CHOOSE(AZ72,BI72-BO72,BI72-BO72,0,0)</f>
        <v>0</v>
      </c>
      <c r="BQ72" s="4"/>
      <c r="BR72" s="4">
        <v>0</v>
      </c>
      <c r="BS72" s="4" t="e">
        <f t="shared" ca="1" si="301"/>
        <v>#NAME?</v>
      </c>
      <c r="BT72" s="4">
        <f t="shared" si="302"/>
        <v>0</v>
      </c>
      <c r="BU72" s="4">
        <f t="shared" si="303"/>
        <v>0</v>
      </c>
      <c r="BV72" s="4">
        <f t="shared" si="304"/>
        <v>0</v>
      </c>
      <c r="BW72" s="4" t="e">
        <f t="shared" ca="1" si="305"/>
        <v>#NAME?</v>
      </c>
      <c r="BX72" s="4" t="e">
        <f t="shared" ca="1" si="306"/>
        <v>#NAME?</v>
      </c>
      <c r="BY72" s="4" t="e">
        <f t="shared" ca="1" si="307"/>
        <v>#NAME?</v>
      </c>
      <c r="BZ72" s="4" t="e">
        <f t="shared" ca="1" si="308"/>
        <v>#NAME?</v>
      </c>
      <c r="CA72" s="4" t="e">
        <f t="shared" ca="1" si="309"/>
        <v>#NAME?</v>
      </c>
      <c r="CB72" s="4" t="e">
        <f t="shared" ca="1" si="160"/>
        <v>#NAME?</v>
      </c>
      <c r="CC72" s="4"/>
      <c r="CD72" s="4" t="e">
        <f t="shared" ca="1" si="310"/>
        <v>#NAME?</v>
      </c>
      <c r="CE72" s="4">
        <f t="shared" ref="CE72:CE86" si="403">IF($AZ72=3,0,BI72-BH72+BW72+BX72+FD72+FE72+FI72-DE72-CX72+Q72-CG72)</f>
        <v>0</v>
      </c>
      <c r="CF72" s="16">
        <f t="shared" si="311"/>
        <v>1</v>
      </c>
      <c r="CG72" s="4">
        <f t="shared" ref="CG72:CG86" si="404">IF(E72&gt;$HQ$73,0,MAX(0,MIN($HR$72*AX72,(BB72-$HR$71)*$HQ$70)))+MAX(0,MIN($HQ$69*AX72,BB72*$HQ$68))</f>
        <v>0</v>
      </c>
      <c r="CH72" s="4" t="e">
        <f t="shared" ca="1" si="312"/>
        <v>#NAME?</v>
      </c>
      <c r="CI72" s="4" t="e">
        <f t="shared" ca="1" si="313"/>
        <v>#NAME?</v>
      </c>
      <c r="CJ72" s="4" t="e">
        <f t="shared" ref="CJ72:CJ86" ca="1" si="405">CD72-(CG72+CH72+CI72)-CR72</f>
        <v>#NAME?</v>
      </c>
      <c r="CK72" s="4" t="e">
        <f t="shared" ca="1" si="314"/>
        <v>#NAME?</v>
      </c>
      <c r="CL72" s="4" t="e">
        <f t="shared" ca="1" si="315"/>
        <v>#NAME?</v>
      </c>
      <c r="CM72" s="16"/>
      <c r="CN72" s="4">
        <f t="shared" si="316"/>
        <v>0</v>
      </c>
      <c r="CO72" s="4">
        <f t="shared" si="317"/>
        <v>0</v>
      </c>
      <c r="CP72" s="4" t="e">
        <f t="shared" ca="1" si="279"/>
        <v>#NAME?</v>
      </c>
      <c r="CQ72" s="4"/>
      <c r="CR72" s="4" t="e">
        <f t="shared" ca="1" si="318"/>
        <v>#NAME?</v>
      </c>
      <c r="CS72" s="4">
        <f t="shared" ca="1" si="319"/>
        <v>82500</v>
      </c>
      <c r="CT72" s="4">
        <f t="shared" ca="1" si="320"/>
        <v>0</v>
      </c>
      <c r="CU72" s="4"/>
      <c r="CV72" s="4" t="e">
        <f t="shared" ref="CV72:CV86" ca="1" si="406">CR72</f>
        <v>#NAME?</v>
      </c>
      <c r="CW72" s="4">
        <f t="shared" ca="1" si="321"/>
        <v>0</v>
      </c>
      <c r="CX72" s="4">
        <f t="shared" si="322"/>
        <v>0</v>
      </c>
      <c r="CY72" s="4" t="e">
        <f t="shared" ref="CY72:CY86" ca="1" si="407">MAX(0,CR72-CX72)</f>
        <v>#NAME?</v>
      </c>
      <c r="CZ72" s="4"/>
      <c r="DA72" s="4" t="e">
        <f t="shared" ca="1" si="323"/>
        <v>#NAME?</v>
      </c>
      <c r="DB72" s="4">
        <f t="shared" si="324"/>
        <v>0</v>
      </c>
      <c r="DC72" s="4">
        <f t="shared" ref="DC72:DC86" si="408">CX72</f>
        <v>0</v>
      </c>
      <c r="DD72" s="4">
        <f t="shared" si="325"/>
        <v>0</v>
      </c>
      <c r="DE72" s="4" t="e">
        <f t="shared" ca="1" si="326"/>
        <v>#NAME?</v>
      </c>
      <c r="DF72" s="4" t="e">
        <f t="shared" ref="DF72:DF86" ca="1" si="409">DD72-DE72</f>
        <v>#NAME?</v>
      </c>
      <c r="DG72" s="4" t="e">
        <f t="shared" ref="DG72:DG86" ca="1" si="410">DE72-DH72</f>
        <v>#NAME?</v>
      </c>
      <c r="DH72" s="4">
        <f t="shared" si="327"/>
        <v>0</v>
      </c>
      <c r="DI72" s="4"/>
      <c r="DJ72" s="4" t="e">
        <f t="shared" ca="1" si="328"/>
        <v>#NAME?</v>
      </c>
      <c r="DK72" s="4">
        <f t="shared" ca="1" si="329"/>
        <v>20500</v>
      </c>
      <c r="DL72" s="4">
        <f t="shared" ca="1" si="330"/>
        <v>20500</v>
      </c>
      <c r="DM72" s="4">
        <f t="shared" si="331"/>
        <v>0</v>
      </c>
      <c r="DN72" s="4" t="e">
        <f t="shared" ca="1" si="332"/>
        <v>#NAME?</v>
      </c>
      <c r="DO72" s="4" t="e">
        <f t="shared" ca="1" si="333"/>
        <v>#NAME?</v>
      </c>
      <c r="DP72" s="4"/>
      <c r="DQ72" s="4" t="e">
        <f t="shared" ca="1" si="334"/>
        <v>#NAME?</v>
      </c>
      <c r="DR72" s="4"/>
      <c r="DS72" s="4">
        <f t="shared" ref="DS72:DS86" si="411">IF($B$74=1,$B$83*AX72,0)</f>
        <v>0</v>
      </c>
      <c r="DT72" s="4">
        <f t="shared" si="282"/>
        <v>0</v>
      </c>
      <c r="DU72" s="4">
        <f t="shared" si="335"/>
        <v>0</v>
      </c>
      <c r="DV72" s="4"/>
      <c r="DW72" s="4" t="e">
        <f t="shared" ref="DW72:DW86" ca="1" si="412">DW71+DY71+DX71-DZ71+EL71-FN71</f>
        <v>#NAME?</v>
      </c>
      <c r="DX72" s="4" t="e">
        <f t="shared" ca="1" si="336"/>
        <v>#NAME?</v>
      </c>
      <c r="DY72" s="4">
        <f t="shared" ref="DY72:DY86" si="413">IF($AZ72&gt;=3,0,DW72*$N72)</f>
        <v>0</v>
      </c>
      <c r="DZ72" s="4" t="e">
        <f t="shared" ca="1" si="337"/>
        <v>#NAME?</v>
      </c>
      <c r="EA72" s="4" t="e">
        <f t="shared" ca="1" si="338"/>
        <v>#NAME?</v>
      </c>
      <c r="EB72" s="4" t="e">
        <f t="shared" ca="1" si="339"/>
        <v>#NAME?</v>
      </c>
      <c r="EC72" s="4">
        <f t="shared" si="340"/>
        <v>2</v>
      </c>
      <c r="ED72" s="4"/>
      <c r="EE72" s="4" t="e">
        <f t="shared" ref="EE72:EE86" ca="1" si="414">EE71+EG71+EF71-EH71-EL71-FO71</f>
        <v>#NAME?</v>
      </c>
      <c r="EF72" s="4">
        <f t="shared" si="341"/>
        <v>0</v>
      </c>
      <c r="EG72" s="4">
        <f t="shared" ref="EG72:EG86" si="415">IF($AZ72&gt;=3,0,EE72*$N72)</f>
        <v>0</v>
      </c>
      <c r="EH72" s="4" t="e">
        <f t="shared" ca="1" si="342"/>
        <v>#NAME?</v>
      </c>
      <c r="EI72" s="4" t="e">
        <f t="shared" ca="1" si="343"/>
        <v>#NAME?</v>
      </c>
      <c r="EJ72" s="4" t="e">
        <f t="shared" ca="1" si="344"/>
        <v>#NAME?</v>
      </c>
      <c r="EK72" s="4">
        <f t="shared" si="345"/>
        <v>2</v>
      </c>
      <c r="EL72" s="4">
        <f t="shared" si="346"/>
        <v>0</v>
      </c>
      <c r="EM72" s="4"/>
      <c r="EN72" s="4" t="e">
        <f t="shared" ref="EN72:EN86" ca="1" si="416">EN71+EP71+EO71-EQ71-FP71</f>
        <v>#NAME?</v>
      </c>
      <c r="EO72" s="4" t="e">
        <f t="shared" ca="1" si="347"/>
        <v>#NAME?</v>
      </c>
      <c r="EP72" s="4">
        <f t="shared" ref="EP72:EP86" si="417">IF($AZ72&gt;=3,0,EN72*$N72)</f>
        <v>0</v>
      </c>
      <c r="EQ72" s="4" t="e">
        <f t="shared" ca="1" si="348"/>
        <v>#NAME?</v>
      </c>
      <c r="ER72" s="4">
        <v>0</v>
      </c>
      <c r="ES72" s="4" t="e">
        <f ca="1">EN72+EP72</f>
        <v>#NAME?</v>
      </c>
      <c r="ET72" s="4"/>
      <c r="EU72" s="4" t="e">
        <f t="shared" ref="EU72:EU86" ca="1" si="418">EU71+EW71+EV71-EX71-FQ71</f>
        <v>#NAME?</v>
      </c>
      <c r="EV72" s="4" t="e">
        <f t="shared" ca="1" si="349"/>
        <v>#NAME?</v>
      </c>
      <c r="EW72" s="4">
        <f t="shared" ref="EW72:EW86" si="419">IF($AZ72&gt;=3,0,EU72*$N72)</f>
        <v>0</v>
      </c>
      <c r="EX72" s="4" t="e">
        <f t="shared" ca="1" si="350"/>
        <v>#NAME?</v>
      </c>
      <c r="EY72" s="4">
        <v>0</v>
      </c>
      <c r="EZ72" s="4" t="e">
        <f ca="1">EU72+EW72</f>
        <v>#NAME?</v>
      </c>
      <c r="FA72" s="4" t="e">
        <f t="shared" ref="FA72:FA86" ca="1" si="420">FA71+FC71-FH71-FR71+AP71</f>
        <v>#NAME?</v>
      </c>
      <c r="FB72" s="1" t="e">
        <f t="shared" ca="1" si="351"/>
        <v>#NAME?</v>
      </c>
      <c r="FC72" s="4">
        <f t="shared" ref="FC72:FC86" si="421">EW72*$O72</f>
        <v>0</v>
      </c>
      <c r="FD72" s="4">
        <f t="shared" ref="FD72:FD86" si="422">EW72*(1-$O72-$P72)</f>
        <v>0</v>
      </c>
      <c r="FE72" s="4">
        <f t="shared" si="352"/>
        <v>0</v>
      </c>
      <c r="FF72" s="4">
        <f t="shared" si="353"/>
        <v>0</v>
      </c>
      <c r="FG72" s="4">
        <f t="shared" ca="1" si="354"/>
        <v>0</v>
      </c>
      <c r="FH72" s="17" t="e">
        <f t="shared" ca="1" si="355"/>
        <v>#NAME?</v>
      </c>
      <c r="FI72" s="4" t="e">
        <f t="shared" ca="1" si="356"/>
        <v>#NAME?</v>
      </c>
      <c r="FJ72" s="4"/>
      <c r="FK72" s="4" t="e">
        <f t="shared" ca="1" si="357"/>
        <v>#NAME?</v>
      </c>
      <c r="FL72" s="4"/>
      <c r="FM72" s="4">
        <v>0</v>
      </c>
      <c r="FN72" s="4">
        <f t="shared" si="358"/>
        <v>0</v>
      </c>
      <c r="FO72" s="4">
        <f t="shared" si="359"/>
        <v>0</v>
      </c>
      <c r="FP72" s="4">
        <f t="shared" si="360"/>
        <v>0</v>
      </c>
      <c r="FQ72" s="4">
        <f t="shared" si="361"/>
        <v>0</v>
      </c>
      <c r="FR72" s="4">
        <f t="shared" si="362"/>
        <v>0</v>
      </c>
      <c r="FS72" s="4">
        <f t="shared" si="363"/>
        <v>0</v>
      </c>
      <c r="FT72" s="4">
        <f t="shared" si="364"/>
        <v>0</v>
      </c>
      <c r="FU72" s="4"/>
      <c r="FV72" s="3">
        <f t="shared" si="365"/>
        <v>0</v>
      </c>
      <c r="FW72" s="3">
        <f t="shared" si="366"/>
        <v>0</v>
      </c>
      <c r="FX72" s="4">
        <f t="shared" ref="FX72:FX86" si="423">IF($B$70=1,AW72,AV72)</f>
        <v>2082</v>
      </c>
      <c r="FY72" s="18">
        <f t="shared" si="367"/>
        <v>0</v>
      </c>
      <c r="FZ72" s="18">
        <f t="shared" si="368"/>
        <v>0</v>
      </c>
      <c r="GA72" s="18">
        <f t="shared" si="369"/>
        <v>0</v>
      </c>
      <c r="GB72" s="18">
        <f t="shared" si="370"/>
        <v>0</v>
      </c>
      <c r="GC72" s="18" t="e">
        <f t="shared" ca="1" si="371"/>
        <v>#NAME?</v>
      </c>
      <c r="GD72" s="18" t="e">
        <f t="shared" ca="1" si="372"/>
        <v>#NAME?</v>
      </c>
      <c r="GE72" s="18" t="e">
        <f t="shared" ca="1" si="373"/>
        <v>#NAME?</v>
      </c>
      <c r="GF72" s="18" t="e">
        <f t="shared" ca="1" si="374"/>
        <v>#NAME?</v>
      </c>
      <c r="GG72" s="18" t="e">
        <f t="shared" ca="1" si="375"/>
        <v>#NAME?</v>
      </c>
      <c r="GH72" s="18" t="e">
        <f t="shared" ca="1" si="376"/>
        <v>#NAME?</v>
      </c>
      <c r="GI72" s="4"/>
      <c r="GJ72" s="4">
        <f t="shared" si="260"/>
        <v>2082</v>
      </c>
      <c r="GK72" s="4" t="e">
        <f t="shared" ca="1" si="377"/>
        <v>#NAME?</v>
      </c>
      <c r="GL72" s="4" t="e">
        <f t="shared" ca="1" si="378"/>
        <v>#NAME?</v>
      </c>
      <c r="GM72" s="4" t="e">
        <f t="shared" ca="1" si="379"/>
        <v>#NAME?</v>
      </c>
      <c r="GN72" s="4" t="e">
        <f t="shared" ca="1" si="380"/>
        <v>#NAME?</v>
      </c>
      <c r="GO72" s="4"/>
      <c r="GP72" s="3" t="e">
        <f t="shared" ref="GP72:GP86" ca="1" si="424">IF(FK72=0,0.1,EB72/FK72)</f>
        <v>#NAME?</v>
      </c>
      <c r="GQ72" s="3" t="e">
        <f t="shared" ca="1" si="381"/>
        <v>#NAME?</v>
      </c>
      <c r="GR72" s="3" t="e">
        <f t="shared" ca="1" si="382"/>
        <v>#NAME?</v>
      </c>
      <c r="GS72" s="3" t="e">
        <f t="shared" ca="1" si="383"/>
        <v>#NAME?</v>
      </c>
      <c r="GT72" s="3" t="e">
        <f t="array" aca="1" ref="GT72" ca="1">SUM(GP72:GS72*$GU$6:$GX$6)</f>
        <v>#NAME?</v>
      </c>
      <c r="GU72" s="3" t="e">
        <f t="shared" ca="1" si="155"/>
        <v>#NAME?</v>
      </c>
      <c r="GV72" s="3" t="e">
        <f t="shared" ca="1" si="156"/>
        <v>#NAME?</v>
      </c>
      <c r="GW72" s="3" t="e">
        <f t="shared" ca="1" si="157"/>
        <v>#NAME?</v>
      </c>
      <c r="GX72" s="3" t="e">
        <f t="shared" ca="1" si="158"/>
        <v>#NAME?</v>
      </c>
      <c r="GY72" s="11"/>
      <c r="HJ72">
        <f t="shared" si="159"/>
        <v>2075</v>
      </c>
      <c r="HK72" s="28">
        <f t="shared" si="164"/>
        <v>71820</v>
      </c>
      <c r="HL72" s="27">
        <f t="shared" si="162"/>
        <v>17500</v>
      </c>
      <c r="HM72" s="28">
        <f t="shared" si="163"/>
        <v>17691.832682362528</v>
      </c>
      <c r="HO72" t="s">
        <v>643</v>
      </c>
      <c r="HQ72" s="28">
        <v>2564</v>
      </c>
      <c r="HR72" s="4">
        <f>HQ72*(1+$B$15)^($B$7-$HP$26)</f>
        <v>2564</v>
      </c>
    </row>
    <row r="73" spans="1:226" x14ac:dyDescent="0.25">
      <c r="A73" s="15" t="s">
        <v>662</v>
      </c>
      <c r="D73">
        <f t="shared" si="384"/>
        <v>2083</v>
      </c>
      <c r="E73">
        <f t="shared" si="385"/>
        <v>88</v>
      </c>
      <c r="F73" s="8"/>
      <c r="G73" s="8"/>
      <c r="H73" s="8"/>
      <c r="I73" s="8"/>
      <c r="J73" s="92"/>
      <c r="K73" s="91"/>
      <c r="L73" s="91"/>
      <c r="N73" s="93">
        <f t="shared" si="386"/>
        <v>0.05</v>
      </c>
      <c r="O73" s="23">
        <f t="shared" si="387"/>
        <v>0.4</v>
      </c>
      <c r="P73" s="23">
        <f t="shared" si="388"/>
        <v>0.1</v>
      </c>
      <c r="Q73" s="4">
        <f t="shared" si="283"/>
        <v>0</v>
      </c>
      <c r="R73" s="4">
        <f t="shared" si="389"/>
        <v>0</v>
      </c>
      <c r="S73" s="4">
        <f t="shared" si="390"/>
        <v>0</v>
      </c>
      <c r="T73" s="4">
        <f t="shared" ca="1" si="391"/>
        <v>0</v>
      </c>
      <c r="V73" s="18" t="e">
        <f t="shared" ca="1" si="284"/>
        <v>#NAME?</v>
      </c>
      <c r="W73" s="18" t="e">
        <f t="shared" ca="1" si="285"/>
        <v>#NAME?</v>
      </c>
      <c r="X73" s="18">
        <f t="shared" si="286"/>
        <v>0</v>
      </c>
      <c r="Y73" s="18" t="e">
        <f t="shared" ca="1" si="287"/>
        <v>#NAME?</v>
      </c>
      <c r="Z73" s="18" t="e">
        <f t="shared" ca="1" si="288"/>
        <v>#NAME?</v>
      </c>
      <c r="AA73" s="18" t="e">
        <f t="shared" ca="1" si="289"/>
        <v>#NAME?</v>
      </c>
      <c r="AB73" s="18" t="e">
        <f t="shared" ca="1" si="290"/>
        <v>#NAME?</v>
      </c>
      <c r="AC73" s="18" t="e">
        <f t="shared" ca="1" si="291"/>
        <v>#NAME?</v>
      </c>
      <c r="AD73" s="18" t="e">
        <f t="shared" ca="1" si="292"/>
        <v>#NAME?</v>
      </c>
      <c r="AE73" s="18" t="e">
        <f t="shared" ca="1" si="293"/>
        <v>#NAME?</v>
      </c>
      <c r="AF73" s="18" t="e">
        <f t="shared" ca="1" si="294"/>
        <v>#NAME?</v>
      </c>
      <c r="AG73" s="18" t="e">
        <f t="shared" ca="1" si="295"/>
        <v>#NAME?</v>
      </c>
      <c r="AI73">
        <f>Person2!E73</f>
        <v>88</v>
      </c>
      <c r="AJ73">
        <f>Person2!AZ73</f>
        <v>3</v>
      </c>
      <c r="AK73">
        <f>IF($AZ73&lt;&gt;3,Person2!FM73,0)</f>
        <v>0</v>
      </c>
      <c r="AL73" s="4">
        <f>IF($AZ73&lt;&gt;3,Person2!FN73+Person2!FT73,0)</f>
        <v>0</v>
      </c>
      <c r="AM73">
        <f>IF($AZ73&lt;&gt;3,Person2!FO73,0)</f>
        <v>0</v>
      </c>
      <c r="AN73">
        <f>IF($AZ73&lt;&gt;3,Person2!FP73,0)</f>
        <v>0</v>
      </c>
      <c r="AO73">
        <f>IF($AZ73&lt;&gt;3,Person2!FQ73,0)</f>
        <v>0</v>
      </c>
      <c r="AP73">
        <f>IF($AZ73&lt;&gt;3,Person2!FR73,0)</f>
        <v>0</v>
      </c>
      <c r="AQ73">
        <v>0</v>
      </c>
      <c r="AR73" s="4">
        <f>Person2!FS73</f>
        <v>0</v>
      </c>
      <c r="AS73" s="4">
        <v>0</v>
      </c>
      <c r="AT73" s="4">
        <v>0</v>
      </c>
      <c r="AV73">
        <f t="shared" si="270"/>
        <v>2083</v>
      </c>
      <c r="AW73">
        <f t="shared" si="271"/>
        <v>88</v>
      </c>
      <c r="AX73">
        <f t="shared" si="392"/>
        <v>3.6949735703052635</v>
      </c>
      <c r="AY73">
        <f t="shared" si="393"/>
        <v>0.27063793041350065</v>
      </c>
      <c r="AZ73">
        <f t="shared" si="394"/>
        <v>3</v>
      </c>
      <c r="BB73" s="4">
        <f t="shared" si="296"/>
        <v>0</v>
      </c>
      <c r="BC73">
        <f t="shared" si="297"/>
        <v>0</v>
      </c>
      <c r="BD73" s="4">
        <f t="shared" si="298"/>
        <v>0</v>
      </c>
      <c r="BE73" s="4">
        <f t="shared" si="395"/>
        <v>0</v>
      </c>
      <c r="BF73" s="4">
        <f t="shared" si="396"/>
        <v>0</v>
      </c>
      <c r="BG73" s="4">
        <f t="shared" si="397"/>
        <v>0</v>
      </c>
      <c r="BH73" s="4">
        <f t="shared" si="299"/>
        <v>0</v>
      </c>
      <c r="BI73" s="4">
        <f t="shared" si="398"/>
        <v>0</v>
      </c>
      <c r="BJ73" s="4"/>
      <c r="BK73" s="4">
        <f t="shared" si="300"/>
        <v>0</v>
      </c>
      <c r="BL73" s="4">
        <f t="shared" si="399"/>
        <v>0</v>
      </c>
      <c r="BM73" s="4">
        <f t="shared" si="400"/>
        <v>0</v>
      </c>
      <c r="BN73" s="4">
        <v>0</v>
      </c>
      <c r="BO73" s="4">
        <f t="shared" si="401"/>
        <v>0</v>
      </c>
      <c r="BP73" s="4">
        <f t="shared" si="402"/>
        <v>0</v>
      </c>
      <c r="BQ73" s="4"/>
      <c r="BR73" s="4">
        <v>0</v>
      </c>
      <c r="BS73" s="4" t="e">
        <f t="shared" ca="1" si="301"/>
        <v>#NAME?</v>
      </c>
      <c r="BT73" s="4">
        <f t="shared" si="302"/>
        <v>0</v>
      </c>
      <c r="BU73" s="4">
        <f t="shared" si="303"/>
        <v>0</v>
      </c>
      <c r="BV73" s="4">
        <f t="shared" si="304"/>
        <v>0</v>
      </c>
      <c r="BW73" s="4" t="e">
        <f t="shared" ca="1" si="305"/>
        <v>#NAME?</v>
      </c>
      <c r="BX73" s="4" t="e">
        <f t="shared" ca="1" si="306"/>
        <v>#NAME?</v>
      </c>
      <c r="BY73" s="4" t="e">
        <f t="shared" ca="1" si="307"/>
        <v>#NAME?</v>
      </c>
      <c r="BZ73" s="4" t="e">
        <f t="shared" ca="1" si="308"/>
        <v>#NAME?</v>
      </c>
      <c r="CA73" s="4" t="e">
        <f t="shared" ca="1" si="309"/>
        <v>#NAME?</v>
      </c>
      <c r="CB73" s="4" t="e">
        <f t="shared" ca="1" si="160"/>
        <v>#NAME?</v>
      </c>
      <c r="CC73" s="4"/>
      <c r="CD73" s="4" t="e">
        <f t="shared" ca="1" si="310"/>
        <v>#NAME?</v>
      </c>
      <c r="CE73" s="4">
        <f t="shared" si="403"/>
        <v>0</v>
      </c>
      <c r="CF73" s="16">
        <f t="shared" si="311"/>
        <v>1</v>
      </c>
      <c r="CG73" s="4">
        <f t="shared" si="404"/>
        <v>0</v>
      </c>
      <c r="CH73" s="4" t="e">
        <f t="shared" ca="1" si="312"/>
        <v>#NAME?</v>
      </c>
      <c r="CI73" s="4" t="e">
        <f t="shared" ca="1" si="313"/>
        <v>#NAME?</v>
      </c>
      <c r="CJ73" s="4" t="e">
        <f t="shared" ca="1" si="405"/>
        <v>#NAME?</v>
      </c>
      <c r="CK73" s="4" t="e">
        <f t="shared" ca="1" si="314"/>
        <v>#NAME?</v>
      </c>
      <c r="CL73" s="4" t="e">
        <f t="shared" ca="1" si="315"/>
        <v>#NAME?</v>
      </c>
      <c r="CM73" s="16"/>
      <c r="CN73" s="4">
        <f t="shared" si="316"/>
        <v>0</v>
      </c>
      <c r="CO73" s="4">
        <f t="shared" si="317"/>
        <v>0</v>
      </c>
      <c r="CP73" s="4" t="e">
        <f t="shared" ref="CP73:CP86" ca="1" si="425">DW73+EE73+EN73+EU73</f>
        <v>#NAME?</v>
      </c>
      <c r="CQ73" s="4"/>
      <c r="CR73" s="4" t="e">
        <f t="shared" ca="1" si="318"/>
        <v>#NAME?</v>
      </c>
      <c r="CS73" s="4">
        <f t="shared" ca="1" si="319"/>
        <v>84150</v>
      </c>
      <c r="CT73" s="4">
        <f t="shared" ca="1" si="320"/>
        <v>0</v>
      </c>
      <c r="CU73" s="4"/>
      <c r="CV73" s="4" t="e">
        <f t="shared" ca="1" si="406"/>
        <v>#NAME?</v>
      </c>
      <c r="CW73" s="4">
        <f t="shared" ca="1" si="321"/>
        <v>0</v>
      </c>
      <c r="CX73" s="4">
        <f t="shared" si="322"/>
        <v>0</v>
      </c>
      <c r="CY73" s="4" t="e">
        <f t="shared" ca="1" si="407"/>
        <v>#NAME?</v>
      </c>
      <c r="CZ73" s="4"/>
      <c r="DA73" s="4" t="e">
        <f t="shared" ca="1" si="323"/>
        <v>#NAME?</v>
      </c>
      <c r="DB73" s="4">
        <f t="shared" si="324"/>
        <v>0</v>
      </c>
      <c r="DC73" s="4">
        <f t="shared" si="408"/>
        <v>0</v>
      </c>
      <c r="DD73" s="4">
        <f t="shared" si="325"/>
        <v>0</v>
      </c>
      <c r="DE73" s="4" t="e">
        <f t="shared" ca="1" si="326"/>
        <v>#NAME?</v>
      </c>
      <c r="DF73" s="4" t="e">
        <f t="shared" ca="1" si="409"/>
        <v>#NAME?</v>
      </c>
      <c r="DG73" s="4" t="e">
        <f t="shared" ca="1" si="410"/>
        <v>#NAME?</v>
      </c>
      <c r="DH73" s="4">
        <f t="shared" si="327"/>
        <v>0</v>
      </c>
      <c r="DI73" s="4"/>
      <c r="DJ73" s="4" t="e">
        <f t="shared" ca="1" si="328"/>
        <v>#NAME?</v>
      </c>
      <c r="DK73" s="4">
        <f t="shared" ca="1" si="329"/>
        <v>20500</v>
      </c>
      <c r="DL73" s="4">
        <f t="shared" ca="1" si="330"/>
        <v>20500</v>
      </c>
      <c r="DM73" s="4">
        <f t="shared" si="331"/>
        <v>0</v>
      </c>
      <c r="DN73" s="4" t="e">
        <f t="shared" ca="1" si="332"/>
        <v>#NAME?</v>
      </c>
      <c r="DO73" s="4" t="e">
        <f t="shared" ca="1" si="333"/>
        <v>#NAME?</v>
      </c>
      <c r="DP73" s="4"/>
      <c r="DQ73" s="4" t="e">
        <f t="shared" ca="1" si="334"/>
        <v>#NAME?</v>
      </c>
      <c r="DR73" s="4"/>
      <c r="DS73" s="4">
        <f t="shared" si="411"/>
        <v>0</v>
      </c>
      <c r="DT73" s="4">
        <f t="shared" si="282"/>
        <v>0</v>
      </c>
      <c r="DU73" s="4">
        <f t="shared" si="335"/>
        <v>0</v>
      </c>
      <c r="DV73" s="4"/>
      <c r="DW73" s="4" t="e">
        <f t="shared" ca="1" si="412"/>
        <v>#NAME?</v>
      </c>
      <c r="DX73" s="4" t="e">
        <f t="shared" ca="1" si="336"/>
        <v>#NAME?</v>
      </c>
      <c r="DY73" s="4">
        <f t="shared" si="413"/>
        <v>0</v>
      </c>
      <c r="DZ73" s="4" t="e">
        <f t="shared" ca="1" si="337"/>
        <v>#NAME?</v>
      </c>
      <c r="EA73" s="4" t="e">
        <f t="shared" ca="1" si="338"/>
        <v>#NAME?</v>
      </c>
      <c r="EB73" s="4" t="e">
        <f t="shared" ca="1" si="339"/>
        <v>#NAME?</v>
      </c>
      <c r="EC73" s="4">
        <f t="shared" si="340"/>
        <v>2</v>
      </c>
      <c r="ED73" s="4"/>
      <c r="EE73" s="4" t="e">
        <f t="shared" ca="1" si="414"/>
        <v>#NAME?</v>
      </c>
      <c r="EF73" s="4">
        <f t="shared" si="341"/>
        <v>0</v>
      </c>
      <c r="EG73" s="4">
        <f t="shared" si="415"/>
        <v>0</v>
      </c>
      <c r="EH73" s="4" t="e">
        <f t="shared" ca="1" si="342"/>
        <v>#NAME?</v>
      </c>
      <c r="EI73" s="4" t="e">
        <f t="shared" ca="1" si="343"/>
        <v>#NAME?</v>
      </c>
      <c r="EJ73" s="4" t="e">
        <f t="shared" ca="1" si="344"/>
        <v>#NAME?</v>
      </c>
      <c r="EK73" s="4">
        <f t="shared" si="345"/>
        <v>2</v>
      </c>
      <c r="EL73" s="4">
        <f t="shared" si="346"/>
        <v>0</v>
      </c>
      <c r="EM73" s="4"/>
      <c r="EN73" s="4" t="e">
        <f t="shared" ca="1" si="416"/>
        <v>#NAME?</v>
      </c>
      <c r="EO73" s="4" t="e">
        <f t="shared" ca="1" si="347"/>
        <v>#NAME?</v>
      </c>
      <c r="EP73" s="4">
        <f t="shared" si="417"/>
        <v>0</v>
      </c>
      <c r="EQ73" s="4" t="e">
        <f t="shared" ca="1" si="348"/>
        <v>#NAME?</v>
      </c>
      <c r="ER73" s="4">
        <v>0</v>
      </c>
      <c r="ES73" s="4" t="e">
        <f t="shared" ref="ES73:ES86" ca="1" si="426">EN73+EP73</f>
        <v>#NAME?</v>
      </c>
      <c r="ET73" s="4"/>
      <c r="EU73" s="4" t="e">
        <f t="shared" ca="1" si="418"/>
        <v>#NAME?</v>
      </c>
      <c r="EV73" s="4" t="e">
        <f t="shared" ca="1" si="349"/>
        <v>#NAME?</v>
      </c>
      <c r="EW73" s="4">
        <f t="shared" si="419"/>
        <v>0</v>
      </c>
      <c r="EX73" s="4" t="e">
        <f t="shared" ca="1" si="350"/>
        <v>#NAME?</v>
      </c>
      <c r="EY73" s="4">
        <v>0</v>
      </c>
      <c r="EZ73" s="4" t="e">
        <f t="shared" ref="EZ73:EZ86" ca="1" si="427">EU73+EW73</f>
        <v>#NAME?</v>
      </c>
      <c r="FA73" s="4" t="e">
        <f t="shared" ca="1" si="420"/>
        <v>#NAME?</v>
      </c>
      <c r="FB73" s="1" t="e">
        <f t="shared" ca="1" si="351"/>
        <v>#NAME?</v>
      </c>
      <c r="FC73" s="4">
        <f t="shared" si="421"/>
        <v>0</v>
      </c>
      <c r="FD73" s="4">
        <f t="shared" si="422"/>
        <v>0</v>
      </c>
      <c r="FE73" s="4">
        <f t="shared" si="352"/>
        <v>0</v>
      </c>
      <c r="FF73" s="4">
        <f t="shared" si="353"/>
        <v>0</v>
      </c>
      <c r="FG73" s="4">
        <f t="shared" ca="1" si="354"/>
        <v>0</v>
      </c>
      <c r="FH73" s="17" t="e">
        <f t="shared" ca="1" si="355"/>
        <v>#NAME?</v>
      </c>
      <c r="FI73" s="4" t="e">
        <f t="shared" ca="1" si="356"/>
        <v>#NAME?</v>
      </c>
      <c r="FJ73" s="4"/>
      <c r="FK73" s="4" t="e">
        <f t="shared" ca="1" si="357"/>
        <v>#NAME?</v>
      </c>
      <c r="FL73" s="4"/>
      <c r="FM73" s="4">
        <v>0</v>
      </c>
      <c r="FN73" s="4">
        <f t="shared" si="358"/>
        <v>0</v>
      </c>
      <c r="FO73" s="4">
        <f t="shared" si="359"/>
        <v>0</v>
      </c>
      <c r="FP73" s="4">
        <f t="shared" si="360"/>
        <v>0</v>
      </c>
      <c r="FQ73" s="4">
        <f t="shared" si="361"/>
        <v>0</v>
      </c>
      <c r="FR73" s="4">
        <f t="shared" si="362"/>
        <v>0</v>
      </c>
      <c r="FS73" s="4">
        <f t="shared" si="363"/>
        <v>0</v>
      </c>
      <c r="FT73" s="4">
        <f t="shared" si="364"/>
        <v>0</v>
      </c>
      <c r="FU73" s="4"/>
      <c r="FV73" s="3">
        <f t="shared" si="365"/>
        <v>0</v>
      </c>
      <c r="FW73" s="3">
        <f t="shared" si="366"/>
        <v>0</v>
      </c>
      <c r="FX73" s="4">
        <f t="shared" si="423"/>
        <v>2083</v>
      </c>
      <c r="FY73" s="18">
        <f t="shared" si="367"/>
        <v>0</v>
      </c>
      <c r="FZ73" s="18">
        <f t="shared" si="368"/>
        <v>0</v>
      </c>
      <c r="GA73" s="18">
        <f t="shared" si="369"/>
        <v>0</v>
      </c>
      <c r="GB73" s="18">
        <f t="shared" si="370"/>
        <v>0</v>
      </c>
      <c r="GC73" s="18" t="e">
        <f t="shared" ca="1" si="371"/>
        <v>#NAME?</v>
      </c>
      <c r="GD73" s="18" t="e">
        <f t="shared" ca="1" si="372"/>
        <v>#NAME?</v>
      </c>
      <c r="GE73" s="18" t="e">
        <f t="shared" ca="1" si="373"/>
        <v>#NAME?</v>
      </c>
      <c r="GF73" s="18" t="e">
        <f t="shared" ca="1" si="374"/>
        <v>#NAME?</v>
      </c>
      <c r="GG73" s="18" t="e">
        <f t="shared" ca="1" si="375"/>
        <v>#NAME?</v>
      </c>
      <c r="GH73" s="18" t="e">
        <f t="shared" ca="1" si="376"/>
        <v>#NAME?</v>
      </c>
      <c r="GI73" s="4"/>
      <c r="GJ73" s="4">
        <f t="shared" ref="GJ73:GJ86" si="428">FX73</f>
        <v>2083</v>
      </c>
      <c r="GK73" s="4" t="e">
        <f t="shared" ca="1" si="377"/>
        <v>#NAME?</v>
      </c>
      <c r="GL73" s="4" t="e">
        <f t="shared" ca="1" si="378"/>
        <v>#NAME?</v>
      </c>
      <c r="GM73" s="4" t="e">
        <f t="shared" ca="1" si="379"/>
        <v>#NAME?</v>
      </c>
      <c r="GN73" s="4" t="e">
        <f t="shared" ca="1" si="380"/>
        <v>#NAME?</v>
      </c>
      <c r="GO73" s="4"/>
      <c r="GP73" s="3" t="e">
        <f t="shared" ca="1" si="424"/>
        <v>#NAME?</v>
      </c>
      <c r="GQ73" s="3" t="e">
        <f t="shared" ca="1" si="381"/>
        <v>#NAME?</v>
      </c>
      <c r="GR73" s="3" t="e">
        <f t="shared" ca="1" si="382"/>
        <v>#NAME?</v>
      </c>
      <c r="GS73" s="3" t="e">
        <f t="shared" ca="1" si="383"/>
        <v>#NAME?</v>
      </c>
      <c r="GT73" s="3" t="e">
        <f t="array" aca="1" ref="GT73" ca="1">SUM(GP73:GS73*$GU$6:$GX$6)</f>
        <v>#NAME?</v>
      </c>
      <c r="GU73" s="3" t="e">
        <f t="shared" ref="GU73:GU86" ca="1" si="429">IF($GT73=0,0.25,MIN(1,MAX(0,GP73*GU$6/$GT73)))</f>
        <v>#NAME?</v>
      </c>
      <c r="GV73" s="3" t="e">
        <f t="shared" ref="GV73:GV86" ca="1" si="430">IF($GT73=0,0.25,MIN(1,MAX(0,GQ73*GV$6/$GT73)))</f>
        <v>#NAME?</v>
      </c>
      <c r="GW73" s="3" t="e">
        <f t="shared" ref="GW73:GW86" ca="1" si="431">IF($GT73=0,0.25,MIN(1,MAX(0,GR73*GW$6/$GT73)))</f>
        <v>#NAME?</v>
      </c>
      <c r="GX73" s="3" t="e">
        <f t="shared" ref="GX73:GX86" ca="1" si="432">IF($GT73=0,0.25,MIN(1,MAX(0,GS73*GX$6/$GT73)))</f>
        <v>#NAME?</v>
      </c>
      <c r="GY73" s="11"/>
      <c r="HJ73">
        <f t="shared" ref="HJ73:HJ136" si="433">HJ72+1</f>
        <v>2076</v>
      </c>
      <c r="HK73" s="28">
        <f t="shared" si="164"/>
        <v>73260</v>
      </c>
      <c r="HL73" s="27">
        <f t="shared" si="162"/>
        <v>18000</v>
      </c>
      <c r="HM73" s="28">
        <f t="shared" si="163"/>
        <v>18045.669336009778</v>
      </c>
      <c r="HO73" t="s">
        <v>647</v>
      </c>
      <c r="HQ73" s="27">
        <v>70</v>
      </c>
    </row>
    <row r="74" spans="1:226" x14ac:dyDescent="0.25">
      <c r="A74" t="s">
        <v>569</v>
      </c>
      <c r="B74" s="62">
        <f>Inputs_Summary!AJ71</f>
        <v>0</v>
      </c>
      <c r="D74">
        <f t="shared" si="384"/>
        <v>2084</v>
      </c>
      <c r="E74">
        <f t="shared" si="385"/>
        <v>89</v>
      </c>
      <c r="F74" s="8"/>
      <c r="G74" s="8"/>
      <c r="H74" s="8"/>
      <c r="I74" s="8"/>
      <c r="J74" s="92"/>
      <c r="K74" s="91"/>
      <c r="L74" s="91"/>
      <c r="N74" s="93">
        <f t="shared" si="386"/>
        <v>0.05</v>
      </c>
      <c r="O74" s="23">
        <f t="shared" si="387"/>
        <v>0.4</v>
      </c>
      <c r="P74" s="23">
        <f t="shared" si="388"/>
        <v>0.1</v>
      </c>
      <c r="Q74" s="4">
        <f t="shared" si="283"/>
        <v>0</v>
      </c>
      <c r="R74" s="4">
        <f t="shared" si="389"/>
        <v>0</v>
      </c>
      <c r="S74" s="4">
        <f t="shared" si="390"/>
        <v>0</v>
      </c>
      <c r="T74" s="4">
        <f t="shared" ca="1" si="391"/>
        <v>0</v>
      </c>
      <c r="V74" s="18" t="e">
        <f t="shared" ca="1" si="284"/>
        <v>#NAME?</v>
      </c>
      <c r="W74" s="18" t="e">
        <f t="shared" ca="1" si="285"/>
        <v>#NAME?</v>
      </c>
      <c r="X74" s="18">
        <f t="shared" si="286"/>
        <v>0</v>
      </c>
      <c r="Y74" s="18" t="e">
        <f t="shared" ca="1" si="287"/>
        <v>#NAME?</v>
      </c>
      <c r="Z74" s="18" t="e">
        <f t="shared" ca="1" si="288"/>
        <v>#NAME?</v>
      </c>
      <c r="AA74" s="18" t="e">
        <f t="shared" ca="1" si="289"/>
        <v>#NAME?</v>
      </c>
      <c r="AB74" s="18" t="e">
        <f t="shared" ca="1" si="290"/>
        <v>#NAME?</v>
      </c>
      <c r="AC74" s="18" t="e">
        <f t="shared" ca="1" si="291"/>
        <v>#NAME?</v>
      </c>
      <c r="AD74" s="18" t="e">
        <f t="shared" ca="1" si="292"/>
        <v>#NAME?</v>
      </c>
      <c r="AE74" s="18" t="e">
        <f t="shared" ca="1" si="293"/>
        <v>#NAME?</v>
      </c>
      <c r="AF74" s="18" t="e">
        <f t="shared" ca="1" si="294"/>
        <v>#NAME?</v>
      </c>
      <c r="AG74" s="18" t="e">
        <f t="shared" ca="1" si="295"/>
        <v>#NAME?</v>
      </c>
      <c r="AI74">
        <f>Person2!E74</f>
        <v>89</v>
      </c>
      <c r="AJ74">
        <f>Person2!AZ74</f>
        <v>3</v>
      </c>
      <c r="AK74">
        <f>IF($AZ74&lt;&gt;3,Person2!FM74,0)</f>
        <v>0</v>
      </c>
      <c r="AL74" s="4">
        <f>IF($AZ74&lt;&gt;3,Person2!FN74+Person2!FT74,0)</f>
        <v>0</v>
      </c>
      <c r="AM74">
        <f>IF($AZ74&lt;&gt;3,Person2!FO74,0)</f>
        <v>0</v>
      </c>
      <c r="AN74">
        <f>IF($AZ74&lt;&gt;3,Person2!FP74,0)</f>
        <v>0</v>
      </c>
      <c r="AO74">
        <f>IF($AZ74&lt;&gt;3,Person2!FQ74,0)</f>
        <v>0</v>
      </c>
      <c r="AP74">
        <f>IF($AZ74&lt;&gt;3,Person2!FR74,0)</f>
        <v>0</v>
      </c>
      <c r="AQ74">
        <v>0</v>
      </c>
      <c r="AR74" s="4">
        <f>Person2!FS74</f>
        <v>0</v>
      </c>
      <c r="AS74" s="4">
        <v>0</v>
      </c>
      <c r="AT74" s="4">
        <v>0</v>
      </c>
      <c r="AV74">
        <f t="shared" si="270"/>
        <v>2084</v>
      </c>
      <c r="AW74">
        <f t="shared" si="271"/>
        <v>89</v>
      </c>
      <c r="AX74">
        <f t="shared" si="392"/>
        <v>3.7688730417113687</v>
      </c>
      <c r="AY74">
        <f t="shared" si="393"/>
        <v>0.26533130432696145</v>
      </c>
      <c r="AZ74">
        <f t="shared" si="394"/>
        <v>3</v>
      </c>
      <c r="BB74" s="4">
        <f t="shared" si="296"/>
        <v>0</v>
      </c>
      <c r="BC74">
        <f t="shared" si="297"/>
        <v>0</v>
      </c>
      <c r="BD74" s="4">
        <f t="shared" si="298"/>
        <v>0</v>
      </c>
      <c r="BE74" s="4">
        <f t="shared" si="395"/>
        <v>0</v>
      </c>
      <c r="BF74" s="4">
        <f t="shared" si="396"/>
        <v>0</v>
      </c>
      <c r="BG74" s="4">
        <f t="shared" si="397"/>
        <v>0</v>
      </c>
      <c r="BH74" s="4">
        <f t="shared" si="299"/>
        <v>0</v>
      </c>
      <c r="BI74" s="4">
        <f t="shared" si="398"/>
        <v>0</v>
      </c>
      <c r="BJ74" s="4"/>
      <c r="BK74" s="4">
        <f t="shared" si="300"/>
        <v>0</v>
      </c>
      <c r="BL74" s="4">
        <f t="shared" si="399"/>
        <v>0</v>
      </c>
      <c r="BM74" s="4">
        <f t="shared" si="400"/>
        <v>0</v>
      </c>
      <c r="BN74" s="4">
        <v>0</v>
      </c>
      <c r="BO74" s="4">
        <f t="shared" si="401"/>
        <v>0</v>
      </c>
      <c r="BP74" s="4">
        <f t="shared" si="402"/>
        <v>0</v>
      </c>
      <c r="BQ74" s="4"/>
      <c r="BR74" s="4">
        <v>0</v>
      </c>
      <c r="BS74" s="4" t="e">
        <f t="shared" ca="1" si="301"/>
        <v>#NAME?</v>
      </c>
      <c r="BT74" s="4">
        <f t="shared" si="302"/>
        <v>0</v>
      </c>
      <c r="BU74" s="4">
        <f t="shared" si="303"/>
        <v>0</v>
      </c>
      <c r="BV74" s="4">
        <f t="shared" si="304"/>
        <v>0</v>
      </c>
      <c r="BW74" s="4" t="e">
        <f t="shared" ca="1" si="305"/>
        <v>#NAME?</v>
      </c>
      <c r="BX74" s="4" t="e">
        <f t="shared" ca="1" si="306"/>
        <v>#NAME?</v>
      </c>
      <c r="BY74" s="4" t="e">
        <f t="shared" ca="1" si="307"/>
        <v>#NAME?</v>
      </c>
      <c r="BZ74" s="4" t="e">
        <f t="shared" ca="1" si="308"/>
        <v>#NAME?</v>
      </c>
      <c r="CA74" s="4" t="e">
        <f t="shared" ca="1" si="309"/>
        <v>#NAME?</v>
      </c>
      <c r="CB74" s="4" t="e">
        <f t="shared" ca="1" si="160"/>
        <v>#NAME?</v>
      </c>
      <c r="CC74" s="4"/>
      <c r="CD74" s="4" t="e">
        <f t="shared" ca="1" si="310"/>
        <v>#NAME?</v>
      </c>
      <c r="CE74" s="4">
        <f t="shared" si="403"/>
        <v>0</v>
      </c>
      <c r="CF74" s="16">
        <f t="shared" si="311"/>
        <v>1</v>
      </c>
      <c r="CG74" s="4">
        <f t="shared" si="404"/>
        <v>0</v>
      </c>
      <c r="CH74" s="4" t="e">
        <f t="shared" ca="1" si="312"/>
        <v>#NAME?</v>
      </c>
      <c r="CI74" s="4" t="e">
        <f t="shared" ca="1" si="313"/>
        <v>#NAME?</v>
      </c>
      <c r="CJ74" s="4" t="e">
        <f t="shared" ca="1" si="405"/>
        <v>#NAME?</v>
      </c>
      <c r="CK74" s="4" t="e">
        <f t="shared" ca="1" si="314"/>
        <v>#NAME?</v>
      </c>
      <c r="CL74" s="4" t="e">
        <f t="shared" ca="1" si="315"/>
        <v>#NAME?</v>
      </c>
      <c r="CM74" s="16"/>
      <c r="CN74" s="4">
        <f t="shared" si="316"/>
        <v>0</v>
      </c>
      <c r="CO74" s="4">
        <f t="shared" si="317"/>
        <v>0</v>
      </c>
      <c r="CP74" s="4" t="e">
        <f t="shared" ca="1" si="425"/>
        <v>#NAME?</v>
      </c>
      <c r="CQ74" s="4"/>
      <c r="CR74" s="4" t="e">
        <f t="shared" ca="1" si="318"/>
        <v>#NAME?</v>
      </c>
      <c r="CS74" s="4">
        <f t="shared" ca="1" si="319"/>
        <v>85830</v>
      </c>
      <c r="CT74" s="4">
        <f t="shared" ca="1" si="320"/>
        <v>0</v>
      </c>
      <c r="CU74" s="4"/>
      <c r="CV74" s="4" t="e">
        <f t="shared" ca="1" si="406"/>
        <v>#NAME?</v>
      </c>
      <c r="CW74" s="4">
        <f t="shared" ca="1" si="321"/>
        <v>0</v>
      </c>
      <c r="CX74" s="4">
        <f t="shared" si="322"/>
        <v>0</v>
      </c>
      <c r="CY74" s="4" t="e">
        <f t="shared" ca="1" si="407"/>
        <v>#NAME?</v>
      </c>
      <c r="CZ74" s="4"/>
      <c r="DA74" s="4" t="e">
        <f t="shared" ca="1" si="323"/>
        <v>#NAME?</v>
      </c>
      <c r="DB74" s="4">
        <f t="shared" si="324"/>
        <v>0</v>
      </c>
      <c r="DC74" s="4">
        <f t="shared" si="408"/>
        <v>0</v>
      </c>
      <c r="DD74" s="4">
        <f t="shared" si="325"/>
        <v>0</v>
      </c>
      <c r="DE74" s="4" t="e">
        <f t="shared" ca="1" si="326"/>
        <v>#NAME?</v>
      </c>
      <c r="DF74" s="4" t="e">
        <f t="shared" ca="1" si="409"/>
        <v>#NAME?</v>
      </c>
      <c r="DG74" s="4" t="e">
        <f t="shared" ca="1" si="410"/>
        <v>#NAME?</v>
      </c>
      <c r="DH74" s="4">
        <f t="shared" si="327"/>
        <v>0</v>
      </c>
      <c r="DI74" s="4"/>
      <c r="DJ74" s="4" t="e">
        <f t="shared" ca="1" si="328"/>
        <v>#NAME?</v>
      </c>
      <c r="DK74" s="4">
        <f t="shared" ca="1" si="329"/>
        <v>21000</v>
      </c>
      <c r="DL74" s="4">
        <f t="shared" ca="1" si="330"/>
        <v>21000</v>
      </c>
      <c r="DM74" s="4">
        <f t="shared" si="331"/>
        <v>0</v>
      </c>
      <c r="DN74" s="4" t="e">
        <f t="shared" ca="1" si="332"/>
        <v>#NAME?</v>
      </c>
      <c r="DO74" s="4" t="e">
        <f t="shared" ca="1" si="333"/>
        <v>#NAME?</v>
      </c>
      <c r="DP74" s="4"/>
      <c r="DQ74" s="4" t="e">
        <f t="shared" ca="1" si="334"/>
        <v>#NAME?</v>
      </c>
      <c r="DR74" s="4"/>
      <c r="DS74" s="4">
        <f t="shared" si="411"/>
        <v>0</v>
      </c>
      <c r="DT74" s="4">
        <f t="shared" si="282"/>
        <v>0</v>
      </c>
      <c r="DU74" s="4">
        <f t="shared" si="335"/>
        <v>0</v>
      </c>
      <c r="DV74" s="4"/>
      <c r="DW74" s="4" t="e">
        <f t="shared" ca="1" si="412"/>
        <v>#NAME?</v>
      </c>
      <c r="DX74" s="4" t="e">
        <f t="shared" ca="1" si="336"/>
        <v>#NAME?</v>
      </c>
      <c r="DY74" s="4">
        <f t="shared" si="413"/>
        <v>0</v>
      </c>
      <c r="DZ74" s="4" t="e">
        <f t="shared" ca="1" si="337"/>
        <v>#NAME?</v>
      </c>
      <c r="EA74" s="4" t="e">
        <f t="shared" ca="1" si="338"/>
        <v>#NAME?</v>
      </c>
      <c r="EB74" s="4" t="e">
        <f t="shared" ca="1" si="339"/>
        <v>#NAME?</v>
      </c>
      <c r="EC74" s="4">
        <f t="shared" si="340"/>
        <v>2</v>
      </c>
      <c r="ED74" s="4"/>
      <c r="EE74" s="4" t="e">
        <f t="shared" ca="1" si="414"/>
        <v>#NAME?</v>
      </c>
      <c r="EF74" s="4">
        <f t="shared" si="341"/>
        <v>0</v>
      </c>
      <c r="EG74" s="4">
        <f t="shared" si="415"/>
        <v>0</v>
      </c>
      <c r="EH74" s="4" t="e">
        <f t="shared" ca="1" si="342"/>
        <v>#NAME?</v>
      </c>
      <c r="EI74" s="4" t="e">
        <f t="shared" ca="1" si="343"/>
        <v>#NAME?</v>
      </c>
      <c r="EJ74" s="4" t="e">
        <f t="shared" ca="1" si="344"/>
        <v>#NAME?</v>
      </c>
      <c r="EK74" s="4">
        <f t="shared" si="345"/>
        <v>2</v>
      </c>
      <c r="EL74" s="4">
        <f t="shared" si="346"/>
        <v>0</v>
      </c>
      <c r="EM74" s="4"/>
      <c r="EN74" s="4" t="e">
        <f t="shared" ca="1" si="416"/>
        <v>#NAME?</v>
      </c>
      <c r="EO74" s="4" t="e">
        <f t="shared" ca="1" si="347"/>
        <v>#NAME?</v>
      </c>
      <c r="EP74" s="4">
        <f t="shared" si="417"/>
        <v>0</v>
      </c>
      <c r="EQ74" s="4" t="e">
        <f t="shared" ca="1" si="348"/>
        <v>#NAME?</v>
      </c>
      <c r="ER74" s="4">
        <v>0</v>
      </c>
      <c r="ES74" s="4" t="e">
        <f t="shared" ca="1" si="426"/>
        <v>#NAME?</v>
      </c>
      <c r="ET74" s="4"/>
      <c r="EU74" s="4" t="e">
        <f t="shared" ca="1" si="418"/>
        <v>#NAME?</v>
      </c>
      <c r="EV74" s="4" t="e">
        <f t="shared" ca="1" si="349"/>
        <v>#NAME?</v>
      </c>
      <c r="EW74" s="4">
        <f t="shared" si="419"/>
        <v>0</v>
      </c>
      <c r="EX74" s="4" t="e">
        <f t="shared" ca="1" si="350"/>
        <v>#NAME?</v>
      </c>
      <c r="EY74" s="4">
        <v>0</v>
      </c>
      <c r="EZ74" s="4" t="e">
        <f t="shared" ca="1" si="427"/>
        <v>#NAME?</v>
      </c>
      <c r="FA74" s="4" t="e">
        <f t="shared" ca="1" si="420"/>
        <v>#NAME?</v>
      </c>
      <c r="FB74" s="1" t="e">
        <f t="shared" ca="1" si="351"/>
        <v>#NAME?</v>
      </c>
      <c r="FC74" s="4">
        <f t="shared" si="421"/>
        <v>0</v>
      </c>
      <c r="FD74" s="4">
        <f t="shared" si="422"/>
        <v>0</v>
      </c>
      <c r="FE74" s="4">
        <f t="shared" si="352"/>
        <v>0</v>
      </c>
      <c r="FF74" s="4">
        <f t="shared" si="353"/>
        <v>0</v>
      </c>
      <c r="FG74" s="4">
        <f t="shared" ca="1" si="354"/>
        <v>0</v>
      </c>
      <c r="FH74" s="17" t="e">
        <f t="shared" ca="1" si="355"/>
        <v>#NAME?</v>
      </c>
      <c r="FI74" s="4" t="e">
        <f t="shared" ca="1" si="356"/>
        <v>#NAME?</v>
      </c>
      <c r="FJ74" s="4"/>
      <c r="FK74" s="4" t="e">
        <f t="shared" ca="1" si="357"/>
        <v>#NAME?</v>
      </c>
      <c r="FL74" s="4"/>
      <c r="FM74" s="4">
        <v>0</v>
      </c>
      <c r="FN74" s="4">
        <f t="shared" si="358"/>
        <v>0</v>
      </c>
      <c r="FO74" s="4">
        <f t="shared" si="359"/>
        <v>0</v>
      </c>
      <c r="FP74" s="4">
        <f t="shared" si="360"/>
        <v>0</v>
      </c>
      <c r="FQ74" s="4">
        <f t="shared" si="361"/>
        <v>0</v>
      </c>
      <c r="FR74" s="4">
        <f t="shared" si="362"/>
        <v>0</v>
      </c>
      <c r="FS74" s="4">
        <f t="shared" si="363"/>
        <v>0</v>
      </c>
      <c r="FT74" s="4">
        <f t="shared" si="364"/>
        <v>0</v>
      </c>
      <c r="FU74" s="4"/>
      <c r="FV74" s="3">
        <f t="shared" si="365"/>
        <v>0</v>
      </c>
      <c r="FW74" s="3">
        <f t="shared" si="366"/>
        <v>0</v>
      </c>
      <c r="FX74" s="4">
        <f t="shared" si="423"/>
        <v>2084</v>
      </c>
      <c r="FY74" s="18">
        <f t="shared" si="367"/>
        <v>0</v>
      </c>
      <c r="FZ74" s="18">
        <f t="shared" si="368"/>
        <v>0</v>
      </c>
      <c r="GA74" s="18">
        <f t="shared" si="369"/>
        <v>0</v>
      </c>
      <c r="GB74" s="18">
        <f t="shared" si="370"/>
        <v>0</v>
      </c>
      <c r="GC74" s="18" t="e">
        <f t="shared" ca="1" si="371"/>
        <v>#NAME?</v>
      </c>
      <c r="GD74" s="18" t="e">
        <f t="shared" ca="1" si="372"/>
        <v>#NAME?</v>
      </c>
      <c r="GE74" s="18" t="e">
        <f t="shared" ca="1" si="373"/>
        <v>#NAME?</v>
      </c>
      <c r="GF74" s="18" t="e">
        <f t="shared" ca="1" si="374"/>
        <v>#NAME?</v>
      </c>
      <c r="GG74" s="18" t="e">
        <f t="shared" ca="1" si="375"/>
        <v>#NAME?</v>
      </c>
      <c r="GH74" s="18" t="e">
        <f t="shared" ca="1" si="376"/>
        <v>#NAME?</v>
      </c>
      <c r="GI74" s="4"/>
      <c r="GJ74" s="4">
        <f t="shared" si="428"/>
        <v>2084</v>
      </c>
      <c r="GK74" s="4" t="e">
        <f t="shared" ca="1" si="377"/>
        <v>#NAME?</v>
      </c>
      <c r="GL74" s="4" t="e">
        <f t="shared" ca="1" si="378"/>
        <v>#NAME?</v>
      </c>
      <c r="GM74" s="4" t="e">
        <f t="shared" ca="1" si="379"/>
        <v>#NAME?</v>
      </c>
      <c r="GN74" s="4" t="e">
        <f t="shared" ca="1" si="380"/>
        <v>#NAME?</v>
      </c>
      <c r="GO74" s="4"/>
      <c r="GP74" s="3" t="e">
        <f t="shared" ca="1" si="424"/>
        <v>#NAME?</v>
      </c>
      <c r="GQ74" s="3" t="e">
        <f t="shared" ca="1" si="381"/>
        <v>#NAME?</v>
      </c>
      <c r="GR74" s="3" t="e">
        <f t="shared" ca="1" si="382"/>
        <v>#NAME?</v>
      </c>
      <c r="GS74" s="3" t="e">
        <f t="shared" ca="1" si="383"/>
        <v>#NAME?</v>
      </c>
      <c r="GT74" s="3" t="e">
        <f t="array" aca="1" ref="GT74" ca="1">SUM(GP74:GS74*$GU$6:$GX$6)</f>
        <v>#NAME?</v>
      </c>
      <c r="GU74" s="3" t="e">
        <f t="shared" ca="1" si="429"/>
        <v>#NAME?</v>
      </c>
      <c r="GV74" s="3" t="e">
        <f t="shared" ca="1" si="430"/>
        <v>#NAME?</v>
      </c>
      <c r="GW74" s="3" t="e">
        <f t="shared" ca="1" si="431"/>
        <v>#NAME?</v>
      </c>
      <c r="GX74" s="3" t="e">
        <f t="shared" ca="1" si="432"/>
        <v>#NAME?</v>
      </c>
      <c r="GY74" s="11"/>
      <c r="HJ74">
        <f t="shared" si="433"/>
        <v>2077</v>
      </c>
      <c r="HK74" s="28">
        <f t="shared" si="164"/>
        <v>74720</v>
      </c>
      <c r="HL74" s="27">
        <f t="shared" si="162"/>
        <v>18500</v>
      </c>
      <c r="HM74" s="28">
        <f t="shared" si="163"/>
        <v>18406.582722729974</v>
      </c>
    </row>
    <row r="75" spans="1:226" x14ac:dyDescent="0.25">
      <c r="A75" t="s">
        <v>568</v>
      </c>
      <c r="B75" s="62" t="str">
        <f>Inputs_Summary!AJ72</f>
        <v>45282 (27.5%)</v>
      </c>
      <c r="D75">
        <f t="shared" si="384"/>
        <v>2085</v>
      </c>
      <c r="E75">
        <f t="shared" si="385"/>
        <v>90</v>
      </c>
      <c r="F75" s="8"/>
      <c r="G75" s="8"/>
      <c r="H75" s="8"/>
      <c r="I75" s="8"/>
      <c r="J75" s="92"/>
      <c r="K75" s="91"/>
      <c r="L75" s="91"/>
      <c r="N75" s="93">
        <f t="shared" si="386"/>
        <v>0.05</v>
      </c>
      <c r="O75" s="23">
        <f t="shared" si="387"/>
        <v>0.4</v>
      </c>
      <c r="P75" s="23">
        <f t="shared" si="388"/>
        <v>0.1</v>
      </c>
      <c r="Q75" s="4">
        <f t="shared" si="283"/>
        <v>0</v>
      </c>
      <c r="R75" s="4">
        <f t="shared" si="389"/>
        <v>0</v>
      </c>
      <c r="S75" s="4">
        <f t="shared" si="390"/>
        <v>0</v>
      </c>
      <c r="T75" s="4">
        <f t="shared" ca="1" si="391"/>
        <v>0</v>
      </c>
      <c r="V75" s="18" t="e">
        <f t="shared" ca="1" si="284"/>
        <v>#NAME?</v>
      </c>
      <c r="W75" s="18" t="e">
        <f t="shared" ca="1" si="285"/>
        <v>#NAME?</v>
      </c>
      <c r="X75" s="18">
        <f t="shared" si="286"/>
        <v>0</v>
      </c>
      <c r="Y75" s="18" t="e">
        <f t="shared" ca="1" si="287"/>
        <v>#NAME?</v>
      </c>
      <c r="Z75" s="18" t="e">
        <f t="shared" ca="1" si="288"/>
        <v>#NAME?</v>
      </c>
      <c r="AA75" s="18" t="e">
        <f t="shared" ca="1" si="289"/>
        <v>#NAME?</v>
      </c>
      <c r="AB75" s="18" t="e">
        <f t="shared" ca="1" si="290"/>
        <v>#NAME?</v>
      </c>
      <c r="AC75" s="18" t="e">
        <f t="shared" ca="1" si="291"/>
        <v>#NAME?</v>
      </c>
      <c r="AD75" s="18" t="e">
        <f t="shared" ca="1" si="292"/>
        <v>#NAME?</v>
      </c>
      <c r="AE75" s="18" t="e">
        <f t="shared" ca="1" si="293"/>
        <v>#NAME?</v>
      </c>
      <c r="AF75" s="18" t="e">
        <f t="shared" ca="1" si="294"/>
        <v>#NAME?</v>
      </c>
      <c r="AG75" s="18" t="e">
        <f t="shared" ca="1" si="295"/>
        <v>#NAME?</v>
      </c>
      <c r="AI75">
        <f>Person2!E75</f>
        <v>90</v>
      </c>
      <c r="AJ75">
        <f>Person2!AZ75</f>
        <v>3</v>
      </c>
      <c r="AK75">
        <f>IF($AZ75&lt;&gt;3,Person2!FM75,0)</f>
        <v>0</v>
      </c>
      <c r="AL75" s="4">
        <f>IF($AZ75&lt;&gt;3,Person2!FN75+Person2!FT75,0)</f>
        <v>0</v>
      </c>
      <c r="AM75">
        <f>IF($AZ75&lt;&gt;3,Person2!FO75,0)</f>
        <v>0</v>
      </c>
      <c r="AN75">
        <f>IF($AZ75&lt;&gt;3,Person2!FP75,0)</f>
        <v>0</v>
      </c>
      <c r="AO75">
        <f>IF($AZ75&lt;&gt;3,Person2!FQ75,0)</f>
        <v>0</v>
      </c>
      <c r="AP75">
        <f>IF($AZ75&lt;&gt;3,Person2!FR75,0)</f>
        <v>0</v>
      </c>
      <c r="AQ75">
        <v>0</v>
      </c>
      <c r="AR75" s="4">
        <f>Person2!FS75</f>
        <v>0</v>
      </c>
      <c r="AS75" s="4">
        <v>0</v>
      </c>
      <c r="AT75" s="4">
        <v>0</v>
      </c>
      <c r="AV75">
        <f t="shared" si="270"/>
        <v>2085</v>
      </c>
      <c r="AW75">
        <f t="shared" si="271"/>
        <v>90</v>
      </c>
      <c r="AX75">
        <f t="shared" si="392"/>
        <v>3.844250502545596</v>
      </c>
      <c r="AY75">
        <f t="shared" si="393"/>
        <v>0.26012872973231516</v>
      </c>
      <c r="AZ75">
        <f t="shared" si="394"/>
        <v>3</v>
      </c>
      <c r="BB75" s="4">
        <f t="shared" si="296"/>
        <v>0</v>
      </c>
      <c r="BC75">
        <f t="shared" si="297"/>
        <v>0</v>
      </c>
      <c r="BD75" s="4">
        <f t="shared" si="298"/>
        <v>0</v>
      </c>
      <c r="BE75" s="4">
        <f t="shared" si="395"/>
        <v>0</v>
      </c>
      <c r="BF75" s="4">
        <f t="shared" si="396"/>
        <v>0</v>
      </c>
      <c r="BG75" s="4">
        <f t="shared" si="397"/>
        <v>0</v>
      </c>
      <c r="BH75" s="4">
        <f t="shared" si="299"/>
        <v>0</v>
      </c>
      <c r="BI75" s="4">
        <f t="shared" si="398"/>
        <v>0</v>
      </c>
      <c r="BJ75" s="4"/>
      <c r="BK75" s="4">
        <f t="shared" si="300"/>
        <v>0</v>
      </c>
      <c r="BL75" s="4">
        <f t="shared" si="399"/>
        <v>0</v>
      </c>
      <c r="BM75" s="4">
        <f t="shared" si="400"/>
        <v>0</v>
      </c>
      <c r="BN75" s="4">
        <v>0</v>
      </c>
      <c r="BO75" s="4">
        <f t="shared" si="401"/>
        <v>0</v>
      </c>
      <c r="BP75" s="4">
        <f t="shared" si="402"/>
        <v>0</v>
      </c>
      <c r="BQ75" s="4"/>
      <c r="BR75" s="4">
        <v>0</v>
      </c>
      <c r="BS75" s="4" t="e">
        <f t="shared" ca="1" si="301"/>
        <v>#NAME?</v>
      </c>
      <c r="BT75" s="4">
        <f t="shared" si="302"/>
        <v>0</v>
      </c>
      <c r="BU75" s="4">
        <f t="shared" si="303"/>
        <v>0</v>
      </c>
      <c r="BV75" s="4">
        <f t="shared" si="304"/>
        <v>0</v>
      </c>
      <c r="BW75" s="4" t="e">
        <f t="shared" ca="1" si="305"/>
        <v>#NAME?</v>
      </c>
      <c r="BX75" s="4" t="e">
        <f t="shared" ca="1" si="306"/>
        <v>#NAME?</v>
      </c>
      <c r="BY75" s="4" t="e">
        <f t="shared" ca="1" si="307"/>
        <v>#NAME?</v>
      </c>
      <c r="BZ75" s="4" t="e">
        <f t="shared" ca="1" si="308"/>
        <v>#NAME?</v>
      </c>
      <c r="CA75" s="4" t="e">
        <f t="shared" ca="1" si="309"/>
        <v>#NAME?</v>
      </c>
      <c r="CB75" s="4" t="e">
        <f t="shared" ca="1" si="160"/>
        <v>#NAME?</v>
      </c>
      <c r="CC75" s="4"/>
      <c r="CD75" s="4" t="e">
        <f t="shared" ca="1" si="310"/>
        <v>#NAME?</v>
      </c>
      <c r="CE75" s="4">
        <f t="shared" si="403"/>
        <v>0</v>
      </c>
      <c r="CF75" s="16">
        <f t="shared" si="311"/>
        <v>1</v>
      </c>
      <c r="CG75" s="4">
        <f t="shared" si="404"/>
        <v>0</v>
      </c>
      <c r="CH75" s="4" t="e">
        <f t="shared" ca="1" si="312"/>
        <v>#NAME?</v>
      </c>
      <c r="CI75" s="4" t="e">
        <f t="shared" ca="1" si="313"/>
        <v>#NAME?</v>
      </c>
      <c r="CJ75" s="4" t="e">
        <f t="shared" ca="1" si="405"/>
        <v>#NAME?</v>
      </c>
      <c r="CK75" s="4" t="e">
        <f t="shared" ca="1" si="314"/>
        <v>#NAME?</v>
      </c>
      <c r="CL75" s="4" t="e">
        <f t="shared" ca="1" si="315"/>
        <v>#NAME?</v>
      </c>
      <c r="CM75" s="16"/>
      <c r="CN75" s="4">
        <f t="shared" si="316"/>
        <v>0</v>
      </c>
      <c r="CO75" s="4">
        <f t="shared" si="317"/>
        <v>0</v>
      </c>
      <c r="CP75" s="4" t="e">
        <f t="shared" ca="1" si="425"/>
        <v>#NAME?</v>
      </c>
      <c r="CQ75" s="4"/>
      <c r="CR75" s="4" t="e">
        <f t="shared" ca="1" si="318"/>
        <v>#NAME?</v>
      </c>
      <c r="CS75" s="4">
        <f t="shared" ca="1" si="319"/>
        <v>87550</v>
      </c>
      <c r="CT75" s="4">
        <f t="shared" ca="1" si="320"/>
        <v>0</v>
      </c>
      <c r="CU75" s="4"/>
      <c r="CV75" s="4" t="e">
        <f t="shared" ca="1" si="406"/>
        <v>#NAME?</v>
      </c>
      <c r="CW75" s="4">
        <f t="shared" ca="1" si="321"/>
        <v>0</v>
      </c>
      <c r="CX75" s="4">
        <f t="shared" si="322"/>
        <v>0</v>
      </c>
      <c r="CY75" s="4" t="e">
        <f t="shared" ca="1" si="407"/>
        <v>#NAME?</v>
      </c>
      <c r="CZ75" s="4"/>
      <c r="DA75" s="4" t="e">
        <f t="shared" ca="1" si="323"/>
        <v>#NAME?</v>
      </c>
      <c r="DB75" s="4">
        <f t="shared" si="324"/>
        <v>0</v>
      </c>
      <c r="DC75" s="4">
        <f t="shared" si="408"/>
        <v>0</v>
      </c>
      <c r="DD75" s="4">
        <f t="shared" si="325"/>
        <v>0</v>
      </c>
      <c r="DE75" s="4" t="e">
        <f t="shared" ca="1" si="326"/>
        <v>#NAME?</v>
      </c>
      <c r="DF75" s="4" t="e">
        <f t="shared" ca="1" si="409"/>
        <v>#NAME?</v>
      </c>
      <c r="DG75" s="4" t="e">
        <f t="shared" ca="1" si="410"/>
        <v>#NAME?</v>
      </c>
      <c r="DH75" s="4">
        <f t="shared" si="327"/>
        <v>0</v>
      </c>
      <c r="DI75" s="4"/>
      <c r="DJ75" s="4" t="e">
        <f t="shared" ca="1" si="328"/>
        <v>#NAME?</v>
      </c>
      <c r="DK75" s="4">
        <f t="shared" ca="1" si="329"/>
        <v>21500</v>
      </c>
      <c r="DL75" s="4">
        <f t="shared" ca="1" si="330"/>
        <v>21500</v>
      </c>
      <c r="DM75" s="4">
        <f t="shared" si="331"/>
        <v>0</v>
      </c>
      <c r="DN75" s="4" t="e">
        <f t="shared" ca="1" si="332"/>
        <v>#NAME?</v>
      </c>
      <c r="DO75" s="4" t="e">
        <f t="shared" ca="1" si="333"/>
        <v>#NAME?</v>
      </c>
      <c r="DP75" s="4"/>
      <c r="DQ75" s="4" t="e">
        <f t="shared" ca="1" si="334"/>
        <v>#NAME?</v>
      </c>
      <c r="DR75" s="4"/>
      <c r="DS75" s="4">
        <f t="shared" si="411"/>
        <v>0</v>
      </c>
      <c r="DT75" s="4">
        <f t="shared" si="282"/>
        <v>0</v>
      </c>
      <c r="DU75" s="4">
        <f t="shared" si="335"/>
        <v>0</v>
      </c>
      <c r="DV75" s="4"/>
      <c r="DW75" s="4" t="e">
        <f t="shared" ca="1" si="412"/>
        <v>#NAME?</v>
      </c>
      <c r="DX75" s="4" t="e">
        <f t="shared" ca="1" si="336"/>
        <v>#NAME?</v>
      </c>
      <c r="DY75" s="4">
        <f t="shared" si="413"/>
        <v>0</v>
      </c>
      <c r="DZ75" s="4" t="e">
        <f t="shared" ca="1" si="337"/>
        <v>#NAME?</v>
      </c>
      <c r="EA75" s="4" t="e">
        <f t="shared" ca="1" si="338"/>
        <v>#NAME?</v>
      </c>
      <c r="EB75" s="4" t="e">
        <f t="shared" ca="1" si="339"/>
        <v>#NAME?</v>
      </c>
      <c r="EC75" s="4">
        <f t="shared" si="340"/>
        <v>2</v>
      </c>
      <c r="ED75" s="4"/>
      <c r="EE75" s="4" t="e">
        <f t="shared" ca="1" si="414"/>
        <v>#NAME?</v>
      </c>
      <c r="EF75" s="4">
        <f t="shared" si="341"/>
        <v>0</v>
      </c>
      <c r="EG75" s="4">
        <f t="shared" si="415"/>
        <v>0</v>
      </c>
      <c r="EH75" s="4" t="e">
        <f t="shared" ca="1" si="342"/>
        <v>#NAME?</v>
      </c>
      <c r="EI75" s="4" t="e">
        <f t="shared" ca="1" si="343"/>
        <v>#NAME?</v>
      </c>
      <c r="EJ75" s="4" t="e">
        <f t="shared" ca="1" si="344"/>
        <v>#NAME?</v>
      </c>
      <c r="EK75" s="4">
        <f t="shared" si="345"/>
        <v>2</v>
      </c>
      <c r="EL75" s="4">
        <f t="shared" si="346"/>
        <v>0</v>
      </c>
      <c r="EM75" s="4"/>
      <c r="EN75" s="4" t="e">
        <f t="shared" ca="1" si="416"/>
        <v>#NAME?</v>
      </c>
      <c r="EO75" s="4" t="e">
        <f t="shared" ca="1" si="347"/>
        <v>#NAME?</v>
      </c>
      <c r="EP75" s="4">
        <f t="shared" si="417"/>
        <v>0</v>
      </c>
      <c r="EQ75" s="4" t="e">
        <f t="shared" ca="1" si="348"/>
        <v>#NAME?</v>
      </c>
      <c r="ER75" s="4">
        <v>0</v>
      </c>
      <c r="ES75" s="4" t="e">
        <f t="shared" ca="1" si="426"/>
        <v>#NAME?</v>
      </c>
      <c r="ET75" s="4"/>
      <c r="EU75" s="4" t="e">
        <f t="shared" ca="1" si="418"/>
        <v>#NAME?</v>
      </c>
      <c r="EV75" s="4" t="e">
        <f t="shared" ca="1" si="349"/>
        <v>#NAME?</v>
      </c>
      <c r="EW75" s="4">
        <f t="shared" si="419"/>
        <v>0</v>
      </c>
      <c r="EX75" s="4" t="e">
        <f t="shared" ca="1" si="350"/>
        <v>#NAME?</v>
      </c>
      <c r="EY75" s="4">
        <v>0</v>
      </c>
      <c r="EZ75" s="4" t="e">
        <f t="shared" ca="1" si="427"/>
        <v>#NAME?</v>
      </c>
      <c r="FA75" s="4" t="e">
        <f t="shared" ca="1" si="420"/>
        <v>#NAME?</v>
      </c>
      <c r="FB75" s="1" t="e">
        <f t="shared" ca="1" si="351"/>
        <v>#NAME?</v>
      </c>
      <c r="FC75" s="4">
        <f t="shared" si="421"/>
        <v>0</v>
      </c>
      <c r="FD75" s="4">
        <f t="shared" si="422"/>
        <v>0</v>
      </c>
      <c r="FE75" s="4">
        <f t="shared" si="352"/>
        <v>0</v>
      </c>
      <c r="FF75" s="4">
        <f t="shared" si="353"/>
        <v>0</v>
      </c>
      <c r="FG75" s="4">
        <f t="shared" ca="1" si="354"/>
        <v>0</v>
      </c>
      <c r="FH75" s="17" t="e">
        <f t="shared" ca="1" si="355"/>
        <v>#NAME?</v>
      </c>
      <c r="FI75" s="4" t="e">
        <f t="shared" ca="1" si="356"/>
        <v>#NAME?</v>
      </c>
      <c r="FJ75" s="4"/>
      <c r="FK75" s="4" t="e">
        <f t="shared" ca="1" si="357"/>
        <v>#NAME?</v>
      </c>
      <c r="FL75" s="4"/>
      <c r="FM75" s="4">
        <v>0</v>
      </c>
      <c r="FN75" s="4">
        <f t="shared" si="358"/>
        <v>0</v>
      </c>
      <c r="FO75" s="4">
        <f t="shared" si="359"/>
        <v>0</v>
      </c>
      <c r="FP75" s="4">
        <f t="shared" si="360"/>
        <v>0</v>
      </c>
      <c r="FQ75" s="4">
        <f t="shared" si="361"/>
        <v>0</v>
      </c>
      <c r="FR75" s="4">
        <f t="shared" si="362"/>
        <v>0</v>
      </c>
      <c r="FS75" s="4">
        <f t="shared" si="363"/>
        <v>0</v>
      </c>
      <c r="FT75" s="4">
        <f t="shared" si="364"/>
        <v>0</v>
      </c>
      <c r="FU75" s="4"/>
      <c r="FV75" s="3">
        <f t="shared" si="365"/>
        <v>0</v>
      </c>
      <c r="FW75" s="3">
        <f t="shared" si="366"/>
        <v>0</v>
      </c>
      <c r="FX75" s="4">
        <f t="shared" si="423"/>
        <v>2085</v>
      </c>
      <c r="FY75" s="18">
        <f t="shared" si="367"/>
        <v>0</v>
      </c>
      <c r="FZ75" s="18">
        <f t="shared" si="368"/>
        <v>0</v>
      </c>
      <c r="GA75" s="18">
        <f t="shared" si="369"/>
        <v>0</v>
      </c>
      <c r="GB75" s="18">
        <f t="shared" si="370"/>
        <v>0</v>
      </c>
      <c r="GC75" s="18" t="e">
        <f t="shared" ca="1" si="371"/>
        <v>#NAME?</v>
      </c>
      <c r="GD75" s="18" t="e">
        <f t="shared" ca="1" si="372"/>
        <v>#NAME?</v>
      </c>
      <c r="GE75" s="18" t="e">
        <f t="shared" ca="1" si="373"/>
        <v>#NAME?</v>
      </c>
      <c r="GF75" s="18" t="e">
        <f t="shared" ca="1" si="374"/>
        <v>#NAME?</v>
      </c>
      <c r="GG75" s="18" t="e">
        <f t="shared" ca="1" si="375"/>
        <v>#NAME?</v>
      </c>
      <c r="GH75" s="18" t="e">
        <f t="shared" ca="1" si="376"/>
        <v>#NAME?</v>
      </c>
      <c r="GI75" s="4"/>
      <c r="GJ75" s="4">
        <f t="shared" si="428"/>
        <v>2085</v>
      </c>
      <c r="GK75" s="4" t="e">
        <f t="shared" ca="1" si="377"/>
        <v>#NAME?</v>
      </c>
      <c r="GL75" s="4" t="e">
        <f t="shared" ca="1" si="378"/>
        <v>#NAME?</v>
      </c>
      <c r="GM75" s="4" t="e">
        <f t="shared" ca="1" si="379"/>
        <v>#NAME?</v>
      </c>
      <c r="GN75" s="4" t="e">
        <f t="shared" ca="1" si="380"/>
        <v>#NAME?</v>
      </c>
      <c r="GO75" s="4"/>
      <c r="GP75" s="3" t="e">
        <f t="shared" ca="1" si="424"/>
        <v>#NAME?</v>
      </c>
      <c r="GQ75" s="3" t="e">
        <f t="shared" ca="1" si="381"/>
        <v>#NAME?</v>
      </c>
      <c r="GR75" s="3" t="e">
        <f t="shared" ca="1" si="382"/>
        <v>#NAME?</v>
      </c>
      <c r="GS75" s="3" t="e">
        <f t="shared" ca="1" si="383"/>
        <v>#NAME?</v>
      </c>
      <c r="GT75" s="3" t="e">
        <f t="array" aca="1" ref="GT75" ca="1">SUM(GP75:GS75*$GU$6:$GX$6)</f>
        <v>#NAME?</v>
      </c>
      <c r="GU75" s="3" t="e">
        <f t="shared" ca="1" si="429"/>
        <v>#NAME?</v>
      </c>
      <c r="GV75" s="3" t="e">
        <f t="shared" ca="1" si="430"/>
        <v>#NAME?</v>
      </c>
      <c r="GW75" s="3" t="e">
        <f t="shared" ca="1" si="431"/>
        <v>#NAME?</v>
      </c>
      <c r="GX75" s="3" t="e">
        <f t="shared" ca="1" si="432"/>
        <v>#NAME?</v>
      </c>
      <c r="GY75" s="11"/>
      <c r="HJ75">
        <f t="shared" si="433"/>
        <v>2078</v>
      </c>
      <c r="HK75" s="28">
        <f t="shared" si="164"/>
        <v>76220</v>
      </c>
      <c r="HL75" s="27">
        <f t="shared" si="162"/>
        <v>19000</v>
      </c>
      <c r="HM75" s="28">
        <f t="shared" si="163"/>
        <v>18774.714377184573</v>
      </c>
    </row>
    <row r="76" spans="1:226" x14ac:dyDescent="0.25">
      <c r="D76">
        <f t="shared" si="384"/>
        <v>2086</v>
      </c>
      <c r="E76">
        <f t="shared" si="385"/>
        <v>91</v>
      </c>
      <c r="F76" s="8"/>
      <c r="G76" s="8"/>
      <c r="H76" s="8"/>
      <c r="I76" s="8"/>
      <c r="J76" s="92"/>
      <c r="K76" s="91"/>
      <c r="L76" s="91"/>
      <c r="N76" s="93">
        <f t="shared" si="386"/>
        <v>0.05</v>
      </c>
      <c r="O76" s="23">
        <f t="shared" si="387"/>
        <v>0.4</v>
      </c>
      <c r="P76" s="23">
        <f t="shared" si="388"/>
        <v>0.1</v>
      </c>
      <c r="Q76" s="4">
        <f t="shared" si="283"/>
        <v>0</v>
      </c>
      <c r="R76" s="4">
        <f t="shared" si="389"/>
        <v>0</v>
      </c>
      <c r="S76" s="4">
        <f t="shared" si="390"/>
        <v>0</v>
      </c>
      <c r="T76" s="4">
        <f t="shared" ca="1" si="391"/>
        <v>0</v>
      </c>
      <c r="V76" s="18" t="e">
        <f t="shared" ca="1" si="284"/>
        <v>#NAME?</v>
      </c>
      <c r="W76" s="18" t="e">
        <f t="shared" ca="1" si="285"/>
        <v>#NAME?</v>
      </c>
      <c r="X76" s="18">
        <f t="shared" si="286"/>
        <v>0</v>
      </c>
      <c r="Y76" s="18" t="e">
        <f t="shared" ca="1" si="287"/>
        <v>#NAME?</v>
      </c>
      <c r="Z76" s="18" t="e">
        <f t="shared" ca="1" si="288"/>
        <v>#NAME?</v>
      </c>
      <c r="AA76" s="18" t="e">
        <f t="shared" ca="1" si="289"/>
        <v>#NAME?</v>
      </c>
      <c r="AB76" s="18" t="e">
        <f t="shared" ca="1" si="290"/>
        <v>#NAME?</v>
      </c>
      <c r="AC76" s="18" t="e">
        <f t="shared" ca="1" si="291"/>
        <v>#NAME?</v>
      </c>
      <c r="AD76" s="18" t="e">
        <f t="shared" ca="1" si="292"/>
        <v>#NAME?</v>
      </c>
      <c r="AE76" s="18" t="e">
        <f t="shared" ca="1" si="293"/>
        <v>#NAME?</v>
      </c>
      <c r="AF76" s="18" t="e">
        <f t="shared" ca="1" si="294"/>
        <v>#NAME?</v>
      </c>
      <c r="AG76" s="18" t="e">
        <f t="shared" ca="1" si="295"/>
        <v>#NAME?</v>
      </c>
      <c r="AI76">
        <f>Person2!E76</f>
        <v>91</v>
      </c>
      <c r="AJ76">
        <f>Person2!AZ76</f>
        <v>3</v>
      </c>
      <c r="AK76">
        <f>IF($AZ76&lt;&gt;3,Person2!FM76,0)</f>
        <v>0</v>
      </c>
      <c r="AL76" s="4">
        <f>IF($AZ76&lt;&gt;3,Person2!FN76+Person2!FT76,0)</f>
        <v>0</v>
      </c>
      <c r="AM76">
        <f>IF($AZ76&lt;&gt;3,Person2!FO76,0)</f>
        <v>0</v>
      </c>
      <c r="AN76">
        <f>IF($AZ76&lt;&gt;3,Person2!FP76,0)</f>
        <v>0</v>
      </c>
      <c r="AO76">
        <f>IF($AZ76&lt;&gt;3,Person2!FQ76,0)</f>
        <v>0</v>
      </c>
      <c r="AP76">
        <f>IF($AZ76&lt;&gt;3,Person2!FR76,0)</f>
        <v>0</v>
      </c>
      <c r="AQ76">
        <v>0</v>
      </c>
      <c r="AR76" s="4">
        <f>Person2!FS76</f>
        <v>0</v>
      </c>
      <c r="AS76" s="4">
        <v>0</v>
      </c>
      <c r="AT76" s="4">
        <v>0</v>
      </c>
      <c r="AV76">
        <f t="shared" si="270"/>
        <v>2086</v>
      </c>
      <c r="AW76">
        <f t="shared" si="271"/>
        <v>91</v>
      </c>
      <c r="AX76">
        <f t="shared" si="392"/>
        <v>3.9211355125965079</v>
      </c>
      <c r="AY76">
        <f t="shared" si="393"/>
        <v>0.25502816640423054</v>
      </c>
      <c r="AZ76">
        <f t="shared" si="394"/>
        <v>3</v>
      </c>
      <c r="BB76" s="4">
        <f t="shared" si="296"/>
        <v>0</v>
      </c>
      <c r="BC76">
        <f t="shared" si="297"/>
        <v>0</v>
      </c>
      <c r="BD76" s="4">
        <f t="shared" si="298"/>
        <v>0</v>
      </c>
      <c r="BE76" s="4">
        <f t="shared" si="395"/>
        <v>0</v>
      </c>
      <c r="BF76" s="4">
        <f t="shared" si="396"/>
        <v>0</v>
      </c>
      <c r="BG76" s="4">
        <f t="shared" si="397"/>
        <v>0</v>
      </c>
      <c r="BH76" s="4">
        <f t="shared" si="299"/>
        <v>0</v>
      </c>
      <c r="BI76" s="4">
        <f t="shared" si="398"/>
        <v>0</v>
      </c>
      <c r="BJ76" s="4"/>
      <c r="BK76" s="4">
        <f t="shared" si="300"/>
        <v>0</v>
      </c>
      <c r="BL76" s="4">
        <f t="shared" si="399"/>
        <v>0</v>
      </c>
      <c r="BM76" s="4">
        <f t="shared" si="400"/>
        <v>0</v>
      </c>
      <c r="BN76" s="4">
        <v>0</v>
      </c>
      <c r="BO76" s="4">
        <f t="shared" si="401"/>
        <v>0</v>
      </c>
      <c r="BP76" s="4">
        <f t="shared" si="402"/>
        <v>0</v>
      </c>
      <c r="BQ76" s="4"/>
      <c r="BR76" s="4">
        <v>0</v>
      </c>
      <c r="BS76" s="4" t="e">
        <f t="shared" ca="1" si="301"/>
        <v>#NAME?</v>
      </c>
      <c r="BT76" s="4">
        <f t="shared" si="302"/>
        <v>0</v>
      </c>
      <c r="BU76" s="4">
        <f t="shared" si="303"/>
        <v>0</v>
      </c>
      <c r="BV76" s="4">
        <f t="shared" si="304"/>
        <v>0</v>
      </c>
      <c r="BW76" s="4" t="e">
        <f t="shared" ca="1" si="305"/>
        <v>#NAME?</v>
      </c>
      <c r="BX76" s="4" t="e">
        <f t="shared" ca="1" si="306"/>
        <v>#NAME?</v>
      </c>
      <c r="BY76" s="4" t="e">
        <f t="shared" ca="1" si="307"/>
        <v>#NAME?</v>
      </c>
      <c r="BZ76" s="4" t="e">
        <f t="shared" ca="1" si="308"/>
        <v>#NAME?</v>
      </c>
      <c r="CA76" s="4" t="e">
        <f t="shared" ca="1" si="309"/>
        <v>#NAME?</v>
      </c>
      <c r="CB76" s="4" t="e">
        <f t="shared" ref="CB76:CB86" ca="1" si="434">MAX(0,BW76+BX76+BY76-BU76)*$BV76</f>
        <v>#NAME?</v>
      </c>
      <c r="CC76" s="4"/>
      <c r="CD76" s="4" t="e">
        <f t="shared" ca="1" si="310"/>
        <v>#NAME?</v>
      </c>
      <c r="CE76" s="4">
        <f t="shared" si="403"/>
        <v>0</v>
      </c>
      <c r="CF76" s="16">
        <f t="shared" si="311"/>
        <v>1</v>
      </c>
      <c r="CG76" s="4">
        <f t="shared" si="404"/>
        <v>0</v>
      </c>
      <c r="CH76" s="4" t="e">
        <f t="shared" ca="1" si="312"/>
        <v>#NAME?</v>
      </c>
      <c r="CI76" s="4" t="e">
        <f t="shared" ca="1" si="313"/>
        <v>#NAME?</v>
      </c>
      <c r="CJ76" s="4" t="e">
        <f t="shared" ca="1" si="405"/>
        <v>#NAME?</v>
      </c>
      <c r="CK76" s="4" t="e">
        <f t="shared" ca="1" si="314"/>
        <v>#NAME?</v>
      </c>
      <c r="CL76" s="4" t="e">
        <f t="shared" ca="1" si="315"/>
        <v>#NAME?</v>
      </c>
      <c r="CM76" s="16"/>
      <c r="CN76" s="4">
        <f t="shared" si="316"/>
        <v>0</v>
      </c>
      <c r="CO76" s="4">
        <f t="shared" si="317"/>
        <v>0</v>
      </c>
      <c r="CP76" s="4" t="e">
        <f t="shared" ca="1" si="425"/>
        <v>#NAME?</v>
      </c>
      <c r="CQ76" s="4"/>
      <c r="CR76" s="4" t="e">
        <f t="shared" ca="1" si="318"/>
        <v>#NAME?</v>
      </c>
      <c r="CS76" s="4">
        <f t="shared" ca="1" si="319"/>
        <v>89300</v>
      </c>
      <c r="CT76" s="4">
        <f t="shared" ca="1" si="320"/>
        <v>0</v>
      </c>
      <c r="CU76" s="4"/>
      <c r="CV76" s="4" t="e">
        <f t="shared" ca="1" si="406"/>
        <v>#NAME?</v>
      </c>
      <c r="CW76" s="4">
        <f t="shared" ca="1" si="321"/>
        <v>0</v>
      </c>
      <c r="CX76" s="4">
        <f t="shared" si="322"/>
        <v>0</v>
      </c>
      <c r="CY76" s="4" t="e">
        <f t="shared" ca="1" si="407"/>
        <v>#NAME?</v>
      </c>
      <c r="CZ76" s="4"/>
      <c r="DA76" s="4" t="e">
        <f t="shared" ca="1" si="323"/>
        <v>#NAME?</v>
      </c>
      <c r="DB76" s="4">
        <f t="shared" si="324"/>
        <v>0</v>
      </c>
      <c r="DC76" s="4">
        <f t="shared" si="408"/>
        <v>0</v>
      </c>
      <c r="DD76" s="4">
        <f t="shared" si="325"/>
        <v>0</v>
      </c>
      <c r="DE76" s="4" t="e">
        <f t="shared" ca="1" si="326"/>
        <v>#NAME?</v>
      </c>
      <c r="DF76" s="4" t="e">
        <f t="shared" ca="1" si="409"/>
        <v>#NAME?</v>
      </c>
      <c r="DG76" s="4" t="e">
        <f t="shared" ca="1" si="410"/>
        <v>#NAME?</v>
      </c>
      <c r="DH76" s="4">
        <f t="shared" si="327"/>
        <v>0</v>
      </c>
      <c r="DI76" s="4"/>
      <c r="DJ76" s="4" t="e">
        <f t="shared" ca="1" si="328"/>
        <v>#NAME?</v>
      </c>
      <c r="DK76" s="4">
        <f t="shared" ca="1" si="329"/>
        <v>22000</v>
      </c>
      <c r="DL76" s="4">
        <f t="shared" ca="1" si="330"/>
        <v>22000</v>
      </c>
      <c r="DM76" s="4">
        <f t="shared" si="331"/>
        <v>0</v>
      </c>
      <c r="DN76" s="4" t="e">
        <f t="shared" ca="1" si="332"/>
        <v>#NAME?</v>
      </c>
      <c r="DO76" s="4" t="e">
        <f t="shared" ca="1" si="333"/>
        <v>#NAME?</v>
      </c>
      <c r="DP76" s="4"/>
      <c r="DQ76" s="4" t="e">
        <f t="shared" ca="1" si="334"/>
        <v>#NAME?</v>
      </c>
      <c r="DR76" s="4"/>
      <c r="DS76" s="4">
        <f t="shared" si="411"/>
        <v>0</v>
      </c>
      <c r="DT76" s="4">
        <f t="shared" si="282"/>
        <v>0</v>
      </c>
      <c r="DU76" s="4">
        <f t="shared" si="335"/>
        <v>0</v>
      </c>
      <c r="DV76" s="4"/>
      <c r="DW76" s="4" t="e">
        <f t="shared" ca="1" si="412"/>
        <v>#NAME?</v>
      </c>
      <c r="DX76" s="4" t="e">
        <f t="shared" ca="1" si="336"/>
        <v>#NAME?</v>
      </c>
      <c r="DY76" s="4">
        <f t="shared" si="413"/>
        <v>0</v>
      </c>
      <c r="DZ76" s="4" t="e">
        <f t="shared" ca="1" si="337"/>
        <v>#NAME?</v>
      </c>
      <c r="EA76" s="4" t="e">
        <f t="shared" ca="1" si="338"/>
        <v>#NAME?</v>
      </c>
      <c r="EB76" s="4" t="e">
        <f t="shared" ca="1" si="339"/>
        <v>#NAME?</v>
      </c>
      <c r="EC76" s="4">
        <f t="shared" si="340"/>
        <v>2</v>
      </c>
      <c r="ED76" s="4"/>
      <c r="EE76" s="4" t="e">
        <f t="shared" ca="1" si="414"/>
        <v>#NAME?</v>
      </c>
      <c r="EF76" s="4">
        <f t="shared" si="341"/>
        <v>0</v>
      </c>
      <c r="EG76" s="4">
        <f t="shared" si="415"/>
        <v>0</v>
      </c>
      <c r="EH76" s="4" t="e">
        <f t="shared" ca="1" si="342"/>
        <v>#NAME?</v>
      </c>
      <c r="EI76" s="4" t="e">
        <f t="shared" ca="1" si="343"/>
        <v>#NAME?</v>
      </c>
      <c r="EJ76" s="4" t="e">
        <f t="shared" ca="1" si="344"/>
        <v>#NAME?</v>
      </c>
      <c r="EK76" s="4">
        <f t="shared" si="345"/>
        <v>2</v>
      </c>
      <c r="EL76" s="4">
        <f t="shared" si="346"/>
        <v>0</v>
      </c>
      <c r="EM76" s="4"/>
      <c r="EN76" s="4" t="e">
        <f t="shared" ca="1" si="416"/>
        <v>#NAME?</v>
      </c>
      <c r="EO76" s="4" t="e">
        <f t="shared" ca="1" si="347"/>
        <v>#NAME?</v>
      </c>
      <c r="EP76" s="4">
        <f t="shared" si="417"/>
        <v>0</v>
      </c>
      <c r="EQ76" s="4" t="e">
        <f t="shared" ca="1" si="348"/>
        <v>#NAME?</v>
      </c>
      <c r="ER76" s="4">
        <v>0</v>
      </c>
      <c r="ES76" s="4" t="e">
        <f t="shared" ca="1" si="426"/>
        <v>#NAME?</v>
      </c>
      <c r="ET76" s="4"/>
      <c r="EU76" s="4" t="e">
        <f t="shared" ca="1" si="418"/>
        <v>#NAME?</v>
      </c>
      <c r="EV76" s="4" t="e">
        <f t="shared" ca="1" si="349"/>
        <v>#NAME?</v>
      </c>
      <c r="EW76" s="4">
        <f t="shared" si="419"/>
        <v>0</v>
      </c>
      <c r="EX76" s="4" t="e">
        <f t="shared" ca="1" si="350"/>
        <v>#NAME?</v>
      </c>
      <c r="EY76" s="4">
        <v>0</v>
      </c>
      <c r="EZ76" s="4" t="e">
        <f t="shared" ca="1" si="427"/>
        <v>#NAME?</v>
      </c>
      <c r="FA76" s="4" t="e">
        <f t="shared" ca="1" si="420"/>
        <v>#NAME?</v>
      </c>
      <c r="FB76" s="1" t="e">
        <f t="shared" ca="1" si="351"/>
        <v>#NAME?</v>
      </c>
      <c r="FC76" s="4">
        <f t="shared" si="421"/>
        <v>0</v>
      </c>
      <c r="FD76" s="4">
        <f t="shared" si="422"/>
        <v>0</v>
      </c>
      <c r="FE76" s="4">
        <f t="shared" si="352"/>
        <v>0</v>
      </c>
      <c r="FF76" s="4">
        <f t="shared" si="353"/>
        <v>0</v>
      </c>
      <c r="FG76" s="4">
        <f t="shared" ca="1" si="354"/>
        <v>0</v>
      </c>
      <c r="FH76" s="17" t="e">
        <f t="shared" ca="1" si="355"/>
        <v>#NAME?</v>
      </c>
      <c r="FI76" s="4" t="e">
        <f t="shared" ca="1" si="356"/>
        <v>#NAME?</v>
      </c>
      <c r="FJ76" s="4"/>
      <c r="FK76" s="4" t="e">
        <f t="shared" ca="1" si="357"/>
        <v>#NAME?</v>
      </c>
      <c r="FL76" s="4"/>
      <c r="FM76" s="4">
        <v>0</v>
      </c>
      <c r="FN76" s="4">
        <f t="shared" si="358"/>
        <v>0</v>
      </c>
      <c r="FO76" s="4">
        <f t="shared" si="359"/>
        <v>0</v>
      </c>
      <c r="FP76" s="4">
        <f t="shared" si="360"/>
        <v>0</v>
      </c>
      <c r="FQ76" s="4">
        <f t="shared" si="361"/>
        <v>0</v>
      </c>
      <c r="FR76" s="4">
        <f t="shared" si="362"/>
        <v>0</v>
      </c>
      <c r="FS76" s="4">
        <f t="shared" si="363"/>
        <v>0</v>
      </c>
      <c r="FT76" s="4">
        <f t="shared" si="364"/>
        <v>0</v>
      </c>
      <c r="FU76" s="4"/>
      <c r="FV76" s="3">
        <f t="shared" si="365"/>
        <v>0</v>
      </c>
      <c r="FW76" s="3">
        <f t="shared" si="366"/>
        <v>0</v>
      </c>
      <c r="FX76" s="4">
        <f t="shared" si="423"/>
        <v>2086</v>
      </c>
      <c r="FY76" s="18">
        <f t="shared" si="367"/>
        <v>0</v>
      </c>
      <c r="FZ76" s="18">
        <f t="shared" si="368"/>
        <v>0</v>
      </c>
      <c r="GA76" s="18">
        <f t="shared" si="369"/>
        <v>0</v>
      </c>
      <c r="GB76" s="18">
        <f t="shared" si="370"/>
        <v>0</v>
      </c>
      <c r="GC76" s="18" t="e">
        <f t="shared" ca="1" si="371"/>
        <v>#NAME?</v>
      </c>
      <c r="GD76" s="18" t="e">
        <f t="shared" ca="1" si="372"/>
        <v>#NAME?</v>
      </c>
      <c r="GE76" s="18" t="e">
        <f t="shared" ca="1" si="373"/>
        <v>#NAME?</v>
      </c>
      <c r="GF76" s="18" t="e">
        <f t="shared" ca="1" si="374"/>
        <v>#NAME?</v>
      </c>
      <c r="GG76" s="18" t="e">
        <f t="shared" ca="1" si="375"/>
        <v>#NAME?</v>
      </c>
      <c r="GH76" s="18" t="e">
        <f t="shared" ca="1" si="376"/>
        <v>#NAME?</v>
      </c>
      <c r="GI76" s="4"/>
      <c r="GJ76" s="4">
        <f t="shared" si="428"/>
        <v>2086</v>
      </c>
      <c r="GK76" s="4" t="e">
        <f t="shared" ca="1" si="377"/>
        <v>#NAME?</v>
      </c>
      <c r="GL76" s="4" t="e">
        <f t="shared" ca="1" si="378"/>
        <v>#NAME?</v>
      </c>
      <c r="GM76" s="4" t="e">
        <f t="shared" ca="1" si="379"/>
        <v>#NAME?</v>
      </c>
      <c r="GN76" s="4" t="e">
        <f t="shared" ca="1" si="380"/>
        <v>#NAME?</v>
      </c>
      <c r="GO76" s="4"/>
      <c r="GP76" s="3" t="e">
        <f t="shared" ca="1" si="424"/>
        <v>#NAME?</v>
      </c>
      <c r="GQ76" s="3" t="e">
        <f t="shared" ca="1" si="381"/>
        <v>#NAME?</v>
      </c>
      <c r="GR76" s="3" t="e">
        <f t="shared" ca="1" si="382"/>
        <v>#NAME?</v>
      </c>
      <c r="GS76" s="3" t="e">
        <f t="shared" ca="1" si="383"/>
        <v>#NAME?</v>
      </c>
      <c r="GT76" s="3" t="e">
        <f t="array" aca="1" ref="GT76" ca="1">SUM(GP76:GS76*$GU$6:$GX$6)</f>
        <v>#NAME?</v>
      </c>
      <c r="GU76" s="3" t="e">
        <f t="shared" ca="1" si="429"/>
        <v>#NAME?</v>
      </c>
      <c r="GV76" s="3" t="e">
        <f t="shared" ca="1" si="430"/>
        <v>#NAME?</v>
      </c>
      <c r="GW76" s="3" t="e">
        <f t="shared" ca="1" si="431"/>
        <v>#NAME?</v>
      </c>
      <c r="GX76" s="3" t="e">
        <f t="shared" ca="1" si="432"/>
        <v>#NAME?</v>
      </c>
      <c r="GY76" s="11"/>
      <c r="HJ76">
        <f t="shared" si="433"/>
        <v>2079</v>
      </c>
      <c r="HK76" s="28">
        <f t="shared" si="164"/>
        <v>77740</v>
      </c>
      <c r="HL76" s="27">
        <f t="shared" si="162"/>
        <v>19000</v>
      </c>
      <c r="HM76" s="28">
        <f t="shared" si="163"/>
        <v>19150.208664728263</v>
      </c>
    </row>
    <row r="77" spans="1:226" x14ac:dyDescent="0.25">
      <c r="A77" s="15" t="s">
        <v>332</v>
      </c>
      <c r="D77">
        <f t="shared" si="384"/>
        <v>2087</v>
      </c>
      <c r="E77">
        <f t="shared" si="385"/>
        <v>92</v>
      </c>
      <c r="F77" s="8"/>
      <c r="G77" s="8"/>
      <c r="H77" s="8"/>
      <c r="I77" s="8"/>
      <c r="J77" s="92"/>
      <c r="K77" s="91"/>
      <c r="L77" s="91"/>
      <c r="N77" s="93">
        <f t="shared" si="386"/>
        <v>0.05</v>
      </c>
      <c r="O77" s="23">
        <f t="shared" si="387"/>
        <v>0.4</v>
      </c>
      <c r="P77" s="23">
        <f t="shared" si="388"/>
        <v>0.1</v>
      </c>
      <c r="Q77" s="4">
        <f t="shared" si="283"/>
        <v>0</v>
      </c>
      <c r="R77" s="4">
        <f t="shared" si="389"/>
        <v>0</v>
      </c>
      <c r="S77" s="4">
        <f t="shared" si="390"/>
        <v>0</v>
      </c>
      <c r="T77" s="4">
        <f t="shared" ca="1" si="391"/>
        <v>0</v>
      </c>
      <c r="V77" s="18" t="e">
        <f t="shared" ca="1" si="284"/>
        <v>#NAME?</v>
      </c>
      <c r="W77" s="18" t="e">
        <f t="shared" ca="1" si="285"/>
        <v>#NAME?</v>
      </c>
      <c r="X77" s="18">
        <f t="shared" si="286"/>
        <v>0</v>
      </c>
      <c r="Y77" s="18" t="e">
        <f t="shared" ca="1" si="287"/>
        <v>#NAME?</v>
      </c>
      <c r="Z77" s="18" t="e">
        <f t="shared" ca="1" si="288"/>
        <v>#NAME?</v>
      </c>
      <c r="AA77" s="18" t="e">
        <f t="shared" ca="1" si="289"/>
        <v>#NAME?</v>
      </c>
      <c r="AB77" s="18" t="e">
        <f t="shared" ca="1" si="290"/>
        <v>#NAME?</v>
      </c>
      <c r="AC77" s="18" t="e">
        <f t="shared" ca="1" si="291"/>
        <v>#NAME?</v>
      </c>
      <c r="AD77" s="18" t="e">
        <f t="shared" ca="1" si="292"/>
        <v>#NAME?</v>
      </c>
      <c r="AE77" s="18" t="e">
        <f t="shared" ca="1" si="293"/>
        <v>#NAME?</v>
      </c>
      <c r="AF77" s="18" t="e">
        <f t="shared" ca="1" si="294"/>
        <v>#NAME?</v>
      </c>
      <c r="AG77" s="18" t="e">
        <f t="shared" ca="1" si="295"/>
        <v>#NAME?</v>
      </c>
      <c r="AI77">
        <f>Person2!E77</f>
        <v>92</v>
      </c>
      <c r="AJ77">
        <f>Person2!AZ77</f>
        <v>3</v>
      </c>
      <c r="AK77">
        <f>IF($AZ77&lt;&gt;3,Person2!FM77,0)</f>
        <v>0</v>
      </c>
      <c r="AL77" s="4">
        <f>IF($AZ77&lt;&gt;3,Person2!FN77+Person2!FT77,0)</f>
        <v>0</v>
      </c>
      <c r="AM77">
        <f>IF($AZ77&lt;&gt;3,Person2!FO77,0)</f>
        <v>0</v>
      </c>
      <c r="AN77">
        <f>IF($AZ77&lt;&gt;3,Person2!FP77,0)</f>
        <v>0</v>
      </c>
      <c r="AO77">
        <f>IF($AZ77&lt;&gt;3,Person2!FQ77,0)</f>
        <v>0</v>
      </c>
      <c r="AP77">
        <f>IF($AZ77&lt;&gt;3,Person2!FR77,0)</f>
        <v>0</v>
      </c>
      <c r="AQ77">
        <v>0</v>
      </c>
      <c r="AR77" s="4">
        <f>Person2!FS77</f>
        <v>0</v>
      </c>
      <c r="AS77" s="4">
        <v>0</v>
      </c>
      <c r="AT77" s="4">
        <v>0</v>
      </c>
      <c r="AV77">
        <f t="shared" si="270"/>
        <v>2087</v>
      </c>
      <c r="AW77">
        <f t="shared" si="271"/>
        <v>92</v>
      </c>
      <c r="AX77">
        <f t="shared" si="392"/>
        <v>3.9995582228484383</v>
      </c>
      <c r="AY77">
        <f t="shared" si="393"/>
        <v>0.25002761412179464</v>
      </c>
      <c r="AZ77">
        <f t="shared" si="394"/>
        <v>3</v>
      </c>
      <c r="BB77" s="4">
        <f t="shared" si="296"/>
        <v>0</v>
      </c>
      <c r="BC77">
        <f t="shared" si="297"/>
        <v>0</v>
      </c>
      <c r="BD77" s="4">
        <f t="shared" si="298"/>
        <v>0</v>
      </c>
      <c r="BE77" s="4">
        <f t="shared" si="395"/>
        <v>0</v>
      </c>
      <c r="BF77" s="4">
        <f t="shared" si="396"/>
        <v>0</v>
      </c>
      <c r="BG77" s="4">
        <f t="shared" si="397"/>
        <v>0</v>
      </c>
      <c r="BH77" s="4">
        <f t="shared" si="299"/>
        <v>0</v>
      </c>
      <c r="BI77" s="4">
        <f t="shared" si="398"/>
        <v>0</v>
      </c>
      <c r="BJ77" s="4"/>
      <c r="BK77" s="4">
        <f t="shared" si="300"/>
        <v>0</v>
      </c>
      <c r="BL77" s="4">
        <f t="shared" si="399"/>
        <v>0</v>
      </c>
      <c r="BM77" s="4">
        <f t="shared" si="400"/>
        <v>0</v>
      </c>
      <c r="BN77" s="4">
        <v>0</v>
      </c>
      <c r="BO77" s="4">
        <f t="shared" si="401"/>
        <v>0</v>
      </c>
      <c r="BP77" s="4">
        <f t="shared" si="402"/>
        <v>0</v>
      </c>
      <c r="BQ77" s="4"/>
      <c r="BR77" s="4">
        <v>0</v>
      </c>
      <c r="BS77" s="4" t="e">
        <f t="shared" ca="1" si="301"/>
        <v>#NAME?</v>
      </c>
      <c r="BT77" s="4">
        <f t="shared" si="302"/>
        <v>0</v>
      </c>
      <c r="BU77" s="4">
        <f t="shared" si="303"/>
        <v>0</v>
      </c>
      <c r="BV77" s="4">
        <f t="shared" si="304"/>
        <v>0</v>
      </c>
      <c r="BW77" s="4" t="e">
        <f t="shared" ca="1" si="305"/>
        <v>#NAME?</v>
      </c>
      <c r="BX77" s="4" t="e">
        <f t="shared" ca="1" si="306"/>
        <v>#NAME?</v>
      </c>
      <c r="BY77" s="4" t="e">
        <f t="shared" ca="1" si="307"/>
        <v>#NAME?</v>
      </c>
      <c r="BZ77" s="4" t="e">
        <f t="shared" ca="1" si="308"/>
        <v>#NAME?</v>
      </c>
      <c r="CA77" s="4" t="e">
        <f t="shared" ca="1" si="309"/>
        <v>#NAME?</v>
      </c>
      <c r="CB77" s="4" t="e">
        <f t="shared" ca="1" si="434"/>
        <v>#NAME?</v>
      </c>
      <c r="CC77" s="4"/>
      <c r="CD77" s="4" t="e">
        <f t="shared" ca="1" si="310"/>
        <v>#NAME?</v>
      </c>
      <c r="CE77" s="4">
        <f t="shared" si="403"/>
        <v>0</v>
      </c>
      <c r="CF77" s="16">
        <f t="shared" si="311"/>
        <v>1</v>
      </c>
      <c r="CG77" s="4">
        <f t="shared" si="404"/>
        <v>0</v>
      </c>
      <c r="CH77" s="4" t="e">
        <f t="shared" ca="1" si="312"/>
        <v>#NAME?</v>
      </c>
      <c r="CI77" s="4" t="e">
        <f t="shared" ca="1" si="313"/>
        <v>#NAME?</v>
      </c>
      <c r="CJ77" s="4" t="e">
        <f t="shared" ca="1" si="405"/>
        <v>#NAME?</v>
      </c>
      <c r="CK77" s="4" t="e">
        <f t="shared" ca="1" si="314"/>
        <v>#NAME?</v>
      </c>
      <c r="CL77" s="4" t="e">
        <f t="shared" ca="1" si="315"/>
        <v>#NAME?</v>
      </c>
      <c r="CM77" s="16"/>
      <c r="CN77" s="4">
        <f t="shared" si="316"/>
        <v>0</v>
      </c>
      <c r="CO77" s="4">
        <f t="shared" si="317"/>
        <v>0</v>
      </c>
      <c r="CP77" s="4" t="e">
        <f t="shared" ca="1" si="425"/>
        <v>#NAME?</v>
      </c>
      <c r="CQ77" s="4"/>
      <c r="CR77" s="4" t="e">
        <f t="shared" ca="1" si="318"/>
        <v>#NAME?</v>
      </c>
      <c r="CS77" s="4">
        <f t="shared" ca="1" si="319"/>
        <v>91090</v>
      </c>
      <c r="CT77" s="4">
        <f t="shared" ca="1" si="320"/>
        <v>0</v>
      </c>
      <c r="CU77" s="4"/>
      <c r="CV77" s="4" t="e">
        <f t="shared" ca="1" si="406"/>
        <v>#NAME?</v>
      </c>
      <c r="CW77" s="4">
        <f t="shared" ca="1" si="321"/>
        <v>0</v>
      </c>
      <c r="CX77" s="4">
        <f t="shared" si="322"/>
        <v>0</v>
      </c>
      <c r="CY77" s="4" t="e">
        <f t="shared" ca="1" si="407"/>
        <v>#NAME?</v>
      </c>
      <c r="CZ77" s="4"/>
      <c r="DA77" s="4" t="e">
        <f t="shared" ca="1" si="323"/>
        <v>#NAME?</v>
      </c>
      <c r="DB77" s="4">
        <f t="shared" si="324"/>
        <v>0</v>
      </c>
      <c r="DC77" s="4">
        <f t="shared" si="408"/>
        <v>0</v>
      </c>
      <c r="DD77" s="4">
        <f t="shared" si="325"/>
        <v>0</v>
      </c>
      <c r="DE77" s="4" t="e">
        <f t="shared" ca="1" si="326"/>
        <v>#NAME?</v>
      </c>
      <c r="DF77" s="4" t="e">
        <f t="shared" ca="1" si="409"/>
        <v>#NAME?</v>
      </c>
      <c r="DG77" s="4" t="e">
        <f t="shared" ca="1" si="410"/>
        <v>#NAME?</v>
      </c>
      <c r="DH77" s="4">
        <f t="shared" si="327"/>
        <v>0</v>
      </c>
      <c r="DI77" s="4"/>
      <c r="DJ77" s="4" t="e">
        <f t="shared" ca="1" si="328"/>
        <v>#NAME?</v>
      </c>
      <c r="DK77" s="4">
        <f t="shared" ca="1" si="329"/>
        <v>22500</v>
      </c>
      <c r="DL77" s="4">
        <f t="shared" ca="1" si="330"/>
        <v>22500</v>
      </c>
      <c r="DM77" s="4">
        <f t="shared" si="331"/>
        <v>0</v>
      </c>
      <c r="DN77" s="4" t="e">
        <f t="shared" ca="1" si="332"/>
        <v>#NAME?</v>
      </c>
      <c r="DO77" s="4" t="e">
        <f t="shared" ca="1" si="333"/>
        <v>#NAME?</v>
      </c>
      <c r="DP77" s="4"/>
      <c r="DQ77" s="4" t="e">
        <f t="shared" ca="1" si="334"/>
        <v>#NAME?</v>
      </c>
      <c r="DR77" s="4"/>
      <c r="DS77" s="4">
        <f t="shared" si="411"/>
        <v>0</v>
      </c>
      <c r="DT77" s="4">
        <f t="shared" si="282"/>
        <v>0</v>
      </c>
      <c r="DU77" s="4">
        <f t="shared" si="335"/>
        <v>0</v>
      </c>
      <c r="DV77" s="4"/>
      <c r="DW77" s="4" t="e">
        <f t="shared" ca="1" si="412"/>
        <v>#NAME?</v>
      </c>
      <c r="DX77" s="4" t="e">
        <f t="shared" ca="1" si="336"/>
        <v>#NAME?</v>
      </c>
      <c r="DY77" s="4">
        <f t="shared" si="413"/>
        <v>0</v>
      </c>
      <c r="DZ77" s="4" t="e">
        <f t="shared" ca="1" si="337"/>
        <v>#NAME?</v>
      </c>
      <c r="EA77" s="4" t="e">
        <f t="shared" ca="1" si="338"/>
        <v>#NAME?</v>
      </c>
      <c r="EB77" s="4" t="e">
        <f t="shared" ca="1" si="339"/>
        <v>#NAME?</v>
      </c>
      <c r="EC77" s="4">
        <f t="shared" si="340"/>
        <v>2</v>
      </c>
      <c r="ED77" s="4"/>
      <c r="EE77" s="4" t="e">
        <f t="shared" ca="1" si="414"/>
        <v>#NAME?</v>
      </c>
      <c r="EF77" s="4">
        <f t="shared" si="341"/>
        <v>0</v>
      </c>
      <c r="EG77" s="4">
        <f t="shared" si="415"/>
        <v>0</v>
      </c>
      <c r="EH77" s="4" t="e">
        <f t="shared" ca="1" si="342"/>
        <v>#NAME?</v>
      </c>
      <c r="EI77" s="4" t="e">
        <f t="shared" ca="1" si="343"/>
        <v>#NAME?</v>
      </c>
      <c r="EJ77" s="4" t="e">
        <f t="shared" ca="1" si="344"/>
        <v>#NAME?</v>
      </c>
      <c r="EK77" s="4">
        <f t="shared" si="345"/>
        <v>2</v>
      </c>
      <c r="EL77" s="4">
        <f t="shared" si="346"/>
        <v>0</v>
      </c>
      <c r="EM77" s="4"/>
      <c r="EN77" s="4" t="e">
        <f t="shared" ca="1" si="416"/>
        <v>#NAME?</v>
      </c>
      <c r="EO77" s="4" t="e">
        <f t="shared" ca="1" si="347"/>
        <v>#NAME?</v>
      </c>
      <c r="EP77" s="4">
        <f t="shared" si="417"/>
        <v>0</v>
      </c>
      <c r="EQ77" s="4" t="e">
        <f t="shared" ca="1" si="348"/>
        <v>#NAME?</v>
      </c>
      <c r="ER77" s="4">
        <v>0</v>
      </c>
      <c r="ES77" s="4" t="e">
        <f t="shared" ca="1" si="426"/>
        <v>#NAME?</v>
      </c>
      <c r="ET77" s="4"/>
      <c r="EU77" s="4" t="e">
        <f t="shared" ca="1" si="418"/>
        <v>#NAME?</v>
      </c>
      <c r="EV77" s="4" t="e">
        <f t="shared" ca="1" si="349"/>
        <v>#NAME?</v>
      </c>
      <c r="EW77" s="4">
        <f t="shared" si="419"/>
        <v>0</v>
      </c>
      <c r="EX77" s="4" t="e">
        <f t="shared" ca="1" si="350"/>
        <v>#NAME?</v>
      </c>
      <c r="EY77" s="4">
        <v>0</v>
      </c>
      <c r="EZ77" s="4" t="e">
        <f t="shared" ca="1" si="427"/>
        <v>#NAME?</v>
      </c>
      <c r="FA77" s="4" t="e">
        <f t="shared" ca="1" si="420"/>
        <v>#NAME?</v>
      </c>
      <c r="FB77" s="1" t="e">
        <f t="shared" ca="1" si="351"/>
        <v>#NAME?</v>
      </c>
      <c r="FC77" s="4">
        <f t="shared" si="421"/>
        <v>0</v>
      </c>
      <c r="FD77" s="4">
        <f t="shared" si="422"/>
        <v>0</v>
      </c>
      <c r="FE77" s="4">
        <f t="shared" si="352"/>
        <v>0</v>
      </c>
      <c r="FF77" s="4">
        <f t="shared" si="353"/>
        <v>0</v>
      </c>
      <c r="FG77" s="4">
        <f t="shared" ca="1" si="354"/>
        <v>0</v>
      </c>
      <c r="FH77" s="17" t="e">
        <f t="shared" ca="1" si="355"/>
        <v>#NAME?</v>
      </c>
      <c r="FI77" s="4" t="e">
        <f t="shared" ca="1" si="356"/>
        <v>#NAME?</v>
      </c>
      <c r="FJ77" s="4"/>
      <c r="FK77" s="4" t="e">
        <f t="shared" ca="1" si="357"/>
        <v>#NAME?</v>
      </c>
      <c r="FL77" s="4"/>
      <c r="FM77" s="4">
        <v>0</v>
      </c>
      <c r="FN77" s="4">
        <f t="shared" si="358"/>
        <v>0</v>
      </c>
      <c r="FO77" s="4">
        <f t="shared" si="359"/>
        <v>0</v>
      </c>
      <c r="FP77" s="4">
        <f t="shared" si="360"/>
        <v>0</v>
      </c>
      <c r="FQ77" s="4">
        <f t="shared" si="361"/>
        <v>0</v>
      </c>
      <c r="FR77" s="4">
        <f t="shared" si="362"/>
        <v>0</v>
      </c>
      <c r="FS77" s="4">
        <f t="shared" si="363"/>
        <v>0</v>
      </c>
      <c r="FT77" s="4">
        <f t="shared" si="364"/>
        <v>0</v>
      </c>
      <c r="FU77" s="4"/>
      <c r="FV77" s="3">
        <f t="shared" si="365"/>
        <v>0</v>
      </c>
      <c r="FW77" s="3">
        <f t="shared" si="366"/>
        <v>0</v>
      </c>
      <c r="FX77" s="4">
        <f t="shared" si="423"/>
        <v>2087</v>
      </c>
      <c r="FY77" s="18">
        <f t="shared" si="367"/>
        <v>0</v>
      </c>
      <c r="FZ77" s="18">
        <f t="shared" si="368"/>
        <v>0</v>
      </c>
      <c r="GA77" s="18">
        <f t="shared" si="369"/>
        <v>0</v>
      </c>
      <c r="GB77" s="18">
        <f t="shared" si="370"/>
        <v>0</v>
      </c>
      <c r="GC77" s="18" t="e">
        <f t="shared" ca="1" si="371"/>
        <v>#NAME?</v>
      </c>
      <c r="GD77" s="18" t="e">
        <f t="shared" ca="1" si="372"/>
        <v>#NAME?</v>
      </c>
      <c r="GE77" s="18" t="e">
        <f t="shared" ca="1" si="373"/>
        <v>#NAME?</v>
      </c>
      <c r="GF77" s="18" t="e">
        <f t="shared" ca="1" si="374"/>
        <v>#NAME?</v>
      </c>
      <c r="GG77" s="18" t="e">
        <f t="shared" ca="1" si="375"/>
        <v>#NAME?</v>
      </c>
      <c r="GH77" s="18" t="e">
        <f t="shared" ca="1" si="376"/>
        <v>#NAME?</v>
      </c>
      <c r="GI77" s="4"/>
      <c r="GJ77" s="4">
        <f t="shared" si="428"/>
        <v>2087</v>
      </c>
      <c r="GK77" s="4" t="e">
        <f t="shared" ca="1" si="377"/>
        <v>#NAME?</v>
      </c>
      <c r="GL77" s="4" t="e">
        <f t="shared" ca="1" si="378"/>
        <v>#NAME?</v>
      </c>
      <c r="GM77" s="4" t="e">
        <f t="shared" ca="1" si="379"/>
        <v>#NAME?</v>
      </c>
      <c r="GN77" s="4" t="e">
        <f t="shared" ca="1" si="380"/>
        <v>#NAME?</v>
      </c>
      <c r="GO77" s="4"/>
      <c r="GP77" s="3" t="e">
        <f t="shared" ca="1" si="424"/>
        <v>#NAME?</v>
      </c>
      <c r="GQ77" s="3" t="e">
        <f t="shared" ca="1" si="381"/>
        <v>#NAME?</v>
      </c>
      <c r="GR77" s="3" t="e">
        <f t="shared" ca="1" si="382"/>
        <v>#NAME?</v>
      </c>
      <c r="GS77" s="3" t="e">
        <f t="shared" ca="1" si="383"/>
        <v>#NAME?</v>
      </c>
      <c r="GT77" s="3" t="e">
        <f t="array" aca="1" ref="GT77" ca="1">SUM(GP77:GS77*$GU$6:$GX$6)</f>
        <v>#NAME?</v>
      </c>
      <c r="GU77" s="3" t="e">
        <f t="shared" ca="1" si="429"/>
        <v>#NAME?</v>
      </c>
      <c r="GV77" s="3" t="e">
        <f t="shared" ca="1" si="430"/>
        <v>#NAME?</v>
      </c>
      <c r="GW77" s="3" t="e">
        <f t="shared" ca="1" si="431"/>
        <v>#NAME?</v>
      </c>
      <c r="GX77" s="3" t="e">
        <f t="shared" ca="1" si="432"/>
        <v>#NAME?</v>
      </c>
      <c r="GY77" s="11"/>
      <c r="HJ77">
        <f t="shared" si="433"/>
        <v>2080</v>
      </c>
      <c r="HK77" s="28">
        <f t="shared" si="164"/>
        <v>79300</v>
      </c>
      <c r="HL77" s="27">
        <f t="shared" si="162"/>
        <v>19500</v>
      </c>
      <c r="HM77" s="28">
        <f t="shared" si="163"/>
        <v>19533.212838022828</v>
      </c>
    </row>
    <row r="78" spans="1:226" x14ac:dyDescent="0.25">
      <c r="A78" t="s">
        <v>314</v>
      </c>
      <c r="B78" s="62">
        <f>Inputs_Summary!AJ74</f>
        <v>2075</v>
      </c>
      <c r="D78">
        <f t="shared" si="384"/>
        <v>2088</v>
      </c>
      <c r="E78">
        <f t="shared" si="385"/>
        <v>93</v>
      </c>
      <c r="F78" s="8"/>
      <c r="G78" s="8"/>
      <c r="H78" s="8"/>
      <c r="I78" s="8"/>
      <c r="J78" s="92"/>
      <c r="K78" s="91"/>
      <c r="L78" s="91"/>
      <c r="N78" s="93">
        <f t="shared" si="386"/>
        <v>0.05</v>
      </c>
      <c r="O78" s="23">
        <f t="shared" si="387"/>
        <v>0.4</v>
      </c>
      <c r="P78" s="23">
        <f t="shared" si="388"/>
        <v>0.1</v>
      </c>
      <c r="Q78" s="4">
        <f t="shared" si="283"/>
        <v>0</v>
      </c>
      <c r="R78" s="4">
        <f t="shared" si="389"/>
        <v>0</v>
      </c>
      <c r="S78" s="4">
        <f t="shared" si="390"/>
        <v>0</v>
      </c>
      <c r="T78" s="4">
        <f t="shared" ca="1" si="391"/>
        <v>0</v>
      </c>
      <c r="V78" s="18" t="e">
        <f t="shared" ca="1" si="284"/>
        <v>#NAME?</v>
      </c>
      <c r="W78" s="18" t="e">
        <f t="shared" ca="1" si="285"/>
        <v>#NAME?</v>
      </c>
      <c r="X78" s="18">
        <f t="shared" si="286"/>
        <v>0</v>
      </c>
      <c r="Y78" s="18" t="e">
        <f t="shared" ca="1" si="287"/>
        <v>#NAME?</v>
      </c>
      <c r="Z78" s="18" t="e">
        <f t="shared" ca="1" si="288"/>
        <v>#NAME?</v>
      </c>
      <c r="AA78" s="18" t="e">
        <f t="shared" ca="1" si="289"/>
        <v>#NAME?</v>
      </c>
      <c r="AB78" s="18" t="e">
        <f t="shared" ca="1" si="290"/>
        <v>#NAME?</v>
      </c>
      <c r="AC78" s="18" t="e">
        <f t="shared" ca="1" si="291"/>
        <v>#NAME?</v>
      </c>
      <c r="AD78" s="18" t="e">
        <f t="shared" ca="1" si="292"/>
        <v>#NAME?</v>
      </c>
      <c r="AE78" s="18" t="e">
        <f t="shared" ca="1" si="293"/>
        <v>#NAME?</v>
      </c>
      <c r="AF78" s="18" t="e">
        <f t="shared" ca="1" si="294"/>
        <v>#NAME?</v>
      </c>
      <c r="AG78" s="18" t="e">
        <f t="shared" ca="1" si="295"/>
        <v>#NAME?</v>
      </c>
      <c r="AI78">
        <f>Person2!E78</f>
        <v>93</v>
      </c>
      <c r="AJ78">
        <f>Person2!AZ78</f>
        <v>3</v>
      </c>
      <c r="AK78">
        <f>IF($AZ78&lt;&gt;3,Person2!FM78,0)</f>
        <v>0</v>
      </c>
      <c r="AL78" s="4">
        <f>IF($AZ78&lt;&gt;3,Person2!FN78+Person2!FT78,0)</f>
        <v>0</v>
      </c>
      <c r="AM78">
        <f>IF($AZ78&lt;&gt;3,Person2!FO78,0)</f>
        <v>0</v>
      </c>
      <c r="AN78">
        <f>IF($AZ78&lt;&gt;3,Person2!FP78,0)</f>
        <v>0</v>
      </c>
      <c r="AO78">
        <f>IF($AZ78&lt;&gt;3,Person2!FQ78,0)</f>
        <v>0</v>
      </c>
      <c r="AP78">
        <f>IF($AZ78&lt;&gt;3,Person2!FR78,0)</f>
        <v>0</v>
      </c>
      <c r="AQ78">
        <v>0</v>
      </c>
      <c r="AR78" s="4">
        <f>Person2!FS78</f>
        <v>0</v>
      </c>
      <c r="AS78" s="4">
        <v>0</v>
      </c>
      <c r="AT78" s="4">
        <v>0</v>
      </c>
      <c r="AV78">
        <f t="shared" si="270"/>
        <v>2088</v>
      </c>
      <c r="AW78">
        <f t="shared" si="271"/>
        <v>93</v>
      </c>
      <c r="AX78">
        <f t="shared" si="392"/>
        <v>4.0795493873054074</v>
      </c>
      <c r="AY78">
        <f t="shared" si="393"/>
        <v>0.24512511188411235</v>
      </c>
      <c r="AZ78">
        <f t="shared" si="394"/>
        <v>3</v>
      </c>
      <c r="BB78" s="4">
        <f t="shared" si="296"/>
        <v>0</v>
      </c>
      <c r="BC78">
        <f t="shared" si="297"/>
        <v>0</v>
      </c>
      <c r="BD78" s="4">
        <f t="shared" si="298"/>
        <v>0</v>
      </c>
      <c r="BE78" s="4">
        <f t="shared" si="395"/>
        <v>0</v>
      </c>
      <c r="BF78" s="4">
        <f t="shared" si="396"/>
        <v>0</v>
      </c>
      <c r="BG78" s="4">
        <f t="shared" si="397"/>
        <v>0</v>
      </c>
      <c r="BH78" s="4">
        <f t="shared" si="299"/>
        <v>0</v>
      </c>
      <c r="BI78" s="4">
        <f t="shared" si="398"/>
        <v>0</v>
      </c>
      <c r="BJ78" s="4"/>
      <c r="BK78" s="4">
        <f t="shared" si="300"/>
        <v>0</v>
      </c>
      <c r="BL78" s="4">
        <f t="shared" si="399"/>
        <v>0</v>
      </c>
      <c r="BM78" s="4">
        <f t="shared" si="400"/>
        <v>0</v>
      </c>
      <c r="BN78" s="4">
        <v>0</v>
      </c>
      <c r="BO78" s="4">
        <f t="shared" si="401"/>
        <v>0</v>
      </c>
      <c r="BP78" s="4">
        <f t="shared" si="402"/>
        <v>0</v>
      </c>
      <c r="BQ78" s="4"/>
      <c r="BR78" s="4">
        <v>0</v>
      </c>
      <c r="BS78" s="4" t="e">
        <f t="shared" ca="1" si="301"/>
        <v>#NAME?</v>
      </c>
      <c r="BT78" s="4">
        <f t="shared" si="302"/>
        <v>0</v>
      </c>
      <c r="BU78" s="4">
        <f t="shared" si="303"/>
        <v>0</v>
      </c>
      <c r="BV78" s="4">
        <f t="shared" si="304"/>
        <v>0</v>
      </c>
      <c r="BW78" s="4" t="e">
        <f t="shared" ca="1" si="305"/>
        <v>#NAME?</v>
      </c>
      <c r="BX78" s="4" t="e">
        <f t="shared" ca="1" si="306"/>
        <v>#NAME?</v>
      </c>
      <c r="BY78" s="4" t="e">
        <f t="shared" ca="1" si="307"/>
        <v>#NAME?</v>
      </c>
      <c r="BZ78" s="4" t="e">
        <f t="shared" ca="1" si="308"/>
        <v>#NAME?</v>
      </c>
      <c r="CA78" s="4" t="e">
        <f t="shared" ca="1" si="309"/>
        <v>#NAME?</v>
      </c>
      <c r="CB78" s="4" t="e">
        <f t="shared" ca="1" si="434"/>
        <v>#NAME?</v>
      </c>
      <c r="CC78" s="4"/>
      <c r="CD78" s="4" t="e">
        <f t="shared" ca="1" si="310"/>
        <v>#NAME?</v>
      </c>
      <c r="CE78" s="4">
        <f t="shared" si="403"/>
        <v>0</v>
      </c>
      <c r="CF78" s="16">
        <f t="shared" si="311"/>
        <v>1</v>
      </c>
      <c r="CG78" s="4">
        <f t="shared" si="404"/>
        <v>0</v>
      </c>
      <c r="CH78" s="4" t="e">
        <f t="shared" ca="1" si="312"/>
        <v>#NAME?</v>
      </c>
      <c r="CI78" s="4" t="e">
        <f t="shared" ca="1" si="313"/>
        <v>#NAME?</v>
      </c>
      <c r="CJ78" s="4" t="e">
        <f t="shared" ca="1" si="405"/>
        <v>#NAME?</v>
      </c>
      <c r="CK78" s="4" t="e">
        <f t="shared" ca="1" si="314"/>
        <v>#NAME?</v>
      </c>
      <c r="CL78" s="4" t="e">
        <f t="shared" ca="1" si="315"/>
        <v>#NAME?</v>
      </c>
      <c r="CM78" s="16"/>
      <c r="CN78" s="4">
        <f t="shared" si="316"/>
        <v>0</v>
      </c>
      <c r="CO78" s="4">
        <f t="shared" si="317"/>
        <v>0</v>
      </c>
      <c r="CP78" s="4" t="e">
        <f t="shared" ca="1" si="425"/>
        <v>#NAME?</v>
      </c>
      <c r="CQ78" s="4"/>
      <c r="CR78" s="4" t="e">
        <f t="shared" ca="1" si="318"/>
        <v>#NAME?</v>
      </c>
      <c r="CS78" s="4">
        <f t="shared" ca="1" si="319"/>
        <v>92910</v>
      </c>
      <c r="CT78" s="4">
        <f t="shared" ca="1" si="320"/>
        <v>0</v>
      </c>
      <c r="CU78" s="4"/>
      <c r="CV78" s="4" t="e">
        <f t="shared" ca="1" si="406"/>
        <v>#NAME?</v>
      </c>
      <c r="CW78" s="4">
        <f t="shared" ca="1" si="321"/>
        <v>0</v>
      </c>
      <c r="CX78" s="4">
        <f t="shared" si="322"/>
        <v>0</v>
      </c>
      <c r="CY78" s="4" t="e">
        <f t="shared" ca="1" si="407"/>
        <v>#NAME?</v>
      </c>
      <c r="CZ78" s="4"/>
      <c r="DA78" s="4" t="e">
        <f t="shared" ca="1" si="323"/>
        <v>#NAME?</v>
      </c>
      <c r="DB78" s="4">
        <f t="shared" si="324"/>
        <v>0</v>
      </c>
      <c r="DC78" s="4">
        <f t="shared" si="408"/>
        <v>0</v>
      </c>
      <c r="DD78" s="4">
        <f t="shared" si="325"/>
        <v>0</v>
      </c>
      <c r="DE78" s="4" t="e">
        <f t="shared" ca="1" si="326"/>
        <v>#NAME?</v>
      </c>
      <c r="DF78" s="4" t="e">
        <f t="shared" ca="1" si="409"/>
        <v>#NAME?</v>
      </c>
      <c r="DG78" s="4" t="e">
        <f t="shared" ca="1" si="410"/>
        <v>#NAME?</v>
      </c>
      <c r="DH78" s="4">
        <f t="shared" si="327"/>
        <v>0</v>
      </c>
      <c r="DI78" s="4"/>
      <c r="DJ78" s="4" t="e">
        <f t="shared" ca="1" si="328"/>
        <v>#NAME?</v>
      </c>
      <c r="DK78" s="4">
        <f t="shared" ca="1" si="329"/>
        <v>23000</v>
      </c>
      <c r="DL78" s="4">
        <f t="shared" ca="1" si="330"/>
        <v>23000</v>
      </c>
      <c r="DM78" s="4">
        <f t="shared" si="331"/>
        <v>0</v>
      </c>
      <c r="DN78" s="4" t="e">
        <f t="shared" ca="1" si="332"/>
        <v>#NAME?</v>
      </c>
      <c r="DO78" s="4" t="e">
        <f t="shared" ca="1" si="333"/>
        <v>#NAME?</v>
      </c>
      <c r="DP78" s="4"/>
      <c r="DQ78" s="4" t="e">
        <f t="shared" ca="1" si="334"/>
        <v>#NAME?</v>
      </c>
      <c r="DR78" s="4"/>
      <c r="DS78" s="4">
        <f t="shared" si="411"/>
        <v>0</v>
      </c>
      <c r="DT78" s="4">
        <f t="shared" si="282"/>
        <v>0</v>
      </c>
      <c r="DU78" s="4">
        <f t="shared" si="335"/>
        <v>0</v>
      </c>
      <c r="DV78" s="4"/>
      <c r="DW78" s="4" t="e">
        <f t="shared" ca="1" si="412"/>
        <v>#NAME?</v>
      </c>
      <c r="DX78" s="4" t="e">
        <f t="shared" ca="1" si="336"/>
        <v>#NAME?</v>
      </c>
      <c r="DY78" s="4">
        <f t="shared" si="413"/>
        <v>0</v>
      </c>
      <c r="DZ78" s="4" t="e">
        <f t="shared" ca="1" si="337"/>
        <v>#NAME?</v>
      </c>
      <c r="EA78" s="4" t="e">
        <f t="shared" ca="1" si="338"/>
        <v>#NAME?</v>
      </c>
      <c r="EB78" s="4" t="e">
        <f t="shared" ca="1" si="339"/>
        <v>#NAME?</v>
      </c>
      <c r="EC78" s="4">
        <f t="shared" si="340"/>
        <v>2</v>
      </c>
      <c r="ED78" s="4"/>
      <c r="EE78" s="4" t="e">
        <f t="shared" ca="1" si="414"/>
        <v>#NAME?</v>
      </c>
      <c r="EF78" s="4">
        <f t="shared" si="341"/>
        <v>0</v>
      </c>
      <c r="EG78" s="4">
        <f t="shared" si="415"/>
        <v>0</v>
      </c>
      <c r="EH78" s="4" t="e">
        <f t="shared" ca="1" si="342"/>
        <v>#NAME?</v>
      </c>
      <c r="EI78" s="4" t="e">
        <f t="shared" ca="1" si="343"/>
        <v>#NAME?</v>
      </c>
      <c r="EJ78" s="4" t="e">
        <f t="shared" ca="1" si="344"/>
        <v>#NAME?</v>
      </c>
      <c r="EK78" s="4">
        <f t="shared" si="345"/>
        <v>2</v>
      </c>
      <c r="EL78" s="4">
        <f t="shared" si="346"/>
        <v>0</v>
      </c>
      <c r="EM78" s="4"/>
      <c r="EN78" s="4" t="e">
        <f t="shared" ca="1" si="416"/>
        <v>#NAME?</v>
      </c>
      <c r="EO78" s="4" t="e">
        <f t="shared" ca="1" si="347"/>
        <v>#NAME?</v>
      </c>
      <c r="EP78" s="4">
        <f t="shared" si="417"/>
        <v>0</v>
      </c>
      <c r="EQ78" s="4" t="e">
        <f t="shared" ca="1" si="348"/>
        <v>#NAME?</v>
      </c>
      <c r="ER78" s="4">
        <v>0</v>
      </c>
      <c r="ES78" s="4" t="e">
        <f t="shared" ca="1" si="426"/>
        <v>#NAME?</v>
      </c>
      <c r="ET78" s="4"/>
      <c r="EU78" s="4" t="e">
        <f t="shared" ca="1" si="418"/>
        <v>#NAME?</v>
      </c>
      <c r="EV78" s="4" t="e">
        <f t="shared" ca="1" si="349"/>
        <v>#NAME?</v>
      </c>
      <c r="EW78" s="4">
        <f t="shared" si="419"/>
        <v>0</v>
      </c>
      <c r="EX78" s="4" t="e">
        <f t="shared" ca="1" si="350"/>
        <v>#NAME?</v>
      </c>
      <c r="EY78" s="4">
        <v>0</v>
      </c>
      <c r="EZ78" s="4" t="e">
        <f t="shared" ca="1" si="427"/>
        <v>#NAME?</v>
      </c>
      <c r="FA78" s="4" t="e">
        <f t="shared" ca="1" si="420"/>
        <v>#NAME?</v>
      </c>
      <c r="FB78" s="1" t="e">
        <f t="shared" ca="1" si="351"/>
        <v>#NAME?</v>
      </c>
      <c r="FC78" s="4">
        <f t="shared" si="421"/>
        <v>0</v>
      </c>
      <c r="FD78" s="4">
        <f t="shared" si="422"/>
        <v>0</v>
      </c>
      <c r="FE78" s="4">
        <f t="shared" si="352"/>
        <v>0</v>
      </c>
      <c r="FF78" s="4">
        <f t="shared" si="353"/>
        <v>0</v>
      </c>
      <c r="FG78" s="4">
        <f t="shared" ca="1" si="354"/>
        <v>0</v>
      </c>
      <c r="FH78" s="17" t="e">
        <f t="shared" ca="1" si="355"/>
        <v>#NAME?</v>
      </c>
      <c r="FI78" s="4" t="e">
        <f t="shared" ca="1" si="356"/>
        <v>#NAME?</v>
      </c>
      <c r="FJ78" s="4"/>
      <c r="FK78" s="4" t="e">
        <f t="shared" ca="1" si="357"/>
        <v>#NAME?</v>
      </c>
      <c r="FL78" s="4"/>
      <c r="FM78" s="4">
        <v>0</v>
      </c>
      <c r="FN78" s="4">
        <f t="shared" si="358"/>
        <v>0</v>
      </c>
      <c r="FO78" s="4">
        <f t="shared" si="359"/>
        <v>0</v>
      </c>
      <c r="FP78" s="4">
        <f t="shared" si="360"/>
        <v>0</v>
      </c>
      <c r="FQ78" s="4">
        <f t="shared" si="361"/>
        <v>0</v>
      </c>
      <c r="FR78" s="4">
        <f t="shared" si="362"/>
        <v>0</v>
      </c>
      <c r="FS78" s="4">
        <f t="shared" si="363"/>
        <v>0</v>
      </c>
      <c r="FT78" s="4">
        <f t="shared" si="364"/>
        <v>0</v>
      </c>
      <c r="FU78" s="4"/>
      <c r="FV78" s="3">
        <f t="shared" si="365"/>
        <v>0</v>
      </c>
      <c r="FW78" s="3">
        <f t="shared" si="366"/>
        <v>0</v>
      </c>
      <c r="FX78" s="4">
        <f t="shared" si="423"/>
        <v>2088</v>
      </c>
      <c r="FY78" s="18">
        <f t="shared" si="367"/>
        <v>0</v>
      </c>
      <c r="FZ78" s="18">
        <f t="shared" si="368"/>
        <v>0</v>
      </c>
      <c r="GA78" s="18">
        <f t="shared" si="369"/>
        <v>0</v>
      </c>
      <c r="GB78" s="18">
        <f t="shared" si="370"/>
        <v>0</v>
      </c>
      <c r="GC78" s="18" t="e">
        <f t="shared" ca="1" si="371"/>
        <v>#NAME?</v>
      </c>
      <c r="GD78" s="18" t="e">
        <f t="shared" ca="1" si="372"/>
        <v>#NAME?</v>
      </c>
      <c r="GE78" s="18" t="e">
        <f t="shared" ca="1" si="373"/>
        <v>#NAME?</v>
      </c>
      <c r="GF78" s="18" t="e">
        <f t="shared" ca="1" si="374"/>
        <v>#NAME?</v>
      </c>
      <c r="GG78" s="18" t="e">
        <f t="shared" ca="1" si="375"/>
        <v>#NAME?</v>
      </c>
      <c r="GH78" s="18" t="e">
        <f t="shared" ca="1" si="376"/>
        <v>#NAME?</v>
      </c>
      <c r="GI78" s="4"/>
      <c r="GJ78" s="4">
        <f t="shared" si="428"/>
        <v>2088</v>
      </c>
      <c r="GK78" s="4" t="e">
        <f t="shared" ca="1" si="377"/>
        <v>#NAME?</v>
      </c>
      <c r="GL78" s="4" t="e">
        <f t="shared" ca="1" si="378"/>
        <v>#NAME?</v>
      </c>
      <c r="GM78" s="4" t="e">
        <f t="shared" ca="1" si="379"/>
        <v>#NAME?</v>
      </c>
      <c r="GN78" s="4" t="e">
        <f t="shared" ca="1" si="380"/>
        <v>#NAME?</v>
      </c>
      <c r="GO78" s="4"/>
      <c r="GP78" s="3" t="e">
        <f t="shared" ca="1" si="424"/>
        <v>#NAME?</v>
      </c>
      <c r="GQ78" s="3" t="e">
        <f t="shared" ca="1" si="381"/>
        <v>#NAME?</v>
      </c>
      <c r="GR78" s="3" t="e">
        <f t="shared" ca="1" si="382"/>
        <v>#NAME?</v>
      </c>
      <c r="GS78" s="3" t="e">
        <f t="shared" ca="1" si="383"/>
        <v>#NAME?</v>
      </c>
      <c r="GT78" s="3" t="e">
        <f t="array" aca="1" ref="GT78" ca="1">SUM(GP78:GS78*$GU$6:$GX$6)</f>
        <v>#NAME?</v>
      </c>
      <c r="GU78" s="3" t="e">
        <f t="shared" ca="1" si="429"/>
        <v>#NAME?</v>
      </c>
      <c r="GV78" s="3" t="e">
        <f t="shared" ca="1" si="430"/>
        <v>#NAME?</v>
      </c>
      <c r="GW78" s="3" t="e">
        <f t="shared" ca="1" si="431"/>
        <v>#NAME?</v>
      </c>
      <c r="GX78" s="3" t="e">
        <f t="shared" ca="1" si="432"/>
        <v>#NAME?</v>
      </c>
      <c r="GY78" s="11"/>
      <c r="HJ78">
        <f t="shared" si="433"/>
        <v>2081</v>
      </c>
      <c r="HK78" s="28">
        <f t="shared" si="164"/>
        <v>80880</v>
      </c>
      <c r="HL78" s="27">
        <f t="shared" si="162"/>
        <v>20000</v>
      </c>
      <c r="HM78" s="28">
        <f t="shared" si="163"/>
        <v>19923.877094783285</v>
      </c>
    </row>
    <row r="79" spans="1:226" x14ac:dyDescent="0.25">
      <c r="A79" t="s">
        <v>313</v>
      </c>
      <c r="B79" s="62">
        <f>Inputs_Summary!AJ75</f>
        <v>1</v>
      </c>
      <c r="D79">
        <f t="shared" si="384"/>
        <v>2089</v>
      </c>
      <c r="E79">
        <f t="shared" si="385"/>
        <v>94</v>
      </c>
      <c r="F79" s="8"/>
      <c r="G79" s="8"/>
      <c r="H79" s="8"/>
      <c r="I79" s="8"/>
      <c r="J79" s="92"/>
      <c r="K79" s="91"/>
      <c r="L79" s="91"/>
      <c r="N79" s="93">
        <f t="shared" si="386"/>
        <v>0.05</v>
      </c>
      <c r="O79" s="23">
        <f t="shared" si="387"/>
        <v>0.4</v>
      </c>
      <c r="P79" s="23">
        <f t="shared" si="388"/>
        <v>0.1</v>
      </c>
      <c r="Q79" s="4">
        <f t="shared" si="283"/>
        <v>0</v>
      </c>
      <c r="R79" s="4">
        <f t="shared" si="389"/>
        <v>0</v>
      </c>
      <c r="S79" s="4">
        <f t="shared" si="390"/>
        <v>0</v>
      </c>
      <c r="T79" s="4">
        <f t="shared" ca="1" si="391"/>
        <v>0</v>
      </c>
      <c r="V79" s="18" t="e">
        <f t="shared" ca="1" si="284"/>
        <v>#NAME?</v>
      </c>
      <c r="W79" s="18" t="e">
        <f t="shared" ca="1" si="285"/>
        <v>#NAME?</v>
      </c>
      <c r="X79" s="18">
        <f t="shared" si="286"/>
        <v>0</v>
      </c>
      <c r="Y79" s="18" t="e">
        <f t="shared" ca="1" si="287"/>
        <v>#NAME?</v>
      </c>
      <c r="Z79" s="18" t="e">
        <f t="shared" ca="1" si="288"/>
        <v>#NAME?</v>
      </c>
      <c r="AA79" s="18" t="e">
        <f t="shared" ca="1" si="289"/>
        <v>#NAME?</v>
      </c>
      <c r="AB79" s="18" t="e">
        <f t="shared" ca="1" si="290"/>
        <v>#NAME?</v>
      </c>
      <c r="AC79" s="18" t="e">
        <f t="shared" ca="1" si="291"/>
        <v>#NAME?</v>
      </c>
      <c r="AD79" s="18" t="e">
        <f t="shared" ca="1" si="292"/>
        <v>#NAME?</v>
      </c>
      <c r="AE79" s="18" t="e">
        <f t="shared" ca="1" si="293"/>
        <v>#NAME?</v>
      </c>
      <c r="AF79" s="18" t="e">
        <f t="shared" ca="1" si="294"/>
        <v>#NAME?</v>
      </c>
      <c r="AG79" s="18" t="e">
        <f t="shared" ca="1" si="295"/>
        <v>#NAME?</v>
      </c>
      <c r="AI79">
        <f>Person2!E79</f>
        <v>94</v>
      </c>
      <c r="AJ79">
        <f>Person2!AZ79</f>
        <v>3</v>
      </c>
      <c r="AK79">
        <f>IF($AZ79&lt;&gt;3,Person2!FM79,0)</f>
        <v>0</v>
      </c>
      <c r="AL79" s="4">
        <f>IF($AZ79&lt;&gt;3,Person2!FN79+Person2!FT79,0)</f>
        <v>0</v>
      </c>
      <c r="AM79">
        <f>IF($AZ79&lt;&gt;3,Person2!FO79,0)</f>
        <v>0</v>
      </c>
      <c r="AN79">
        <f>IF($AZ79&lt;&gt;3,Person2!FP79,0)</f>
        <v>0</v>
      </c>
      <c r="AO79">
        <f>IF($AZ79&lt;&gt;3,Person2!FQ79,0)</f>
        <v>0</v>
      </c>
      <c r="AP79">
        <f>IF($AZ79&lt;&gt;3,Person2!FR79,0)</f>
        <v>0</v>
      </c>
      <c r="AQ79">
        <v>0</v>
      </c>
      <c r="AR79" s="4">
        <f>Person2!FS79</f>
        <v>0</v>
      </c>
      <c r="AS79" s="4">
        <v>0</v>
      </c>
      <c r="AT79" s="4">
        <v>0</v>
      </c>
      <c r="AV79">
        <f t="shared" si="270"/>
        <v>2089</v>
      </c>
      <c r="AW79">
        <f t="shared" si="271"/>
        <v>94</v>
      </c>
      <c r="AX79">
        <f t="shared" si="392"/>
        <v>4.1611403750515157</v>
      </c>
      <c r="AY79">
        <f t="shared" si="393"/>
        <v>0.24031873714128663</v>
      </c>
      <c r="AZ79">
        <f t="shared" si="394"/>
        <v>3</v>
      </c>
      <c r="BB79" s="4">
        <f t="shared" si="296"/>
        <v>0</v>
      </c>
      <c r="BC79">
        <f t="shared" si="297"/>
        <v>0</v>
      </c>
      <c r="BD79" s="4">
        <f t="shared" si="298"/>
        <v>0</v>
      </c>
      <c r="BE79" s="4">
        <f t="shared" si="395"/>
        <v>0</v>
      </c>
      <c r="BF79" s="4">
        <f t="shared" si="396"/>
        <v>0</v>
      </c>
      <c r="BG79" s="4">
        <f t="shared" si="397"/>
        <v>0</v>
      </c>
      <c r="BH79" s="4">
        <f t="shared" si="299"/>
        <v>0</v>
      </c>
      <c r="BI79" s="4">
        <f t="shared" si="398"/>
        <v>0</v>
      </c>
      <c r="BJ79" s="4"/>
      <c r="BK79" s="4">
        <f t="shared" si="300"/>
        <v>0</v>
      </c>
      <c r="BL79" s="4">
        <f t="shared" si="399"/>
        <v>0</v>
      </c>
      <c r="BM79" s="4">
        <f t="shared" si="400"/>
        <v>0</v>
      </c>
      <c r="BN79" s="4">
        <v>0</v>
      </c>
      <c r="BO79" s="4">
        <f t="shared" si="401"/>
        <v>0</v>
      </c>
      <c r="BP79" s="4">
        <f t="shared" si="402"/>
        <v>0</v>
      </c>
      <c r="BQ79" s="4"/>
      <c r="BR79" s="4">
        <v>0</v>
      </c>
      <c r="BS79" s="4" t="e">
        <f t="shared" ca="1" si="301"/>
        <v>#NAME?</v>
      </c>
      <c r="BT79" s="4">
        <f t="shared" si="302"/>
        <v>0</v>
      </c>
      <c r="BU79" s="4">
        <f t="shared" si="303"/>
        <v>0</v>
      </c>
      <c r="BV79" s="4">
        <f t="shared" si="304"/>
        <v>0</v>
      </c>
      <c r="BW79" s="4" t="e">
        <f t="shared" ca="1" si="305"/>
        <v>#NAME?</v>
      </c>
      <c r="BX79" s="4" t="e">
        <f t="shared" ca="1" si="306"/>
        <v>#NAME?</v>
      </c>
      <c r="BY79" s="4" t="e">
        <f t="shared" ca="1" si="307"/>
        <v>#NAME?</v>
      </c>
      <c r="BZ79" s="4" t="e">
        <f t="shared" ca="1" si="308"/>
        <v>#NAME?</v>
      </c>
      <c r="CA79" s="4" t="e">
        <f t="shared" ca="1" si="309"/>
        <v>#NAME?</v>
      </c>
      <c r="CB79" s="4" t="e">
        <f t="shared" ca="1" si="434"/>
        <v>#NAME?</v>
      </c>
      <c r="CC79" s="4"/>
      <c r="CD79" s="4" t="e">
        <f t="shared" ca="1" si="310"/>
        <v>#NAME?</v>
      </c>
      <c r="CE79" s="4">
        <f t="shared" si="403"/>
        <v>0</v>
      </c>
      <c r="CF79" s="16">
        <f t="shared" si="311"/>
        <v>1</v>
      </c>
      <c r="CG79" s="4">
        <f t="shared" si="404"/>
        <v>0</v>
      </c>
      <c r="CH79" s="4" t="e">
        <f t="shared" ca="1" si="312"/>
        <v>#NAME?</v>
      </c>
      <c r="CI79" s="4" t="e">
        <f t="shared" ca="1" si="313"/>
        <v>#NAME?</v>
      </c>
      <c r="CJ79" s="4" t="e">
        <f t="shared" ca="1" si="405"/>
        <v>#NAME?</v>
      </c>
      <c r="CK79" s="4" t="e">
        <f t="shared" ca="1" si="314"/>
        <v>#NAME?</v>
      </c>
      <c r="CL79" s="4" t="e">
        <f t="shared" ca="1" si="315"/>
        <v>#NAME?</v>
      </c>
      <c r="CM79" s="16"/>
      <c r="CN79" s="4">
        <f t="shared" si="316"/>
        <v>0</v>
      </c>
      <c r="CO79" s="4">
        <f t="shared" si="317"/>
        <v>0</v>
      </c>
      <c r="CP79" s="4" t="e">
        <f t="shared" ca="1" si="425"/>
        <v>#NAME?</v>
      </c>
      <c r="CQ79" s="4"/>
      <c r="CR79" s="4" t="e">
        <f t="shared" ca="1" si="318"/>
        <v>#NAME?</v>
      </c>
      <c r="CS79" s="4">
        <f t="shared" ca="1" si="319"/>
        <v>94770</v>
      </c>
      <c r="CT79" s="4">
        <f t="shared" ca="1" si="320"/>
        <v>0</v>
      </c>
      <c r="CU79" s="4"/>
      <c r="CV79" s="4" t="e">
        <f t="shared" ca="1" si="406"/>
        <v>#NAME?</v>
      </c>
      <c r="CW79" s="4">
        <f t="shared" ca="1" si="321"/>
        <v>0</v>
      </c>
      <c r="CX79" s="4">
        <f t="shared" si="322"/>
        <v>0</v>
      </c>
      <c r="CY79" s="4" t="e">
        <f t="shared" ca="1" si="407"/>
        <v>#NAME?</v>
      </c>
      <c r="CZ79" s="4"/>
      <c r="DA79" s="4" t="e">
        <f t="shared" ca="1" si="323"/>
        <v>#NAME?</v>
      </c>
      <c r="DB79" s="4">
        <f t="shared" si="324"/>
        <v>0</v>
      </c>
      <c r="DC79" s="4">
        <f t="shared" si="408"/>
        <v>0</v>
      </c>
      <c r="DD79" s="4">
        <f t="shared" si="325"/>
        <v>0</v>
      </c>
      <c r="DE79" s="4" t="e">
        <f t="shared" ca="1" si="326"/>
        <v>#NAME?</v>
      </c>
      <c r="DF79" s="4" t="e">
        <f t="shared" ca="1" si="409"/>
        <v>#NAME?</v>
      </c>
      <c r="DG79" s="4" t="e">
        <f t="shared" ca="1" si="410"/>
        <v>#NAME?</v>
      </c>
      <c r="DH79" s="4">
        <f t="shared" si="327"/>
        <v>0</v>
      </c>
      <c r="DI79" s="4"/>
      <c r="DJ79" s="4" t="e">
        <f t="shared" ca="1" si="328"/>
        <v>#NAME?</v>
      </c>
      <c r="DK79" s="4">
        <f t="shared" ca="1" si="329"/>
        <v>23500</v>
      </c>
      <c r="DL79" s="4">
        <f t="shared" ca="1" si="330"/>
        <v>23500</v>
      </c>
      <c r="DM79" s="4">
        <f t="shared" si="331"/>
        <v>0</v>
      </c>
      <c r="DN79" s="4" t="e">
        <f t="shared" ca="1" si="332"/>
        <v>#NAME?</v>
      </c>
      <c r="DO79" s="4" t="e">
        <f t="shared" ca="1" si="333"/>
        <v>#NAME?</v>
      </c>
      <c r="DP79" s="4"/>
      <c r="DQ79" s="4" t="e">
        <f t="shared" ca="1" si="334"/>
        <v>#NAME?</v>
      </c>
      <c r="DR79" s="4"/>
      <c r="DS79" s="4">
        <f t="shared" si="411"/>
        <v>0</v>
      </c>
      <c r="DT79" s="4">
        <f t="shared" si="282"/>
        <v>0</v>
      </c>
      <c r="DU79" s="4">
        <f t="shared" si="335"/>
        <v>0</v>
      </c>
      <c r="DV79" s="4"/>
      <c r="DW79" s="4" t="e">
        <f t="shared" ca="1" si="412"/>
        <v>#NAME?</v>
      </c>
      <c r="DX79" s="4" t="e">
        <f t="shared" ca="1" si="336"/>
        <v>#NAME?</v>
      </c>
      <c r="DY79" s="4">
        <f t="shared" si="413"/>
        <v>0</v>
      </c>
      <c r="DZ79" s="4" t="e">
        <f t="shared" ca="1" si="337"/>
        <v>#NAME?</v>
      </c>
      <c r="EA79" s="4" t="e">
        <f t="shared" ca="1" si="338"/>
        <v>#NAME?</v>
      </c>
      <c r="EB79" s="4" t="e">
        <f t="shared" ca="1" si="339"/>
        <v>#NAME?</v>
      </c>
      <c r="EC79" s="4">
        <f t="shared" si="340"/>
        <v>2</v>
      </c>
      <c r="ED79" s="4"/>
      <c r="EE79" s="4" t="e">
        <f t="shared" ca="1" si="414"/>
        <v>#NAME?</v>
      </c>
      <c r="EF79" s="4">
        <f t="shared" si="341"/>
        <v>0</v>
      </c>
      <c r="EG79" s="4">
        <f t="shared" si="415"/>
        <v>0</v>
      </c>
      <c r="EH79" s="4" t="e">
        <f t="shared" ca="1" si="342"/>
        <v>#NAME?</v>
      </c>
      <c r="EI79" s="4" t="e">
        <f t="shared" ca="1" si="343"/>
        <v>#NAME?</v>
      </c>
      <c r="EJ79" s="4" t="e">
        <f t="shared" ca="1" si="344"/>
        <v>#NAME?</v>
      </c>
      <c r="EK79" s="4">
        <f t="shared" si="345"/>
        <v>2</v>
      </c>
      <c r="EL79" s="4">
        <f t="shared" si="346"/>
        <v>0</v>
      </c>
      <c r="EM79" s="4"/>
      <c r="EN79" s="4" t="e">
        <f t="shared" ca="1" si="416"/>
        <v>#NAME?</v>
      </c>
      <c r="EO79" s="4" t="e">
        <f t="shared" ca="1" si="347"/>
        <v>#NAME?</v>
      </c>
      <c r="EP79" s="4">
        <f t="shared" si="417"/>
        <v>0</v>
      </c>
      <c r="EQ79" s="4" t="e">
        <f t="shared" ca="1" si="348"/>
        <v>#NAME?</v>
      </c>
      <c r="ER79" s="4">
        <v>0</v>
      </c>
      <c r="ES79" s="4" t="e">
        <f t="shared" ca="1" si="426"/>
        <v>#NAME?</v>
      </c>
      <c r="ET79" s="4"/>
      <c r="EU79" s="4" t="e">
        <f t="shared" ca="1" si="418"/>
        <v>#NAME?</v>
      </c>
      <c r="EV79" s="4" t="e">
        <f t="shared" ca="1" si="349"/>
        <v>#NAME?</v>
      </c>
      <c r="EW79" s="4">
        <f t="shared" si="419"/>
        <v>0</v>
      </c>
      <c r="EX79" s="4" t="e">
        <f t="shared" ca="1" si="350"/>
        <v>#NAME?</v>
      </c>
      <c r="EY79" s="4">
        <v>0</v>
      </c>
      <c r="EZ79" s="4" t="e">
        <f t="shared" ca="1" si="427"/>
        <v>#NAME?</v>
      </c>
      <c r="FA79" s="4" t="e">
        <f t="shared" ca="1" si="420"/>
        <v>#NAME?</v>
      </c>
      <c r="FB79" s="1" t="e">
        <f t="shared" ca="1" si="351"/>
        <v>#NAME?</v>
      </c>
      <c r="FC79" s="4">
        <f t="shared" si="421"/>
        <v>0</v>
      </c>
      <c r="FD79" s="4">
        <f t="shared" si="422"/>
        <v>0</v>
      </c>
      <c r="FE79" s="4">
        <f t="shared" si="352"/>
        <v>0</v>
      </c>
      <c r="FF79" s="4">
        <f t="shared" si="353"/>
        <v>0</v>
      </c>
      <c r="FG79" s="4">
        <f t="shared" ca="1" si="354"/>
        <v>0</v>
      </c>
      <c r="FH79" s="17" t="e">
        <f t="shared" ca="1" si="355"/>
        <v>#NAME?</v>
      </c>
      <c r="FI79" s="4" t="e">
        <f t="shared" ca="1" si="356"/>
        <v>#NAME?</v>
      </c>
      <c r="FJ79" s="4"/>
      <c r="FK79" s="4" t="e">
        <f t="shared" ca="1" si="357"/>
        <v>#NAME?</v>
      </c>
      <c r="FL79" s="4"/>
      <c r="FM79" s="4">
        <v>0</v>
      </c>
      <c r="FN79" s="4">
        <f t="shared" si="358"/>
        <v>0</v>
      </c>
      <c r="FO79" s="4">
        <f t="shared" si="359"/>
        <v>0</v>
      </c>
      <c r="FP79" s="4">
        <f t="shared" si="360"/>
        <v>0</v>
      </c>
      <c r="FQ79" s="4">
        <f t="shared" si="361"/>
        <v>0</v>
      </c>
      <c r="FR79" s="4">
        <f t="shared" si="362"/>
        <v>0</v>
      </c>
      <c r="FS79" s="4">
        <f t="shared" si="363"/>
        <v>0</v>
      </c>
      <c r="FT79" s="4">
        <f t="shared" si="364"/>
        <v>0</v>
      </c>
      <c r="FU79" s="4"/>
      <c r="FV79" s="3">
        <f t="shared" si="365"/>
        <v>0</v>
      </c>
      <c r="FW79" s="3">
        <f t="shared" si="366"/>
        <v>0</v>
      </c>
      <c r="FX79" s="4">
        <f t="shared" si="423"/>
        <v>2089</v>
      </c>
      <c r="FY79" s="18">
        <f t="shared" si="367"/>
        <v>0</v>
      </c>
      <c r="FZ79" s="18">
        <f t="shared" si="368"/>
        <v>0</v>
      </c>
      <c r="GA79" s="18">
        <f t="shared" si="369"/>
        <v>0</v>
      </c>
      <c r="GB79" s="18">
        <f t="shared" si="370"/>
        <v>0</v>
      </c>
      <c r="GC79" s="18" t="e">
        <f t="shared" ca="1" si="371"/>
        <v>#NAME?</v>
      </c>
      <c r="GD79" s="18" t="e">
        <f t="shared" ca="1" si="372"/>
        <v>#NAME?</v>
      </c>
      <c r="GE79" s="18" t="e">
        <f t="shared" ca="1" si="373"/>
        <v>#NAME?</v>
      </c>
      <c r="GF79" s="18" t="e">
        <f t="shared" ca="1" si="374"/>
        <v>#NAME?</v>
      </c>
      <c r="GG79" s="18" t="e">
        <f t="shared" ca="1" si="375"/>
        <v>#NAME?</v>
      </c>
      <c r="GH79" s="18" t="e">
        <f t="shared" ca="1" si="376"/>
        <v>#NAME?</v>
      </c>
      <c r="GI79" s="4"/>
      <c r="GJ79" s="4">
        <f t="shared" si="428"/>
        <v>2089</v>
      </c>
      <c r="GK79" s="4" t="e">
        <f t="shared" ca="1" si="377"/>
        <v>#NAME?</v>
      </c>
      <c r="GL79" s="4" t="e">
        <f t="shared" ca="1" si="378"/>
        <v>#NAME?</v>
      </c>
      <c r="GM79" s="4" t="e">
        <f t="shared" ca="1" si="379"/>
        <v>#NAME?</v>
      </c>
      <c r="GN79" s="4" t="e">
        <f t="shared" ca="1" si="380"/>
        <v>#NAME?</v>
      </c>
      <c r="GO79" s="4"/>
      <c r="GP79" s="3" t="e">
        <f t="shared" ca="1" si="424"/>
        <v>#NAME?</v>
      </c>
      <c r="GQ79" s="3" t="e">
        <f t="shared" ca="1" si="381"/>
        <v>#NAME?</v>
      </c>
      <c r="GR79" s="3" t="e">
        <f t="shared" ca="1" si="382"/>
        <v>#NAME?</v>
      </c>
      <c r="GS79" s="3" t="e">
        <f t="shared" ca="1" si="383"/>
        <v>#NAME?</v>
      </c>
      <c r="GT79" s="3" t="e">
        <f t="array" aca="1" ref="GT79" ca="1">SUM(GP79:GS79*$GU$6:$GX$6)</f>
        <v>#NAME?</v>
      </c>
      <c r="GU79" s="3" t="e">
        <f t="shared" ca="1" si="429"/>
        <v>#NAME?</v>
      </c>
      <c r="GV79" s="3" t="e">
        <f t="shared" ca="1" si="430"/>
        <v>#NAME?</v>
      </c>
      <c r="GW79" s="3" t="e">
        <f t="shared" ca="1" si="431"/>
        <v>#NAME?</v>
      </c>
      <c r="GX79" s="3" t="e">
        <f t="shared" ca="1" si="432"/>
        <v>#NAME?</v>
      </c>
      <c r="GY79" s="11"/>
      <c r="HJ79">
        <f t="shared" si="433"/>
        <v>2082</v>
      </c>
      <c r="HK79" s="28">
        <f t="shared" si="164"/>
        <v>82500</v>
      </c>
      <c r="HL79" s="27">
        <f t="shared" ref="HL79:HL142" si="435">ROUND(HM79/500,0)*500</f>
        <v>20500</v>
      </c>
      <c r="HM79" s="28">
        <f t="shared" ref="HM79:HM142" si="436">HM78*(1+$B$15)</f>
        <v>20322.354636678952</v>
      </c>
    </row>
    <row r="80" spans="1:226" x14ac:dyDescent="0.25">
      <c r="A80" t="s">
        <v>650</v>
      </c>
      <c r="B80" s="62">
        <f>Inputs_Summary!AJ76</f>
        <v>12000</v>
      </c>
      <c r="D80">
        <f t="shared" si="384"/>
        <v>2090</v>
      </c>
      <c r="E80">
        <f t="shared" si="385"/>
        <v>95</v>
      </c>
      <c r="F80" s="8"/>
      <c r="G80" s="8"/>
      <c r="H80" s="8"/>
      <c r="I80" s="8"/>
      <c r="J80" s="92"/>
      <c r="K80" s="91"/>
      <c r="L80" s="91"/>
      <c r="N80" s="93">
        <f t="shared" si="386"/>
        <v>0.05</v>
      </c>
      <c r="O80" s="23">
        <f t="shared" si="387"/>
        <v>0.4</v>
      </c>
      <c r="P80" s="23">
        <f t="shared" si="388"/>
        <v>0.1</v>
      </c>
      <c r="Q80" s="4">
        <f t="shared" si="283"/>
        <v>0</v>
      </c>
      <c r="R80" s="4">
        <f t="shared" si="389"/>
        <v>0</v>
      </c>
      <c r="S80" s="4">
        <f t="shared" si="390"/>
        <v>0</v>
      </c>
      <c r="T80" s="4">
        <f t="shared" ca="1" si="391"/>
        <v>0</v>
      </c>
      <c r="V80" s="18" t="e">
        <f t="shared" ca="1" si="284"/>
        <v>#NAME?</v>
      </c>
      <c r="W80" s="18" t="e">
        <f t="shared" ca="1" si="285"/>
        <v>#NAME?</v>
      </c>
      <c r="X80" s="18">
        <f t="shared" si="286"/>
        <v>0</v>
      </c>
      <c r="Y80" s="18" t="e">
        <f t="shared" ca="1" si="287"/>
        <v>#NAME?</v>
      </c>
      <c r="Z80" s="18" t="e">
        <f t="shared" ca="1" si="288"/>
        <v>#NAME?</v>
      </c>
      <c r="AA80" s="18" t="e">
        <f t="shared" ca="1" si="289"/>
        <v>#NAME?</v>
      </c>
      <c r="AB80" s="18" t="e">
        <f t="shared" ca="1" si="290"/>
        <v>#NAME?</v>
      </c>
      <c r="AC80" s="18" t="e">
        <f t="shared" ca="1" si="291"/>
        <v>#NAME?</v>
      </c>
      <c r="AD80" s="18" t="e">
        <f t="shared" ca="1" si="292"/>
        <v>#NAME?</v>
      </c>
      <c r="AE80" s="18" t="e">
        <f t="shared" ca="1" si="293"/>
        <v>#NAME?</v>
      </c>
      <c r="AF80" s="18" t="e">
        <f t="shared" ca="1" si="294"/>
        <v>#NAME?</v>
      </c>
      <c r="AG80" s="18" t="e">
        <f t="shared" ca="1" si="295"/>
        <v>#NAME?</v>
      </c>
      <c r="AI80">
        <f>Person2!E80</f>
        <v>95</v>
      </c>
      <c r="AJ80">
        <f>Person2!AZ80</f>
        <v>3</v>
      </c>
      <c r="AK80">
        <f>IF($AZ80&lt;&gt;3,Person2!FM80,0)</f>
        <v>0</v>
      </c>
      <c r="AL80" s="4">
        <f>IF($AZ80&lt;&gt;3,Person2!FN80+Person2!FT80,0)</f>
        <v>0</v>
      </c>
      <c r="AM80">
        <f>IF($AZ80&lt;&gt;3,Person2!FO80,0)</f>
        <v>0</v>
      </c>
      <c r="AN80">
        <f>IF($AZ80&lt;&gt;3,Person2!FP80,0)</f>
        <v>0</v>
      </c>
      <c r="AO80">
        <f>IF($AZ80&lt;&gt;3,Person2!FQ80,0)</f>
        <v>0</v>
      </c>
      <c r="AP80">
        <f>IF($AZ80&lt;&gt;3,Person2!FR80,0)</f>
        <v>0</v>
      </c>
      <c r="AQ80">
        <v>0</v>
      </c>
      <c r="AR80" s="4">
        <f>Person2!FS80</f>
        <v>0</v>
      </c>
      <c r="AS80" s="4">
        <v>0</v>
      </c>
      <c r="AT80" s="4">
        <v>0</v>
      </c>
      <c r="AV80">
        <f t="shared" si="270"/>
        <v>2090</v>
      </c>
      <c r="AW80">
        <f t="shared" si="271"/>
        <v>95</v>
      </c>
      <c r="AX80">
        <f t="shared" si="392"/>
        <v>4.2443631825525463</v>
      </c>
      <c r="AY80">
        <f t="shared" si="393"/>
        <v>0.23560660504047706</v>
      </c>
      <c r="AZ80">
        <f t="shared" si="394"/>
        <v>3</v>
      </c>
      <c r="BB80" s="4">
        <f t="shared" si="296"/>
        <v>0</v>
      </c>
      <c r="BC80">
        <f t="shared" si="297"/>
        <v>0</v>
      </c>
      <c r="BD80" s="4">
        <f t="shared" si="298"/>
        <v>0</v>
      </c>
      <c r="BE80" s="4">
        <f t="shared" si="395"/>
        <v>0</v>
      </c>
      <c r="BF80" s="4">
        <f t="shared" si="396"/>
        <v>0</v>
      </c>
      <c r="BG80" s="4">
        <f t="shared" si="397"/>
        <v>0</v>
      </c>
      <c r="BH80" s="4">
        <f t="shared" si="299"/>
        <v>0</v>
      </c>
      <c r="BI80" s="4">
        <f t="shared" si="398"/>
        <v>0</v>
      </c>
      <c r="BJ80" s="4"/>
      <c r="BK80" s="4">
        <f t="shared" si="300"/>
        <v>0</v>
      </c>
      <c r="BL80" s="4">
        <f t="shared" si="399"/>
        <v>0</v>
      </c>
      <c r="BM80" s="4">
        <f t="shared" si="400"/>
        <v>0</v>
      </c>
      <c r="BN80" s="4">
        <v>0</v>
      </c>
      <c r="BO80" s="4">
        <f t="shared" si="401"/>
        <v>0</v>
      </c>
      <c r="BP80" s="4">
        <f t="shared" si="402"/>
        <v>0</v>
      </c>
      <c r="BQ80" s="4"/>
      <c r="BR80" s="4">
        <v>0</v>
      </c>
      <c r="BS80" s="4" t="e">
        <f t="shared" ca="1" si="301"/>
        <v>#NAME?</v>
      </c>
      <c r="BT80" s="4">
        <f t="shared" si="302"/>
        <v>0</v>
      </c>
      <c r="BU80" s="4">
        <f t="shared" si="303"/>
        <v>0</v>
      </c>
      <c r="BV80" s="4">
        <f t="shared" si="304"/>
        <v>0</v>
      </c>
      <c r="BW80" s="4" t="e">
        <f t="shared" ca="1" si="305"/>
        <v>#NAME?</v>
      </c>
      <c r="BX80" s="4" t="e">
        <f t="shared" ca="1" si="306"/>
        <v>#NAME?</v>
      </c>
      <c r="BY80" s="4" t="e">
        <f t="shared" ca="1" si="307"/>
        <v>#NAME?</v>
      </c>
      <c r="BZ80" s="4" t="e">
        <f t="shared" ca="1" si="308"/>
        <v>#NAME?</v>
      </c>
      <c r="CA80" s="4" t="e">
        <f t="shared" ca="1" si="309"/>
        <v>#NAME?</v>
      </c>
      <c r="CB80" s="4" t="e">
        <f t="shared" ca="1" si="434"/>
        <v>#NAME?</v>
      </c>
      <c r="CC80" s="4"/>
      <c r="CD80" s="4" t="e">
        <f t="shared" ca="1" si="310"/>
        <v>#NAME?</v>
      </c>
      <c r="CE80" s="4">
        <f t="shared" si="403"/>
        <v>0</v>
      </c>
      <c r="CF80" s="16">
        <f t="shared" si="311"/>
        <v>1</v>
      </c>
      <c r="CG80" s="4">
        <f t="shared" si="404"/>
        <v>0</v>
      </c>
      <c r="CH80" s="4" t="e">
        <f t="shared" ca="1" si="312"/>
        <v>#NAME?</v>
      </c>
      <c r="CI80" s="4" t="e">
        <f t="shared" ca="1" si="313"/>
        <v>#NAME?</v>
      </c>
      <c r="CJ80" s="4" t="e">
        <f t="shared" ca="1" si="405"/>
        <v>#NAME?</v>
      </c>
      <c r="CK80" s="4" t="e">
        <f t="shared" ca="1" si="314"/>
        <v>#NAME?</v>
      </c>
      <c r="CL80" s="4" t="e">
        <f t="shared" ca="1" si="315"/>
        <v>#NAME?</v>
      </c>
      <c r="CM80" s="16"/>
      <c r="CN80" s="4">
        <f t="shared" si="316"/>
        <v>0</v>
      </c>
      <c r="CO80" s="4">
        <f t="shared" si="317"/>
        <v>0</v>
      </c>
      <c r="CP80" s="4" t="e">
        <f t="shared" ca="1" si="425"/>
        <v>#NAME?</v>
      </c>
      <c r="CQ80" s="4"/>
      <c r="CR80" s="4" t="e">
        <f t="shared" ca="1" si="318"/>
        <v>#NAME?</v>
      </c>
      <c r="CS80" s="4">
        <f t="shared" ca="1" si="319"/>
        <v>96660</v>
      </c>
      <c r="CT80" s="4">
        <f t="shared" ca="1" si="320"/>
        <v>0</v>
      </c>
      <c r="CU80" s="4"/>
      <c r="CV80" s="4" t="e">
        <f t="shared" ca="1" si="406"/>
        <v>#NAME?</v>
      </c>
      <c r="CW80" s="4">
        <f t="shared" ca="1" si="321"/>
        <v>0</v>
      </c>
      <c r="CX80" s="4">
        <f t="shared" si="322"/>
        <v>0</v>
      </c>
      <c r="CY80" s="4" t="e">
        <f t="shared" ca="1" si="407"/>
        <v>#NAME?</v>
      </c>
      <c r="CZ80" s="4"/>
      <c r="DA80" s="4" t="e">
        <f t="shared" ca="1" si="323"/>
        <v>#NAME?</v>
      </c>
      <c r="DB80" s="4">
        <f t="shared" si="324"/>
        <v>0</v>
      </c>
      <c r="DC80" s="4">
        <f t="shared" si="408"/>
        <v>0</v>
      </c>
      <c r="DD80" s="4">
        <f t="shared" si="325"/>
        <v>0</v>
      </c>
      <c r="DE80" s="4" t="e">
        <f t="shared" ca="1" si="326"/>
        <v>#NAME?</v>
      </c>
      <c r="DF80" s="4" t="e">
        <f t="shared" ca="1" si="409"/>
        <v>#NAME?</v>
      </c>
      <c r="DG80" s="4" t="e">
        <f t="shared" ca="1" si="410"/>
        <v>#NAME?</v>
      </c>
      <c r="DH80" s="4">
        <f t="shared" si="327"/>
        <v>0</v>
      </c>
      <c r="DI80" s="4"/>
      <c r="DJ80" s="4" t="e">
        <f t="shared" ca="1" si="328"/>
        <v>#NAME?</v>
      </c>
      <c r="DK80" s="4">
        <f t="shared" ca="1" si="329"/>
        <v>24000</v>
      </c>
      <c r="DL80" s="4">
        <f t="shared" ca="1" si="330"/>
        <v>24000</v>
      </c>
      <c r="DM80" s="4">
        <f t="shared" si="331"/>
        <v>0</v>
      </c>
      <c r="DN80" s="4" t="e">
        <f t="shared" ca="1" si="332"/>
        <v>#NAME?</v>
      </c>
      <c r="DO80" s="4" t="e">
        <f t="shared" ca="1" si="333"/>
        <v>#NAME?</v>
      </c>
      <c r="DP80" s="4"/>
      <c r="DQ80" s="4" t="e">
        <f t="shared" ca="1" si="334"/>
        <v>#NAME?</v>
      </c>
      <c r="DR80" s="4"/>
      <c r="DS80" s="4">
        <f t="shared" si="411"/>
        <v>0</v>
      </c>
      <c r="DT80" s="4">
        <f t="shared" si="282"/>
        <v>0</v>
      </c>
      <c r="DU80" s="4">
        <f t="shared" si="335"/>
        <v>0</v>
      </c>
      <c r="DV80" s="4"/>
      <c r="DW80" s="4" t="e">
        <f t="shared" ca="1" si="412"/>
        <v>#NAME?</v>
      </c>
      <c r="DX80" s="4" t="e">
        <f t="shared" ca="1" si="336"/>
        <v>#NAME?</v>
      </c>
      <c r="DY80" s="4">
        <f t="shared" si="413"/>
        <v>0</v>
      </c>
      <c r="DZ80" s="4" t="e">
        <f t="shared" ca="1" si="337"/>
        <v>#NAME?</v>
      </c>
      <c r="EA80" s="4" t="e">
        <f t="shared" ca="1" si="338"/>
        <v>#NAME?</v>
      </c>
      <c r="EB80" s="4" t="e">
        <f t="shared" ca="1" si="339"/>
        <v>#NAME?</v>
      </c>
      <c r="EC80" s="4">
        <f t="shared" si="340"/>
        <v>2</v>
      </c>
      <c r="ED80" s="4"/>
      <c r="EE80" s="4" t="e">
        <f t="shared" ca="1" si="414"/>
        <v>#NAME?</v>
      </c>
      <c r="EF80" s="4">
        <f t="shared" si="341"/>
        <v>0</v>
      </c>
      <c r="EG80" s="4">
        <f t="shared" si="415"/>
        <v>0</v>
      </c>
      <c r="EH80" s="4" t="e">
        <f t="shared" ca="1" si="342"/>
        <v>#NAME?</v>
      </c>
      <c r="EI80" s="4" t="e">
        <f t="shared" ca="1" si="343"/>
        <v>#NAME?</v>
      </c>
      <c r="EJ80" s="4" t="e">
        <f t="shared" ca="1" si="344"/>
        <v>#NAME?</v>
      </c>
      <c r="EK80" s="4">
        <f t="shared" si="345"/>
        <v>2</v>
      </c>
      <c r="EL80" s="4">
        <f t="shared" si="346"/>
        <v>0</v>
      </c>
      <c r="EM80" s="4"/>
      <c r="EN80" s="4" t="e">
        <f t="shared" ca="1" si="416"/>
        <v>#NAME?</v>
      </c>
      <c r="EO80" s="4" t="e">
        <f t="shared" ca="1" si="347"/>
        <v>#NAME?</v>
      </c>
      <c r="EP80" s="4">
        <f t="shared" si="417"/>
        <v>0</v>
      </c>
      <c r="EQ80" s="4" t="e">
        <f t="shared" ca="1" si="348"/>
        <v>#NAME?</v>
      </c>
      <c r="ER80" s="4">
        <v>0</v>
      </c>
      <c r="ES80" s="4" t="e">
        <f t="shared" ca="1" si="426"/>
        <v>#NAME?</v>
      </c>
      <c r="ET80" s="4"/>
      <c r="EU80" s="4" t="e">
        <f t="shared" ca="1" si="418"/>
        <v>#NAME?</v>
      </c>
      <c r="EV80" s="4" t="e">
        <f t="shared" ca="1" si="349"/>
        <v>#NAME?</v>
      </c>
      <c r="EW80" s="4">
        <f t="shared" si="419"/>
        <v>0</v>
      </c>
      <c r="EX80" s="4" t="e">
        <f t="shared" ca="1" si="350"/>
        <v>#NAME?</v>
      </c>
      <c r="EY80" s="4">
        <v>0</v>
      </c>
      <c r="EZ80" s="4" t="e">
        <f t="shared" ca="1" si="427"/>
        <v>#NAME?</v>
      </c>
      <c r="FA80" s="4" t="e">
        <f t="shared" ca="1" si="420"/>
        <v>#NAME?</v>
      </c>
      <c r="FB80" s="1" t="e">
        <f t="shared" ca="1" si="351"/>
        <v>#NAME?</v>
      </c>
      <c r="FC80" s="4">
        <f t="shared" si="421"/>
        <v>0</v>
      </c>
      <c r="FD80" s="4">
        <f t="shared" si="422"/>
        <v>0</v>
      </c>
      <c r="FE80" s="4">
        <f t="shared" si="352"/>
        <v>0</v>
      </c>
      <c r="FF80" s="4">
        <f t="shared" si="353"/>
        <v>0</v>
      </c>
      <c r="FG80" s="4">
        <f t="shared" ca="1" si="354"/>
        <v>0</v>
      </c>
      <c r="FH80" s="17" t="e">
        <f t="shared" ca="1" si="355"/>
        <v>#NAME?</v>
      </c>
      <c r="FI80" s="4" t="e">
        <f t="shared" ca="1" si="356"/>
        <v>#NAME?</v>
      </c>
      <c r="FJ80" s="4"/>
      <c r="FK80" s="4" t="e">
        <f t="shared" ca="1" si="357"/>
        <v>#NAME?</v>
      </c>
      <c r="FL80" s="4"/>
      <c r="FM80" s="4">
        <v>0</v>
      </c>
      <c r="FN80" s="4">
        <f t="shared" si="358"/>
        <v>0</v>
      </c>
      <c r="FO80" s="4">
        <f t="shared" si="359"/>
        <v>0</v>
      </c>
      <c r="FP80" s="4">
        <f t="shared" si="360"/>
        <v>0</v>
      </c>
      <c r="FQ80" s="4">
        <f t="shared" si="361"/>
        <v>0</v>
      </c>
      <c r="FR80" s="4">
        <f t="shared" si="362"/>
        <v>0</v>
      </c>
      <c r="FS80" s="4">
        <f t="shared" si="363"/>
        <v>0</v>
      </c>
      <c r="FT80" s="4">
        <f t="shared" si="364"/>
        <v>0</v>
      </c>
      <c r="FU80" s="4"/>
      <c r="FV80" s="3">
        <f t="shared" si="365"/>
        <v>0</v>
      </c>
      <c r="FW80" s="3">
        <f t="shared" si="366"/>
        <v>0</v>
      </c>
      <c r="FX80" s="4">
        <f t="shared" si="423"/>
        <v>2090</v>
      </c>
      <c r="FY80" s="18">
        <f t="shared" si="367"/>
        <v>0</v>
      </c>
      <c r="FZ80" s="18">
        <f t="shared" si="368"/>
        <v>0</v>
      </c>
      <c r="GA80" s="18">
        <f t="shared" si="369"/>
        <v>0</v>
      </c>
      <c r="GB80" s="18">
        <f t="shared" si="370"/>
        <v>0</v>
      </c>
      <c r="GC80" s="18" t="e">
        <f t="shared" ca="1" si="371"/>
        <v>#NAME?</v>
      </c>
      <c r="GD80" s="18" t="e">
        <f t="shared" ca="1" si="372"/>
        <v>#NAME?</v>
      </c>
      <c r="GE80" s="18" t="e">
        <f t="shared" ca="1" si="373"/>
        <v>#NAME?</v>
      </c>
      <c r="GF80" s="18" t="e">
        <f t="shared" ca="1" si="374"/>
        <v>#NAME?</v>
      </c>
      <c r="GG80" s="18" t="e">
        <f t="shared" ca="1" si="375"/>
        <v>#NAME?</v>
      </c>
      <c r="GH80" s="18" t="e">
        <f t="shared" ca="1" si="376"/>
        <v>#NAME?</v>
      </c>
      <c r="GI80" s="4"/>
      <c r="GJ80" s="4">
        <f t="shared" si="428"/>
        <v>2090</v>
      </c>
      <c r="GK80" s="4" t="e">
        <f t="shared" ca="1" si="377"/>
        <v>#NAME?</v>
      </c>
      <c r="GL80" s="4" t="e">
        <f t="shared" ca="1" si="378"/>
        <v>#NAME?</v>
      </c>
      <c r="GM80" s="4" t="e">
        <f t="shared" ca="1" si="379"/>
        <v>#NAME?</v>
      </c>
      <c r="GN80" s="4" t="e">
        <f t="shared" ca="1" si="380"/>
        <v>#NAME?</v>
      </c>
      <c r="GO80" s="4"/>
      <c r="GP80" s="3" t="e">
        <f t="shared" ca="1" si="424"/>
        <v>#NAME?</v>
      </c>
      <c r="GQ80" s="3" t="e">
        <f t="shared" ca="1" si="381"/>
        <v>#NAME?</v>
      </c>
      <c r="GR80" s="3" t="e">
        <f t="shared" ca="1" si="382"/>
        <v>#NAME?</v>
      </c>
      <c r="GS80" s="3" t="e">
        <f t="shared" ca="1" si="383"/>
        <v>#NAME?</v>
      </c>
      <c r="GT80" s="3" t="e">
        <f t="array" aca="1" ref="GT80" ca="1">SUM(GP80:GS80*$GU$6:$GX$6)</f>
        <v>#NAME?</v>
      </c>
      <c r="GU80" s="3" t="e">
        <f t="shared" ca="1" si="429"/>
        <v>#NAME?</v>
      </c>
      <c r="GV80" s="3" t="e">
        <f t="shared" ca="1" si="430"/>
        <v>#NAME?</v>
      </c>
      <c r="GW80" s="3" t="e">
        <f t="shared" ca="1" si="431"/>
        <v>#NAME?</v>
      </c>
      <c r="GX80" s="3" t="e">
        <f t="shared" ca="1" si="432"/>
        <v>#NAME?</v>
      </c>
      <c r="GY80" s="11"/>
      <c r="HJ80">
        <f t="shared" si="433"/>
        <v>2083</v>
      </c>
      <c r="HK80" s="28">
        <f t="shared" si="164"/>
        <v>84150</v>
      </c>
      <c r="HL80" s="27">
        <f t="shared" si="435"/>
        <v>20500</v>
      </c>
      <c r="HM80" s="28">
        <f t="shared" si="436"/>
        <v>20728.801729412531</v>
      </c>
    </row>
    <row r="81" spans="1:236" x14ac:dyDescent="0.25">
      <c r="A81" t="s">
        <v>686</v>
      </c>
      <c r="B81" s="102">
        <f>Inputs_Summary!AJ77</f>
        <v>6846</v>
      </c>
      <c r="D81">
        <f t="shared" si="384"/>
        <v>2091</v>
      </c>
      <c r="E81">
        <f t="shared" si="385"/>
        <v>96</v>
      </c>
      <c r="F81" s="9"/>
      <c r="G81" s="9"/>
      <c r="H81" s="8"/>
      <c r="I81" s="8"/>
      <c r="J81" s="92"/>
      <c r="K81" s="91"/>
      <c r="L81" s="91"/>
      <c r="N81" s="93">
        <f t="shared" si="386"/>
        <v>0.05</v>
      </c>
      <c r="O81" s="23">
        <f t="shared" si="387"/>
        <v>0.4</v>
      </c>
      <c r="P81" s="23">
        <f t="shared" si="388"/>
        <v>0.1</v>
      </c>
      <c r="Q81" s="4">
        <f t="shared" si="283"/>
        <v>0</v>
      </c>
      <c r="R81" s="4">
        <f t="shared" si="389"/>
        <v>0</v>
      </c>
      <c r="S81" s="4">
        <f t="shared" si="390"/>
        <v>0</v>
      </c>
      <c r="T81" s="4">
        <f t="shared" ca="1" si="391"/>
        <v>0</v>
      </c>
      <c r="V81" s="18" t="e">
        <f t="shared" ca="1" si="284"/>
        <v>#NAME?</v>
      </c>
      <c r="W81" s="18" t="e">
        <f t="shared" ca="1" si="285"/>
        <v>#NAME?</v>
      </c>
      <c r="X81" s="18">
        <f t="shared" si="286"/>
        <v>0</v>
      </c>
      <c r="Y81" s="18" t="e">
        <f t="shared" ca="1" si="287"/>
        <v>#NAME?</v>
      </c>
      <c r="Z81" s="18" t="e">
        <f t="shared" ca="1" si="288"/>
        <v>#NAME?</v>
      </c>
      <c r="AA81" s="18" t="e">
        <f t="shared" ca="1" si="289"/>
        <v>#NAME?</v>
      </c>
      <c r="AB81" s="18" t="e">
        <f t="shared" ca="1" si="290"/>
        <v>#NAME?</v>
      </c>
      <c r="AC81" s="18" t="e">
        <f t="shared" ca="1" si="291"/>
        <v>#NAME?</v>
      </c>
      <c r="AD81" s="18" t="e">
        <f t="shared" ca="1" si="292"/>
        <v>#NAME?</v>
      </c>
      <c r="AE81" s="18" t="e">
        <f t="shared" ca="1" si="293"/>
        <v>#NAME?</v>
      </c>
      <c r="AF81" s="18" t="e">
        <f t="shared" ca="1" si="294"/>
        <v>#NAME?</v>
      </c>
      <c r="AG81" s="18" t="e">
        <f t="shared" ca="1" si="295"/>
        <v>#NAME?</v>
      </c>
      <c r="AI81">
        <f>Person2!E81</f>
        <v>96</v>
      </c>
      <c r="AJ81">
        <f>Person2!AZ81</f>
        <v>3</v>
      </c>
      <c r="AK81">
        <f>IF($AZ81&lt;&gt;3,Person2!FM81,0)</f>
        <v>0</v>
      </c>
      <c r="AL81" s="4">
        <f>IF($AZ81&lt;&gt;3,Person2!FN81+Person2!FT81,0)</f>
        <v>0</v>
      </c>
      <c r="AM81">
        <f>IF($AZ81&lt;&gt;3,Person2!FO81,0)</f>
        <v>0</v>
      </c>
      <c r="AN81">
        <f>IF($AZ81&lt;&gt;3,Person2!FP81,0)</f>
        <v>0</v>
      </c>
      <c r="AO81">
        <f>IF($AZ81&lt;&gt;3,Person2!FQ81,0)</f>
        <v>0</v>
      </c>
      <c r="AP81">
        <f>IF($AZ81&lt;&gt;3,Person2!FR81,0)</f>
        <v>0</v>
      </c>
      <c r="AQ81">
        <v>0</v>
      </c>
      <c r="AR81" s="4">
        <f>Person2!FS81</f>
        <v>0</v>
      </c>
      <c r="AS81" s="4">
        <v>0</v>
      </c>
      <c r="AT81" s="4">
        <v>0</v>
      </c>
      <c r="AV81">
        <f t="shared" si="270"/>
        <v>2091</v>
      </c>
      <c r="AW81">
        <f t="shared" si="271"/>
        <v>96</v>
      </c>
      <c r="AX81">
        <f t="shared" si="392"/>
        <v>4.3292504462035977</v>
      </c>
      <c r="AY81">
        <f t="shared" si="393"/>
        <v>0.2309868676867422</v>
      </c>
      <c r="AZ81">
        <f t="shared" si="394"/>
        <v>3</v>
      </c>
      <c r="BB81" s="4">
        <f t="shared" si="296"/>
        <v>0</v>
      </c>
      <c r="BC81">
        <f t="shared" si="297"/>
        <v>0</v>
      </c>
      <c r="BD81" s="4">
        <f t="shared" si="298"/>
        <v>0</v>
      </c>
      <c r="BE81" s="4">
        <f t="shared" si="395"/>
        <v>0</v>
      </c>
      <c r="BF81" s="4">
        <f t="shared" si="396"/>
        <v>0</v>
      </c>
      <c r="BG81" s="4">
        <f t="shared" si="397"/>
        <v>0</v>
      </c>
      <c r="BH81" s="4">
        <f t="shared" si="299"/>
        <v>0</v>
      </c>
      <c r="BI81" s="4">
        <f t="shared" si="398"/>
        <v>0</v>
      </c>
      <c r="BJ81" s="4"/>
      <c r="BK81" s="4">
        <f t="shared" si="300"/>
        <v>0</v>
      </c>
      <c r="BL81" s="4">
        <f t="shared" si="399"/>
        <v>0</v>
      </c>
      <c r="BM81" s="4">
        <f t="shared" si="400"/>
        <v>0</v>
      </c>
      <c r="BN81" s="4">
        <v>0</v>
      </c>
      <c r="BO81" s="4">
        <f t="shared" si="401"/>
        <v>0</v>
      </c>
      <c r="BP81" s="4">
        <f t="shared" si="402"/>
        <v>0</v>
      </c>
      <c r="BQ81" s="4"/>
      <c r="BR81" s="4">
        <v>0</v>
      </c>
      <c r="BS81" s="4" t="e">
        <f t="shared" ca="1" si="301"/>
        <v>#NAME?</v>
      </c>
      <c r="BT81" s="4">
        <f t="shared" si="302"/>
        <v>0</v>
      </c>
      <c r="BU81" s="4">
        <f t="shared" si="303"/>
        <v>0</v>
      </c>
      <c r="BV81" s="4">
        <f t="shared" si="304"/>
        <v>0</v>
      </c>
      <c r="BW81" s="4" t="e">
        <f t="shared" ca="1" si="305"/>
        <v>#NAME?</v>
      </c>
      <c r="BX81" s="4" t="e">
        <f t="shared" ca="1" si="306"/>
        <v>#NAME?</v>
      </c>
      <c r="BY81" s="4" t="e">
        <f t="shared" ca="1" si="307"/>
        <v>#NAME?</v>
      </c>
      <c r="BZ81" s="4" t="e">
        <f t="shared" ca="1" si="308"/>
        <v>#NAME?</v>
      </c>
      <c r="CA81" s="4" t="e">
        <f t="shared" ca="1" si="309"/>
        <v>#NAME?</v>
      </c>
      <c r="CB81" s="4" t="e">
        <f t="shared" ca="1" si="434"/>
        <v>#NAME?</v>
      </c>
      <c r="CC81" s="4"/>
      <c r="CD81" s="4" t="e">
        <f t="shared" ca="1" si="310"/>
        <v>#NAME?</v>
      </c>
      <c r="CE81" s="4">
        <f t="shared" si="403"/>
        <v>0</v>
      </c>
      <c r="CF81" s="16">
        <f t="shared" si="311"/>
        <v>1</v>
      </c>
      <c r="CG81" s="4">
        <f t="shared" si="404"/>
        <v>0</v>
      </c>
      <c r="CH81" s="4" t="e">
        <f t="shared" ca="1" si="312"/>
        <v>#NAME?</v>
      </c>
      <c r="CI81" s="4" t="e">
        <f t="shared" ca="1" si="313"/>
        <v>#NAME?</v>
      </c>
      <c r="CJ81" s="4" t="e">
        <f t="shared" ca="1" si="405"/>
        <v>#NAME?</v>
      </c>
      <c r="CK81" s="4" t="e">
        <f t="shared" ca="1" si="314"/>
        <v>#NAME?</v>
      </c>
      <c r="CL81" s="4" t="e">
        <f t="shared" ca="1" si="315"/>
        <v>#NAME?</v>
      </c>
      <c r="CM81" s="16"/>
      <c r="CN81" s="4">
        <f t="shared" si="316"/>
        <v>0</v>
      </c>
      <c r="CO81" s="4">
        <f t="shared" si="317"/>
        <v>0</v>
      </c>
      <c r="CP81" s="4" t="e">
        <f t="shared" ca="1" si="425"/>
        <v>#NAME?</v>
      </c>
      <c r="CQ81" s="4"/>
      <c r="CR81" s="4" t="e">
        <f t="shared" ca="1" si="318"/>
        <v>#NAME?</v>
      </c>
      <c r="CS81" s="4">
        <f t="shared" ca="1" si="319"/>
        <v>98600</v>
      </c>
      <c r="CT81" s="4">
        <f t="shared" ca="1" si="320"/>
        <v>0</v>
      </c>
      <c r="CU81" s="4"/>
      <c r="CV81" s="4" t="e">
        <f t="shared" ca="1" si="406"/>
        <v>#NAME?</v>
      </c>
      <c r="CW81" s="4">
        <f t="shared" ca="1" si="321"/>
        <v>0</v>
      </c>
      <c r="CX81" s="4">
        <f t="shared" si="322"/>
        <v>0</v>
      </c>
      <c r="CY81" s="4" t="e">
        <f t="shared" ca="1" si="407"/>
        <v>#NAME?</v>
      </c>
      <c r="CZ81" s="4"/>
      <c r="DA81" s="4" t="e">
        <f t="shared" ca="1" si="323"/>
        <v>#NAME?</v>
      </c>
      <c r="DB81" s="4">
        <f t="shared" si="324"/>
        <v>0</v>
      </c>
      <c r="DC81" s="4">
        <f t="shared" si="408"/>
        <v>0</v>
      </c>
      <c r="DD81" s="4">
        <f t="shared" si="325"/>
        <v>0</v>
      </c>
      <c r="DE81" s="4" t="e">
        <f t="shared" ca="1" si="326"/>
        <v>#NAME?</v>
      </c>
      <c r="DF81" s="4" t="e">
        <f t="shared" ca="1" si="409"/>
        <v>#NAME?</v>
      </c>
      <c r="DG81" s="4" t="e">
        <f t="shared" ca="1" si="410"/>
        <v>#NAME?</v>
      </c>
      <c r="DH81" s="4">
        <f t="shared" si="327"/>
        <v>0</v>
      </c>
      <c r="DI81" s="4"/>
      <c r="DJ81" s="4" t="e">
        <f t="shared" ca="1" si="328"/>
        <v>#NAME?</v>
      </c>
      <c r="DK81" s="4">
        <f t="shared" ca="1" si="329"/>
        <v>24500</v>
      </c>
      <c r="DL81" s="4">
        <f t="shared" ca="1" si="330"/>
        <v>24500</v>
      </c>
      <c r="DM81" s="4">
        <f t="shared" si="331"/>
        <v>0</v>
      </c>
      <c r="DN81" s="4" t="e">
        <f t="shared" ca="1" si="332"/>
        <v>#NAME?</v>
      </c>
      <c r="DO81" s="4" t="e">
        <f t="shared" ca="1" si="333"/>
        <v>#NAME?</v>
      </c>
      <c r="DP81" s="4"/>
      <c r="DQ81" s="4" t="e">
        <f t="shared" ca="1" si="334"/>
        <v>#NAME?</v>
      </c>
      <c r="DR81" s="4"/>
      <c r="DS81" s="4">
        <f t="shared" si="411"/>
        <v>0</v>
      </c>
      <c r="DT81" s="4">
        <f t="shared" si="282"/>
        <v>0</v>
      </c>
      <c r="DU81" s="4">
        <f t="shared" si="335"/>
        <v>0</v>
      </c>
      <c r="DV81" s="4"/>
      <c r="DW81" s="4" t="e">
        <f t="shared" ca="1" si="412"/>
        <v>#NAME?</v>
      </c>
      <c r="DX81" s="4" t="e">
        <f t="shared" ca="1" si="336"/>
        <v>#NAME?</v>
      </c>
      <c r="DY81" s="4">
        <f t="shared" si="413"/>
        <v>0</v>
      </c>
      <c r="DZ81" s="4" t="e">
        <f t="shared" ca="1" si="337"/>
        <v>#NAME?</v>
      </c>
      <c r="EA81" s="4" t="e">
        <f t="shared" ca="1" si="338"/>
        <v>#NAME?</v>
      </c>
      <c r="EB81" s="4" t="e">
        <f t="shared" ca="1" si="339"/>
        <v>#NAME?</v>
      </c>
      <c r="EC81" s="4">
        <f t="shared" si="340"/>
        <v>2</v>
      </c>
      <c r="ED81" s="4"/>
      <c r="EE81" s="4" t="e">
        <f t="shared" ca="1" si="414"/>
        <v>#NAME?</v>
      </c>
      <c r="EF81" s="4">
        <f t="shared" si="341"/>
        <v>0</v>
      </c>
      <c r="EG81" s="4">
        <f t="shared" si="415"/>
        <v>0</v>
      </c>
      <c r="EH81" s="4" t="e">
        <f t="shared" ca="1" si="342"/>
        <v>#NAME?</v>
      </c>
      <c r="EI81" s="4" t="e">
        <f t="shared" ca="1" si="343"/>
        <v>#NAME?</v>
      </c>
      <c r="EJ81" s="4" t="e">
        <f t="shared" ca="1" si="344"/>
        <v>#NAME?</v>
      </c>
      <c r="EK81" s="4">
        <f t="shared" si="345"/>
        <v>2</v>
      </c>
      <c r="EL81" s="4">
        <f t="shared" si="346"/>
        <v>0</v>
      </c>
      <c r="EM81" s="4"/>
      <c r="EN81" s="4" t="e">
        <f t="shared" ca="1" si="416"/>
        <v>#NAME?</v>
      </c>
      <c r="EO81" s="4" t="e">
        <f t="shared" ca="1" si="347"/>
        <v>#NAME?</v>
      </c>
      <c r="EP81" s="4">
        <f t="shared" si="417"/>
        <v>0</v>
      </c>
      <c r="EQ81" s="4" t="e">
        <f t="shared" ca="1" si="348"/>
        <v>#NAME?</v>
      </c>
      <c r="ER81" s="4">
        <v>0</v>
      </c>
      <c r="ES81" s="4" t="e">
        <f t="shared" ca="1" si="426"/>
        <v>#NAME?</v>
      </c>
      <c r="ET81" s="4"/>
      <c r="EU81" s="4" t="e">
        <f t="shared" ca="1" si="418"/>
        <v>#NAME?</v>
      </c>
      <c r="EV81" s="4" t="e">
        <f t="shared" ca="1" si="349"/>
        <v>#NAME?</v>
      </c>
      <c r="EW81" s="4">
        <f t="shared" si="419"/>
        <v>0</v>
      </c>
      <c r="EX81" s="4" t="e">
        <f t="shared" ca="1" si="350"/>
        <v>#NAME?</v>
      </c>
      <c r="EY81" s="4">
        <v>0</v>
      </c>
      <c r="EZ81" s="4" t="e">
        <f t="shared" ca="1" si="427"/>
        <v>#NAME?</v>
      </c>
      <c r="FA81" s="4" t="e">
        <f t="shared" ca="1" si="420"/>
        <v>#NAME?</v>
      </c>
      <c r="FB81" s="1" t="e">
        <f t="shared" ca="1" si="351"/>
        <v>#NAME?</v>
      </c>
      <c r="FC81" s="4">
        <f t="shared" si="421"/>
        <v>0</v>
      </c>
      <c r="FD81" s="4">
        <f t="shared" si="422"/>
        <v>0</v>
      </c>
      <c r="FE81" s="4">
        <f t="shared" si="352"/>
        <v>0</v>
      </c>
      <c r="FF81" s="4">
        <f t="shared" si="353"/>
        <v>0</v>
      </c>
      <c r="FG81" s="4">
        <f t="shared" ca="1" si="354"/>
        <v>0</v>
      </c>
      <c r="FH81" s="17" t="e">
        <f t="shared" ca="1" si="355"/>
        <v>#NAME?</v>
      </c>
      <c r="FI81" s="4" t="e">
        <f t="shared" ca="1" si="356"/>
        <v>#NAME?</v>
      </c>
      <c r="FJ81" s="4"/>
      <c r="FK81" s="4" t="e">
        <f t="shared" ca="1" si="357"/>
        <v>#NAME?</v>
      </c>
      <c r="FL81" s="4"/>
      <c r="FM81" s="4">
        <v>0</v>
      </c>
      <c r="FN81" s="4">
        <f t="shared" si="358"/>
        <v>0</v>
      </c>
      <c r="FO81" s="4">
        <f t="shared" si="359"/>
        <v>0</v>
      </c>
      <c r="FP81" s="4">
        <f t="shared" si="360"/>
        <v>0</v>
      </c>
      <c r="FQ81" s="4">
        <f t="shared" si="361"/>
        <v>0</v>
      </c>
      <c r="FR81" s="4">
        <f t="shared" si="362"/>
        <v>0</v>
      </c>
      <c r="FS81" s="4">
        <f t="shared" si="363"/>
        <v>0</v>
      </c>
      <c r="FT81" s="4">
        <f t="shared" si="364"/>
        <v>0</v>
      </c>
      <c r="FU81" s="4"/>
      <c r="FV81" s="3">
        <f t="shared" si="365"/>
        <v>0</v>
      </c>
      <c r="FW81" s="3">
        <f t="shared" si="366"/>
        <v>0</v>
      </c>
      <c r="FX81" s="4">
        <f t="shared" si="423"/>
        <v>2091</v>
      </c>
      <c r="FY81" s="18">
        <f t="shared" si="367"/>
        <v>0</v>
      </c>
      <c r="FZ81" s="18">
        <f t="shared" si="368"/>
        <v>0</v>
      </c>
      <c r="GA81" s="18">
        <f t="shared" si="369"/>
        <v>0</v>
      </c>
      <c r="GB81" s="18">
        <f t="shared" si="370"/>
        <v>0</v>
      </c>
      <c r="GC81" s="18" t="e">
        <f t="shared" ca="1" si="371"/>
        <v>#NAME?</v>
      </c>
      <c r="GD81" s="18" t="e">
        <f t="shared" ca="1" si="372"/>
        <v>#NAME?</v>
      </c>
      <c r="GE81" s="18" t="e">
        <f t="shared" ca="1" si="373"/>
        <v>#NAME?</v>
      </c>
      <c r="GF81" s="18" t="e">
        <f t="shared" ca="1" si="374"/>
        <v>#NAME?</v>
      </c>
      <c r="GG81" s="18" t="e">
        <f t="shared" ca="1" si="375"/>
        <v>#NAME?</v>
      </c>
      <c r="GH81" s="18" t="e">
        <f t="shared" ca="1" si="376"/>
        <v>#NAME?</v>
      </c>
      <c r="GI81" s="4"/>
      <c r="GJ81" s="4">
        <f t="shared" si="428"/>
        <v>2091</v>
      </c>
      <c r="GK81" s="4" t="e">
        <f t="shared" ca="1" si="377"/>
        <v>#NAME?</v>
      </c>
      <c r="GL81" s="4" t="e">
        <f t="shared" ca="1" si="378"/>
        <v>#NAME?</v>
      </c>
      <c r="GM81" s="4" t="e">
        <f t="shared" ca="1" si="379"/>
        <v>#NAME?</v>
      </c>
      <c r="GN81" s="4" t="e">
        <f t="shared" ca="1" si="380"/>
        <v>#NAME?</v>
      </c>
      <c r="GO81" s="4"/>
      <c r="GP81" s="3" t="e">
        <f t="shared" ca="1" si="424"/>
        <v>#NAME?</v>
      </c>
      <c r="GQ81" s="3" t="e">
        <f t="shared" ca="1" si="381"/>
        <v>#NAME?</v>
      </c>
      <c r="GR81" s="3" t="e">
        <f t="shared" ca="1" si="382"/>
        <v>#NAME?</v>
      </c>
      <c r="GS81" s="3" t="e">
        <f t="shared" ca="1" si="383"/>
        <v>#NAME?</v>
      </c>
      <c r="GT81" s="3" t="e">
        <f t="array" aca="1" ref="GT81" ca="1">SUM(GP81:GS81*$GU$6:$GX$6)</f>
        <v>#NAME?</v>
      </c>
      <c r="GU81" s="3" t="e">
        <f t="shared" ca="1" si="429"/>
        <v>#NAME?</v>
      </c>
      <c r="GV81" s="3" t="e">
        <f t="shared" ca="1" si="430"/>
        <v>#NAME?</v>
      </c>
      <c r="GW81" s="3" t="e">
        <f t="shared" ca="1" si="431"/>
        <v>#NAME?</v>
      </c>
      <c r="GX81" s="3" t="e">
        <f t="shared" ca="1" si="432"/>
        <v>#NAME?</v>
      </c>
      <c r="GY81" s="11"/>
      <c r="HJ81">
        <f t="shared" si="433"/>
        <v>2084</v>
      </c>
      <c r="HK81" s="28">
        <f t="shared" ref="HK81:HK144" si="437">ROUND(HK$15*(1+$B$15)^(HJ81-HJ$15)/10,0)*10</f>
        <v>85830</v>
      </c>
      <c r="HL81" s="27">
        <f t="shared" si="435"/>
        <v>21000</v>
      </c>
      <c r="HM81" s="28">
        <f t="shared" si="436"/>
        <v>21143.377764000783</v>
      </c>
    </row>
    <row r="82" spans="1:236" x14ac:dyDescent="0.25">
      <c r="D82">
        <f t="shared" si="384"/>
        <v>2092</v>
      </c>
      <c r="E82">
        <f t="shared" si="385"/>
        <v>97</v>
      </c>
      <c r="F82" s="9"/>
      <c r="G82" s="9"/>
      <c r="H82" s="8"/>
      <c r="I82" s="8"/>
      <c r="J82" s="92"/>
      <c r="K82" s="91"/>
      <c r="L82" s="91"/>
      <c r="N82" s="93">
        <f t="shared" si="386"/>
        <v>0.05</v>
      </c>
      <c r="O82" s="23">
        <f t="shared" si="387"/>
        <v>0.4</v>
      </c>
      <c r="P82" s="23">
        <f t="shared" si="388"/>
        <v>0.1</v>
      </c>
      <c r="Q82" s="4">
        <f t="shared" si="283"/>
        <v>0</v>
      </c>
      <c r="R82" s="4">
        <f t="shared" si="389"/>
        <v>0</v>
      </c>
      <c r="S82" s="4">
        <f t="shared" si="390"/>
        <v>0</v>
      </c>
      <c r="T82" s="4">
        <f t="shared" ca="1" si="391"/>
        <v>0</v>
      </c>
      <c r="V82" s="18" t="e">
        <f t="shared" ca="1" si="284"/>
        <v>#NAME?</v>
      </c>
      <c r="W82" s="18" t="e">
        <f t="shared" ca="1" si="285"/>
        <v>#NAME?</v>
      </c>
      <c r="X82" s="18">
        <f t="shared" si="286"/>
        <v>0</v>
      </c>
      <c r="Y82" s="18" t="e">
        <f t="shared" ca="1" si="287"/>
        <v>#NAME?</v>
      </c>
      <c r="Z82" s="18" t="e">
        <f t="shared" ca="1" si="288"/>
        <v>#NAME?</v>
      </c>
      <c r="AA82" s="18" t="e">
        <f t="shared" ca="1" si="289"/>
        <v>#NAME?</v>
      </c>
      <c r="AB82" s="18" t="e">
        <f t="shared" ca="1" si="290"/>
        <v>#NAME?</v>
      </c>
      <c r="AC82" s="18" t="e">
        <f t="shared" ca="1" si="291"/>
        <v>#NAME?</v>
      </c>
      <c r="AD82" s="18" t="e">
        <f t="shared" ca="1" si="292"/>
        <v>#NAME?</v>
      </c>
      <c r="AE82" s="18" t="e">
        <f t="shared" ca="1" si="293"/>
        <v>#NAME?</v>
      </c>
      <c r="AF82" s="18" t="e">
        <f t="shared" ca="1" si="294"/>
        <v>#NAME?</v>
      </c>
      <c r="AG82" s="18" t="e">
        <f t="shared" ca="1" si="295"/>
        <v>#NAME?</v>
      </c>
      <c r="AI82">
        <f>Person2!E82</f>
        <v>97</v>
      </c>
      <c r="AJ82">
        <f>Person2!AZ82</f>
        <v>3</v>
      </c>
      <c r="AK82">
        <f>IF($AZ82&lt;&gt;3,Person2!FM82,0)</f>
        <v>0</v>
      </c>
      <c r="AL82" s="4">
        <f>IF($AZ82&lt;&gt;3,Person2!FN82+Person2!FT82,0)</f>
        <v>0</v>
      </c>
      <c r="AM82">
        <f>IF($AZ82&lt;&gt;3,Person2!FO82,0)</f>
        <v>0</v>
      </c>
      <c r="AN82">
        <f>IF($AZ82&lt;&gt;3,Person2!FP82,0)</f>
        <v>0</v>
      </c>
      <c r="AO82">
        <f>IF($AZ82&lt;&gt;3,Person2!FQ82,0)</f>
        <v>0</v>
      </c>
      <c r="AP82">
        <f>IF($AZ82&lt;&gt;3,Person2!FR82,0)</f>
        <v>0</v>
      </c>
      <c r="AQ82">
        <v>0</v>
      </c>
      <c r="AR82" s="4">
        <f>Person2!FS82</f>
        <v>0</v>
      </c>
      <c r="AS82" s="4">
        <v>0</v>
      </c>
      <c r="AT82" s="4">
        <v>0</v>
      </c>
      <c r="AV82">
        <f t="shared" si="270"/>
        <v>2092</v>
      </c>
      <c r="AW82">
        <f t="shared" si="271"/>
        <v>97</v>
      </c>
      <c r="AX82">
        <f t="shared" si="392"/>
        <v>4.4158354551276693</v>
      </c>
      <c r="AY82">
        <f t="shared" si="393"/>
        <v>0.2264577134183747</v>
      </c>
      <c r="AZ82">
        <f t="shared" si="394"/>
        <v>3</v>
      </c>
      <c r="BB82" s="4">
        <f t="shared" si="296"/>
        <v>0</v>
      </c>
      <c r="BC82">
        <f t="shared" si="297"/>
        <v>0</v>
      </c>
      <c r="BD82" s="4">
        <f t="shared" si="298"/>
        <v>0</v>
      </c>
      <c r="BE82" s="4">
        <f t="shared" si="395"/>
        <v>0</v>
      </c>
      <c r="BF82" s="4">
        <f t="shared" si="396"/>
        <v>0</v>
      </c>
      <c r="BG82" s="4">
        <f t="shared" si="397"/>
        <v>0</v>
      </c>
      <c r="BH82" s="4">
        <f t="shared" si="299"/>
        <v>0</v>
      </c>
      <c r="BI82" s="4">
        <f t="shared" si="398"/>
        <v>0</v>
      </c>
      <c r="BJ82" s="4"/>
      <c r="BK82" s="4">
        <f t="shared" si="300"/>
        <v>0</v>
      </c>
      <c r="BL82" s="4">
        <f t="shared" si="399"/>
        <v>0</v>
      </c>
      <c r="BM82" s="4">
        <f t="shared" si="400"/>
        <v>0</v>
      </c>
      <c r="BN82" s="4">
        <v>0</v>
      </c>
      <c r="BO82" s="4">
        <f t="shared" si="401"/>
        <v>0</v>
      </c>
      <c r="BP82" s="4">
        <f t="shared" si="402"/>
        <v>0</v>
      </c>
      <c r="BQ82" s="4"/>
      <c r="BR82" s="4">
        <v>0</v>
      </c>
      <c r="BS82" s="4" t="e">
        <f t="shared" ca="1" si="301"/>
        <v>#NAME?</v>
      </c>
      <c r="BT82" s="4">
        <f t="shared" si="302"/>
        <v>0</v>
      </c>
      <c r="BU82" s="4">
        <f t="shared" si="303"/>
        <v>0</v>
      </c>
      <c r="BV82" s="4">
        <f t="shared" si="304"/>
        <v>0</v>
      </c>
      <c r="BW82" s="4" t="e">
        <f t="shared" ca="1" si="305"/>
        <v>#NAME?</v>
      </c>
      <c r="BX82" s="4" t="e">
        <f t="shared" ca="1" si="306"/>
        <v>#NAME?</v>
      </c>
      <c r="BY82" s="4" t="e">
        <f t="shared" ca="1" si="307"/>
        <v>#NAME?</v>
      </c>
      <c r="BZ82" s="4" t="e">
        <f t="shared" ca="1" si="308"/>
        <v>#NAME?</v>
      </c>
      <c r="CA82" s="4" t="e">
        <f t="shared" ca="1" si="309"/>
        <v>#NAME?</v>
      </c>
      <c r="CB82" s="4" t="e">
        <f t="shared" ca="1" si="434"/>
        <v>#NAME?</v>
      </c>
      <c r="CC82" s="4"/>
      <c r="CD82" s="4" t="e">
        <f t="shared" ca="1" si="310"/>
        <v>#NAME?</v>
      </c>
      <c r="CE82" s="4">
        <f t="shared" si="403"/>
        <v>0</v>
      </c>
      <c r="CF82" s="16">
        <f t="shared" si="311"/>
        <v>1</v>
      </c>
      <c r="CG82" s="4">
        <f t="shared" si="404"/>
        <v>0</v>
      </c>
      <c r="CH82" s="4" t="e">
        <f t="shared" ca="1" si="312"/>
        <v>#NAME?</v>
      </c>
      <c r="CI82" s="4" t="e">
        <f t="shared" ca="1" si="313"/>
        <v>#NAME?</v>
      </c>
      <c r="CJ82" s="4" t="e">
        <f t="shared" ca="1" si="405"/>
        <v>#NAME?</v>
      </c>
      <c r="CK82" s="4" t="e">
        <f t="shared" ca="1" si="314"/>
        <v>#NAME?</v>
      </c>
      <c r="CL82" s="4" t="e">
        <f t="shared" ca="1" si="315"/>
        <v>#NAME?</v>
      </c>
      <c r="CM82" s="16"/>
      <c r="CN82" s="4">
        <f t="shared" si="316"/>
        <v>0</v>
      </c>
      <c r="CO82" s="4">
        <f t="shared" si="317"/>
        <v>0</v>
      </c>
      <c r="CP82" s="4" t="e">
        <f t="shared" ca="1" si="425"/>
        <v>#NAME?</v>
      </c>
      <c r="CQ82" s="4"/>
      <c r="CR82" s="4" t="e">
        <f t="shared" ca="1" si="318"/>
        <v>#NAME?</v>
      </c>
      <c r="CS82" s="4">
        <f t="shared" ca="1" si="319"/>
        <v>100570</v>
      </c>
      <c r="CT82" s="4">
        <f t="shared" ca="1" si="320"/>
        <v>0</v>
      </c>
      <c r="CU82" s="4"/>
      <c r="CV82" s="4" t="e">
        <f t="shared" ca="1" si="406"/>
        <v>#NAME?</v>
      </c>
      <c r="CW82" s="4">
        <f t="shared" ca="1" si="321"/>
        <v>0</v>
      </c>
      <c r="CX82" s="4">
        <f t="shared" si="322"/>
        <v>0</v>
      </c>
      <c r="CY82" s="4" t="e">
        <f t="shared" ca="1" si="407"/>
        <v>#NAME?</v>
      </c>
      <c r="CZ82" s="4"/>
      <c r="DA82" s="4" t="e">
        <f t="shared" ca="1" si="323"/>
        <v>#NAME?</v>
      </c>
      <c r="DB82" s="4">
        <f t="shared" si="324"/>
        <v>0</v>
      </c>
      <c r="DC82" s="4">
        <f t="shared" si="408"/>
        <v>0</v>
      </c>
      <c r="DD82" s="4">
        <f t="shared" si="325"/>
        <v>0</v>
      </c>
      <c r="DE82" s="4" t="e">
        <f t="shared" ca="1" si="326"/>
        <v>#NAME?</v>
      </c>
      <c r="DF82" s="4" t="e">
        <f t="shared" ca="1" si="409"/>
        <v>#NAME?</v>
      </c>
      <c r="DG82" s="4" t="e">
        <f t="shared" ca="1" si="410"/>
        <v>#NAME?</v>
      </c>
      <c r="DH82" s="4">
        <f t="shared" si="327"/>
        <v>0</v>
      </c>
      <c r="DI82" s="4"/>
      <c r="DJ82" s="4" t="e">
        <f t="shared" ca="1" si="328"/>
        <v>#NAME?</v>
      </c>
      <c r="DK82" s="4">
        <f t="shared" ca="1" si="329"/>
        <v>25000</v>
      </c>
      <c r="DL82" s="4">
        <f t="shared" ca="1" si="330"/>
        <v>25000</v>
      </c>
      <c r="DM82" s="4">
        <f t="shared" si="331"/>
        <v>0</v>
      </c>
      <c r="DN82" s="4" t="e">
        <f t="shared" ca="1" si="332"/>
        <v>#NAME?</v>
      </c>
      <c r="DO82" s="4" t="e">
        <f t="shared" ca="1" si="333"/>
        <v>#NAME?</v>
      </c>
      <c r="DP82" s="4"/>
      <c r="DQ82" s="4" t="e">
        <f t="shared" ca="1" si="334"/>
        <v>#NAME?</v>
      </c>
      <c r="DR82" s="4"/>
      <c r="DS82" s="4">
        <f t="shared" si="411"/>
        <v>0</v>
      </c>
      <c r="DT82" s="4">
        <f t="shared" si="282"/>
        <v>0</v>
      </c>
      <c r="DU82" s="4">
        <f t="shared" si="335"/>
        <v>0</v>
      </c>
      <c r="DV82" s="4"/>
      <c r="DW82" s="4" t="e">
        <f t="shared" ca="1" si="412"/>
        <v>#NAME?</v>
      </c>
      <c r="DX82" s="4" t="e">
        <f t="shared" ca="1" si="336"/>
        <v>#NAME?</v>
      </c>
      <c r="DY82" s="4">
        <f t="shared" si="413"/>
        <v>0</v>
      </c>
      <c r="DZ82" s="4" t="e">
        <f t="shared" ca="1" si="337"/>
        <v>#NAME?</v>
      </c>
      <c r="EA82" s="4" t="e">
        <f t="shared" ca="1" si="338"/>
        <v>#NAME?</v>
      </c>
      <c r="EB82" s="4" t="e">
        <f t="shared" ca="1" si="339"/>
        <v>#NAME?</v>
      </c>
      <c r="EC82" s="4">
        <f t="shared" si="340"/>
        <v>2</v>
      </c>
      <c r="ED82" s="4"/>
      <c r="EE82" s="4" t="e">
        <f t="shared" ca="1" si="414"/>
        <v>#NAME?</v>
      </c>
      <c r="EF82" s="4">
        <f t="shared" si="341"/>
        <v>0</v>
      </c>
      <c r="EG82" s="4">
        <f t="shared" si="415"/>
        <v>0</v>
      </c>
      <c r="EH82" s="4" t="e">
        <f t="shared" ca="1" si="342"/>
        <v>#NAME?</v>
      </c>
      <c r="EI82" s="4" t="e">
        <f t="shared" ca="1" si="343"/>
        <v>#NAME?</v>
      </c>
      <c r="EJ82" s="4" t="e">
        <f t="shared" ca="1" si="344"/>
        <v>#NAME?</v>
      </c>
      <c r="EK82" s="4">
        <f t="shared" si="345"/>
        <v>2</v>
      </c>
      <c r="EL82" s="4">
        <f t="shared" si="346"/>
        <v>0</v>
      </c>
      <c r="EM82" s="4"/>
      <c r="EN82" s="4" t="e">
        <f t="shared" ca="1" si="416"/>
        <v>#NAME?</v>
      </c>
      <c r="EO82" s="4" t="e">
        <f t="shared" ca="1" si="347"/>
        <v>#NAME?</v>
      </c>
      <c r="EP82" s="4">
        <f t="shared" si="417"/>
        <v>0</v>
      </c>
      <c r="EQ82" s="4" t="e">
        <f t="shared" ca="1" si="348"/>
        <v>#NAME?</v>
      </c>
      <c r="ER82" s="4">
        <v>0</v>
      </c>
      <c r="ES82" s="4" t="e">
        <f t="shared" ca="1" si="426"/>
        <v>#NAME?</v>
      </c>
      <c r="ET82" s="4"/>
      <c r="EU82" s="4" t="e">
        <f t="shared" ca="1" si="418"/>
        <v>#NAME?</v>
      </c>
      <c r="EV82" s="4" t="e">
        <f t="shared" ca="1" si="349"/>
        <v>#NAME?</v>
      </c>
      <c r="EW82" s="4">
        <f t="shared" si="419"/>
        <v>0</v>
      </c>
      <c r="EX82" s="4" t="e">
        <f t="shared" ca="1" si="350"/>
        <v>#NAME?</v>
      </c>
      <c r="EY82" s="4">
        <v>0</v>
      </c>
      <c r="EZ82" s="4" t="e">
        <f t="shared" ca="1" si="427"/>
        <v>#NAME?</v>
      </c>
      <c r="FA82" s="4" t="e">
        <f t="shared" ca="1" si="420"/>
        <v>#NAME?</v>
      </c>
      <c r="FB82" s="1" t="e">
        <f t="shared" ca="1" si="351"/>
        <v>#NAME?</v>
      </c>
      <c r="FC82" s="4">
        <f t="shared" si="421"/>
        <v>0</v>
      </c>
      <c r="FD82" s="4">
        <f t="shared" si="422"/>
        <v>0</v>
      </c>
      <c r="FE82" s="4">
        <f t="shared" si="352"/>
        <v>0</v>
      </c>
      <c r="FF82" s="4">
        <f t="shared" si="353"/>
        <v>0</v>
      </c>
      <c r="FG82" s="4">
        <f t="shared" ca="1" si="354"/>
        <v>0</v>
      </c>
      <c r="FH82" s="17" t="e">
        <f t="shared" ca="1" si="355"/>
        <v>#NAME?</v>
      </c>
      <c r="FI82" s="4" t="e">
        <f t="shared" ca="1" si="356"/>
        <v>#NAME?</v>
      </c>
      <c r="FJ82" s="4"/>
      <c r="FK82" s="4" t="e">
        <f t="shared" ca="1" si="357"/>
        <v>#NAME?</v>
      </c>
      <c r="FL82" s="4"/>
      <c r="FM82" s="4">
        <v>0</v>
      </c>
      <c r="FN82" s="4">
        <f t="shared" si="358"/>
        <v>0</v>
      </c>
      <c r="FO82" s="4">
        <f t="shared" si="359"/>
        <v>0</v>
      </c>
      <c r="FP82" s="4">
        <f t="shared" si="360"/>
        <v>0</v>
      </c>
      <c r="FQ82" s="4">
        <f t="shared" si="361"/>
        <v>0</v>
      </c>
      <c r="FR82" s="4">
        <f t="shared" si="362"/>
        <v>0</v>
      </c>
      <c r="FS82" s="4">
        <f t="shared" si="363"/>
        <v>0</v>
      </c>
      <c r="FT82" s="4">
        <f t="shared" si="364"/>
        <v>0</v>
      </c>
      <c r="FU82" s="4"/>
      <c r="FV82" s="3">
        <f t="shared" si="365"/>
        <v>0</v>
      </c>
      <c r="FW82" s="3">
        <f t="shared" si="366"/>
        <v>0</v>
      </c>
      <c r="FX82" s="4">
        <f t="shared" si="423"/>
        <v>2092</v>
      </c>
      <c r="FY82" s="18">
        <f t="shared" si="367"/>
        <v>0</v>
      </c>
      <c r="FZ82" s="18">
        <f t="shared" si="368"/>
        <v>0</v>
      </c>
      <c r="GA82" s="18">
        <f t="shared" si="369"/>
        <v>0</v>
      </c>
      <c r="GB82" s="18">
        <f t="shared" si="370"/>
        <v>0</v>
      </c>
      <c r="GC82" s="18" t="e">
        <f t="shared" ca="1" si="371"/>
        <v>#NAME?</v>
      </c>
      <c r="GD82" s="18" t="e">
        <f t="shared" ca="1" si="372"/>
        <v>#NAME?</v>
      </c>
      <c r="GE82" s="18" t="e">
        <f t="shared" ca="1" si="373"/>
        <v>#NAME?</v>
      </c>
      <c r="GF82" s="18" t="e">
        <f t="shared" ca="1" si="374"/>
        <v>#NAME?</v>
      </c>
      <c r="GG82" s="18" t="e">
        <f t="shared" ca="1" si="375"/>
        <v>#NAME?</v>
      </c>
      <c r="GH82" s="18" t="e">
        <f t="shared" ca="1" si="376"/>
        <v>#NAME?</v>
      </c>
      <c r="GI82" s="4"/>
      <c r="GJ82" s="4">
        <f t="shared" si="428"/>
        <v>2092</v>
      </c>
      <c r="GK82" s="4" t="e">
        <f t="shared" ca="1" si="377"/>
        <v>#NAME?</v>
      </c>
      <c r="GL82" s="4" t="e">
        <f t="shared" ca="1" si="378"/>
        <v>#NAME?</v>
      </c>
      <c r="GM82" s="4" t="e">
        <f t="shared" ca="1" si="379"/>
        <v>#NAME?</v>
      </c>
      <c r="GN82" s="4" t="e">
        <f t="shared" ca="1" si="380"/>
        <v>#NAME?</v>
      </c>
      <c r="GO82" s="4"/>
      <c r="GP82" s="3" t="e">
        <f t="shared" ca="1" si="424"/>
        <v>#NAME?</v>
      </c>
      <c r="GQ82" s="3" t="e">
        <f t="shared" ca="1" si="381"/>
        <v>#NAME?</v>
      </c>
      <c r="GR82" s="3" t="e">
        <f t="shared" ca="1" si="382"/>
        <v>#NAME?</v>
      </c>
      <c r="GS82" s="3" t="e">
        <f t="shared" ca="1" si="383"/>
        <v>#NAME?</v>
      </c>
      <c r="GT82" s="3" t="e">
        <f t="array" aca="1" ref="GT82" ca="1">SUM(GP82:GS82*$GU$6:$GX$6)</f>
        <v>#NAME?</v>
      </c>
      <c r="GU82" s="3" t="e">
        <f t="shared" ca="1" si="429"/>
        <v>#NAME?</v>
      </c>
      <c r="GV82" s="3" t="e">
        <f t="shared" ca="1" si="430"/>
        <v>#NAME?</v>
      </c>
      <c r="GW82" s="3" t="e">
        <f t="shared" ca="1" si="431"/>
        <v>#NAME?</v>
      </c>
      <c r="GX82" s="3" t="e">
        <f t="shared" ca="1" si="432"/>
        <v>#NAME?</v>
      </c>
      <c r="GY82" s="11"/>
      <c r="HJ82">
        <f t="shared" si="433"/>
        <v>2085</v>
      </c>
      <c r="HK82" s="28">
        <f t="shared" si="437"/>
        <v>87550</v>
      </c>
      <c r="HL82" s="27">
        <f t="shared" si="435"/>
        <v>21500</v>
      </c>
      <c r="HM82" s="28">
        <f t="shared" si="436"/>
        <v>21566.245319280799</v>
      </c>
    </row>
    <row r="83" spans="1:236" x14ac:dyDescent="0.25">
      <c r="A83" t="s">
        <v>695</v>
      </c>
      <c r="B83" s="102">
        <f>Inputs_Summary!AJ79</f>
        <v>45282</v>
      </c>
      <c r="D83">
        <f t="shared" si="384"/>
        <v>2093</v>
      </c>
      <c r="E83">
        <f t="shared" si="385"/>
        <v>98</v>
      </c>
      <c r="F83" s="9"/>
      <c r="G83" s="9"/>
      <c r="H83" s="8"/>
      <c r="I83" s="8"/>
      <c r="J83" s="92"/>
      <c r="K83" s="91"/>
      <c r="L83" s="91"/>
      <c r="N83" s="93">
        <f t="shared" si="386"/>
        <v>0.05</v>
      </c>
      <c r="O83" s="23">
        <f t="shared" si="387"/>
        <v>0.4</v>
      </c>
      <c r="P83" s="23">
        <f t="shared" si="388"/>
        <v>0.1</v>
      </c>
      <c r="Q83" s="4">
        <f t="shared" si="283"/>
        <v>0</v>
      </c>
      <c r="R83" s="4">
        <f t="shared" si="389"/>
        <v>0</v>
      </c>
      <c r="S83" s="4">
        <f t="shared" si="390"/>
        <v>0</v>
      </c>
      <c r="T83" s="4">
        <f t="shared" ca="1" si="391"/>
        <v>0</v>
      </c>
      <c r="V83" s="18" t="e">
        <f t="shared" ca="1" si="284"/>
        <v>#NAME?</v>
      </c>
      <c r="W83" s="18" t="e">
        <f t="shared" ca="1" si="285"/>
        <v>#NAME?</v>
      </c>
      <c r="X83" s="18">
        <f t="shared" si="286"/>
        <v>0</v>
      </c>
      <c r="Y83" s="18" t="e">
        <f t="shared" ca="1" si="287"/>
        <v>#NAME?</v>
      </c>
      <c r="Z83" s="18" t="e">
        <f t="shared" ca="1" si="288"/>
        <v>#NAME?</v>
      </c>
      <c r="AA83" s="18" t="e">
        <f t="shared" ca="1" si="289"/>
        <v>#NAME?</v>
      </c>
      <c r="AB83" s="18" t="e">
        <f t="shared" ca="1" si="290"/>
        <v>#NAME?</v>
      </c>
      <c r="AC83" s="18" t="e">
        <f t="shared" ca="1" si="291"/>
        <v>#NAME?</v>
      </c>
      <c r="AD83" s="18" t="e">
        <f t="shared" ca="1" si="292"/>
        <v>#NAME?</v>
      </c>
      <c r="AE83" s="18" t="e">
        <f t="shared" ca="1" si="293"/>
        <v>#NAME?</v>
      </c>
      <c r="AF83" s="18" t="e">
        <f t="shared" ca="1" si="294"/>
        <v>#NAME?</v>
      </c>
      <c r="AG83" s="18" t="e">
        <f t="shared" ca="1" si="295"/>
        <v>#NAME?</v>
      </c>
      <c r="AI83">
        <f>Person2!E83</f>
        <v>98</v>
      </c>
      <c r="AJ83">
        <f>Person2!AZ83</f>
        <v>3</v>
      </c>
      <c r="AK83">
        <f>IF($AZ83&lt;&gt;3,Person2!FM83,0)</f>
        <v>0</v>
      </c>
      <c r="AL83" s="4">
        <f>IF($AZ83&lt;&gt;3,Person2!FN83+Person2!FT83,0)</f>
        <v>0</v>
      </c>
      <c r="AM83">
        <f>IF($AZ83&lt;&gt;3,Person2!FO83,0)</f>
        <v>0</v>
      </c>
      <c r="AN83">
        <f>IF($AZ83&lt;&gt;3,Person2!FP83,0)</f>
        <v>0</v>
      </c>
      <c r="AO83">
        <f>IF($AZ83&lt;&gt;3,Person2!FQ83,0)</f>
        <v>0</v>
      </c>
      <c r="AP83">
        <f>IF($AZ83&lt;&gt;3,Person2!FR83,0)</f>
        <v>0</v>
      </c>
      <c r="AQ83">
        <v>0</v>
      </c>
      <c r="AR83" s="4">
        <f>Person2!FS83</f>
        <v>0</v>
      </c>
      <c r="AS83" s="4">
        <v>0</v>
      </c>
      <c r="AT83" s="4">
        <v>0</v>
      </c>
      <c r="AV83">
        <f t="shared" si="270"/>
        <v>2093</v>
      </c>
      <c r="AW83">
        <f t="shared" si="271"/>
        <v>98</v>
      </c>
      <c r="AX83">
        <f t="shared" si="392"/>
        <v>4.5041521642302227</v>
      </c>
      <c r="AY83">
        <f t="shared" si="393"/>
        <v>0.22201736609644579</v>
      </c>
      <c r="AZ83">
        <f t="shared" si="394"/>
        <v>3</v>
      </c>
      <c r="BB83" s="4">
        <f t="shared" si="296"/>
        <v>0</v>
      </c>
      <c r="BC83">
        <f t="shared" si="297"/>
        <v>0</v>
      </c>
      <c r="BD83" s="4">
        <f t="shared" si="298"/>
        <v>0</v>
      </c>
      <c r="BE83" s="4">
        <f t="shared" si="395"/>
        <v>0</v>
      </c>
      <c r="BF83" s="4">
        <f t="shared" si="396"/>
        <v>0</v>
      </c>
      <c r="BG83" s="4">
        <f t="shared" si="397"/>
        <v>0</v>
      </c>
      <c r="BH83" s="4">
        <f t="shared" si="299"/>
        <v>0</v>
      </c>
      <c r="BI83" s="4">
        <f t="shared" si="398"/>
        <v>0</v>
      </c>
      <c r="BJ83" s="4"/>
      <c r="BK83" s="4">
        <f t="shared" si="300"/>
        <v>0</v>
      </c>
      <c r="BL83" s="4">
        <f t="shared" si="399"/>
        <v>0</v>
      </c>
      <c r="BM83" s="4">
        <f t="shared" si="400"/>
        <v>0</v>
      </c>
      <c r="BN83" s="4">
        <v>0</v>
      </c>
      <c r="BO83" s="4">
        <f t="shared" si="401"/>
        <v>0</v>
      </c>
      <c r="BP83" s="4">
        <f t="shared" si="402"/>
        <v>0</v>
      </c>
      <c r="BQ83" s="4"/>
      <c r="BR83" s="4">
        <v>0</v>
      </c>
      <c r="BS83" s="4" t="e">
        <f t="shared" ca="1" si="301"/>
        <v>#NAME?</v>
      </c>
      <c r="BT83" s="4">
        <f t="shared" si="302"/>
        <v>0</v>
      </c>
      <c r="BU83" s="4">
        <f t="shared" si="303"/>
        <v>0</v>
      </c>
      <c r="BV83" s="4">
        <f t="shared" si="304"/>
        <v>0</v>
      </c>
      <c r="BW83" s="4" t="e">
        <f t="shared" ca="1" si="305"/>
        <v>#NAME?</v>
      </c>
      <c r="BX83" s="4" t="e">
        <f t="shared" ca="1" si="306"/>
        <v>#NAME?</v>
      </c>
      <c r="BY83" s="4" t="e">
        <f t="shared" ca="1" si="307"/>
        <v>#NAME?</v>
      </c>
      <c r="BZ83" s="4" t="e">
        <f t="shared" ca="1" si="308"/>
        <v>#NAME?</v>
      </c>
      <c r="CA83" s="4" t="e">
        <f t="shared" ca="1" si="309"/>
        <v>#NAME?</v>
      </c>
      <c r="CB83" s="4" t="e">
        <f t="shared" ca="1" si="434"/>
        <v>#NAME?</v>
      </c>
      <c r="CC83" s="4"/>
      <c r="CD83" s="4" t="e">
        <f t="shared" ca="1" si="310"/>
        <v>#NAME?</v>
      </c>
      <c r="CE83" s="4">
        <f t="shared" si="403"/>
        <v>0</v>
      </c>
      <c r="CF83" s="16">
        <f t="shared" si="311"/>
        <v>1</v>
      </c>
      <c r="CG83" s="4">
        <f t="shared" si="404"/>
        <v>0</v>
      </c>
      <c r="CH83" s="4" t="e">
        <f t="shared" ca="1" si="312"/>
        <v>#NAME?</v>
      </c>
      <c r="CI83" s="4" t="e">
        <f t="shared" ca="1" si="313"/>
        <v>#NAME?</v>
      </c>
      <c r="CJ83" s="4" t="e">
        <f t="shared" ca="1" si="405"/>
        <v>#NAME?</v>
      </c>
      <c r="CK83" s="4" t="e">
        <f t="shared" ca="1" si="314"/>
        <v>#NAME?</v>
      </c>
      <c r="CL83" s="4" t="e">
        <f t="shared" ca="1" si="315"/>
        <v>#NAME?</v>
      </c>
      <c r="CM83" s="16"/>
      <c r="CN83" s="4">
        <f t="shared" si="316"/>
        <v>0</v>
      </c>
      <c r="CO83" s="4">
        <f t="shared" si="317"/>
        <v>0</v>
      </c>
      <c r="CP83" s="4" t="e">
        <f t="shared" ca="1" si="425"/>
        <v>#NAME?</v>
      </c>
      <c r="CQ83" s="4"/>
      <c r="CR83" s="4" t="e">
        <f t="shared" ca="1" si="318"/>
        <v>#NAME?</v>
      </c>
      <c r="CS83" s="4">
        <f t="shared" ca="1" si="319"/>
        <v>102580</v>
      </c>
      <c r="CT83" s="4">
        <f t="shared" ca="1" si="320"/>
        <v>0</v>
      </c>
      <c r="CU83" s="4"/>
      <c r="CV83" s="4" t="e">
        <f t="shared" ca="1" si="406"/>
        <v>#NAME?</v>
      </c>
      <c r="CW83" s="4">
        <f t="shared" ca="1" si="321"/>
        <v>0</v>
      </c>
      <c r="CX83" s="4">
        <f t="shared" si="322"/>
        <v>0</v>
      </c>
      <c r="CY83" s="4" t="e">
        <f t="shared" ca="1" si="407"/>
        <v>#NAME?</v>
      </c>
      <c r="CZ83" s="4"/>
      <c r="DA83" s="4" t="e">
        <f t="shared" ca="1" si="323"/>
        <v>#NAME?</v>
      </c>
      <c r="DB83" s="4">
        <f t="shared" si="324"/>
        <v>0</v>
      </c>
      <c r="DC83" s="4">
        <f t="shared" si="408"/>
        <v>0</v>
      </c>
      <c r="DD83" s="4">
        <f t="shared" si="325"/>
        <v>0</v>
      </c>
      <c r="DE83" s="4" t="e">
        <f t="shared" ca="1" si="326"/>
        <v>#NAME?</v>
      </c>
      <c r="DF83" s="4" t="e">
        <f t="shared" ca="1" si="409"/>
        <v>#NAME?</v>
      </c>
      <c r="DG83" s="4" t="e">
        <f t="shared" ca="1" si="410"/>
        <v>#NAME?</v>
      </c>
      <c r="DH83" s="4">
        <f t="shared" si="327"/>
        <v>0</v>
      </c>
      <c r="DI83" s="4"/>
      <c r="DJ83" s="4" t="e">
        <f t="shared" ca="1" si="328"/>
        <v>#NAME?</v>
      </c>
      <c r="DK83" s="4">
        <f t="shared" ca="1" si="329"/>
        <v>25500</v>
      </c>
      <c r="DL83" s="4">
        <f t="shared" ca="1" si="330"/>
        <v>25500</v>
      </c>
      <c r="DM83" s="4">
        <f t="shared" si="331"/>
        <v>0</v>
      </c>
      <c r="DN83" s="4" t="e">
        <f t="shared" ca="1" si="332"/>
        <v>#NAME?</v>
      </c>
      <c r="DO83" s="4" t="e">
        <f t="shared" ca="1" si="333"/>
        <v>#NAME?</v>
      </c>
      <c r="DP83" s="4"/>
      <c r="DQ83" s="4" t="e">
        <f t="shared" ca="1" si="334"/>
        <v>#NAME?</v>
      </c>
      <c r="DR83" s="4"/>
      <c r="DS83" s="4">
        <f t="shared" si="411"/>
        <v>0</v>
      </c>
      <c r="DT83" s="4">
        <f t="shared" si="282"/>
        <v>0</v>
      </c>
      <c r="DU83" s="4">
        <f t="shared" si="335"/>
        <v>0</v>
      </c>
      <c r="DV83" s="4"/>
      <c r="DW83" s="4" t="e">
        <f t="shared" ca="1" si="412"/>
        <v>#NAME?</v>
      </c>
      <c r="DX83" s="4" t="e">
        <f t="shared" ca="1" si="336"/>
        <v>#NAME?</v>
      </c>
      <c r="DY83" s="4">
        <f t="shared" si="413"/>
        <v>0</v>
      </c>
      <c r="DZ83" s="4" t="e">
        <f t="shared" ca="1" si="337"/>
        <v>#NAME?</v>
      </c>
      <c r="EA83" s="4" t="e">
        <f t="shared" ca="1" si="338"/>
        <v>#NAME?</v>
      </c>
      <c r="EB83" s="4" t="e">
        <f t="shared" ca="1" si="339"/>
        <v>#NAME?</v>
      </c>
      <c r="EC83" s="4">
        <f t="shared" si="340"/>
        <v>2</v>
      </c>
      <c r="ED83" s="4"/>
      <c r="EE83" s="4" t="e">
        <f t="shared" ca="1" si="414"/>
        <v>#NAME?</v>
      </c>
      <c r="EF83" s="4">
        <f t="shared" si="341"/>
        <v>0</v>
      </c>
      <c r="EG83" s="4">
        <f t="shared" si="415"/>
        <v>0</v>
      </c>
      <c r="EH83" s="4" t="e">
        <f t="shared" ca="1" si="342"/>
        <v>#NAME?</v>
      </c>
      <c r="EI83" s="4" t="e">
        <f t="shared" ca="1" si="343"/>
        <v>#NAME?</v>
      </c>
      <c r="EJ83" s="4" t="e">
        <f t="shared" ca="1" si="344"/>
        <v>#NAME?</v>
      </c>
      <c r="EK83" s="4">
        <f t="shared" si="345"/>
        <v>2</v>
      </c>
      <c r="EL83" s="4">
        <f t="shared" si="346"/>
        <v>0</v>
      </c>
      <c r="EM83" s="4"/>
      <c r="EN83" s="4" t="e">
        <f t="shared" ca="1" si="416"/>
        <v>#NAME?</v>
      </c>
      <c r="EO83" s="4" t="e">
        <f t="shared" ca="1" si="347"/>
        <v>#NAME?</v>
      </c>
      <c r="EP83" s="4">
        <f t="shared" si="417"/>
        <v>0</v>
      </c>
      <c r="EQ83" s="4" t="e">
        <f t="shared" ca="1" si="348"/>
        <v>#NAME?</v>
      </c>
      <c r="ER83" s="4">
        <v>0</v>
      </c>
      <c r="ES83" s="4" t="e">
        <f t="shared" ca="1" si="426"/>
        <v>#NAME?</v>
      </c>
      <c r="ET83" s="4"/>
      <c r="EU83" s="4" t="e">
        <f t="shared" ca="1" si="418"/>
        <v>#NAME?</v>
      </c>
      <c r="EV83" s="4" t="e">
        <f t="shared" ca="1" si="349"/>
        <v>#NAME?</v>
      </c>
      <c r="EW83" s="4">
        <f t="shared" si="419"/>
        <v>0</v>
      </c>
      <c r="EX83" s="4" t="e">
        <f t="shared" ca="1" si="350"/>
        <v>#NAME?</v>
      </c>
      <c r="EY83" s="4">
        <v>0</v>
      </c>
      <c r="EZ83" s="4" t="e">
        <f t="shared" ca="1" si="427"/>
        <v>#NAME?</v>
      </c>
      <c r="FA83" s="4" t="e">
        <f t="shared" ca="1" si="420"/>
        <v>#NAME?</v>
      </c>
      <c r="FB83" s="1" t="e">
        <f t="shared" ca="1" si="351"/>
        <v>#NAME?</v>
      </c>
      <c r="FC83" s="4">
        <f t="shared" si="421"/>
        <v>0</v>
      </c>
      <c r="FD83" s="4">
        <f t="shared" si="422"/>
        <v>0</v>
      </c>
      <c r="FE83" s="4">
        <f t="shared" si="352"/>
        <v>0</v>
      </c>
      <c r="FF83" s="4">
        <f t="shared" si="353"/>
        <v>0</v>
      </c>
      <c r="FG83" s="4">
        <f t="shared" ca="1" si="354"/>
        <v>0</v>
      </c>
      <c r="FH83" s="17" t="e">
        <f t="shared" ca="1" si="355"/>
        <v>#NAME?</v>
      </c>
      <c r="FI83" s="4" t="e">
        <f t="shared" ca="1" si="356"/>
        <v>#NAME?</v>
      </c>
      <c r="FJ83" s="4"/>
      <c r="FK83" s="4" t="e">
        <f t="shared" ca="1" si="357"/>
        <v>#NAME?</v>
      </c>
      <c r="FL83" s="4"/>
      <c r="FM83" s="4">
        <v>0</v>
      </c>
      <c r="FN83" s="4">
        <f t="shared" si="358"/>
        <v>0</v>
      </c>
      <c r="FO83" s="4">
        <f t="shared" si="359"/>
        <v>0</v>
      </c>
      <c r="FP83" s="4">
        <f t="shared" si="360"/>
        <v>0</v>
      </c>
      <c r="FQ83" s="4">
        <f t="shared" si="361"/>
        <v>0</v>
      </c>
      <c r="FR83" s="4">
        <f t="shared" si="362"/>
        <v>0</v>
      </c>
      <c r="FS83" s="4">
        <f t="shared" si="363"/>
        <v>0</v>
      </c>
      <c r="FT83" s="4">
        <f t="shared" si="364"/>
        <v>0</v>
      </c>
      <c r="FU83" s="4"/>
      <c r="FV83" s="3">
        <f t="shared" si="365"/>
        <v>0</v>
      </c>
      <c r="FW83" s="3">
        <f t="shared" si="366"/>
        <v>0</v>
      </c>
      <c r="FX83" s="4">
        <f t="shared" si="423"/>
        <v>2093</v>
      </c>
      <c r="FY83" s="18">
        <f t="shared" si="367"/>
        <v>0</v>
      </c>
      <c r="FZ83" s="18">
        <f t="shared" si="368"/>
        <v>0</v>
      </c>
      <c r="GA83" s="18">
        <f t="shared" si="369"/>
        <v>0</v>
      </c>
      <c r="GB83" s="18">
        <f t="shared" si="370"/>
        <v>0</v>
      </c>
      <c r="GC83" s="18" t="e">
        <f t="shared" ca="1" si="371"/>
        <v>#NAME?</v>
      </c>
      <c r="GD83" s="18" t="e">
        <f t="shared" ca="1" si="372"/>
        <v>#NAME?</v>
      </c>
      <c r="GE83" s="18" t="e">
        <f t="shared" ca="1" si="373"/>
        <v>#NAME?</v>
      </c>
      <c r="GF83" s="18" t="e">
        <f t="shared" ca="1" si="374"/>
        <v>#NAME?</v>
      </c>
      <c r="GG83" s="18" t="e">
        <f t="shared" ca="1" si="375"/>
        <v>#NAME?</v>
      </c>
      <c r="GH83" s="18" t="e">
        <f t="shared" ca="1" si="376"/>
        <v>#NAME?</v>
      </c>
      <c r="GI83" s="4"/>
      <c r="GJ83" s="4">
        <f t="shared" si="428"/>
        <v>2093</v>
      </c>
      <c r="GK83" s="4" t="e">
        <f t="shared" ca="1" si="377"/>
        <v>#NAME?</v>
      </c>
      <c r="GL83" s="4" t="e">
        <f t="shared" ca="1" si="378"/>
        <v>#NAME?</v>
      </c>
      <c r="GM83" s="4" t="e">
        <f t="shared" ca="1" si="379"/>
        <v>#NAME?</v>
      </c>
      <c r="GN83" s="4" t="e">
        <f t="shared" ca="1" si="380"/>
        <v>#NAME?</v>
      </c>
      <c r="GO83" s="4"/>
      <c r="GP83" s="3" t="e">
        <f t="shared" ca="1" si="424"/>
        <v>#NAME?</v>
      </c>
      <c r="GQ83" s="3" t="e">
        <f t="shared" ca="1" si="381"/>
        <v>#NAME?</v>
      </c>
      <c r="GR83" s="3" t="e">
        <f t="shared" ca="1" si="382"/>
        <v>#NAME?</v>
      </c>
      <c r="GS83" s="3" t="e">
        <f t="shared" ca="1" si="383"/>
        <v>#NAME?</v>
      </c>
      <c r="GT83" s="3" t="e">
        <f t="array" aca="1" ref="GT83" ca="1">SUM(GP83:GS83*$GU$6:$GX$6)</f>
        <v>#NAME?</v>
      </c>
      <c r="GU83" s="3" t="e">
        <f t="shared" ca="1" si="429"/>
        <v>#NAME?</v>
      </c>
      <c r="GV83" s="3" t="e">
        <f t="shared" ca="1" si="430"/>
        <v>#NAME?</v>
      </c>
      <c r="GW83" s="3" t="e">
        <f t="shared" ca="1" si="431"/>
        <v>#NAME?</v>
      </c>
      <c r="GX83" s="3" t="e">
        <f t="shared" ca="1" si="432"/>
        <v>#NAME?</v>
      </c>
      <c r="GY83" s="11"/>
      <c r="HJ83">
        <f t="shared" si="433"/>
        <v>2086</v>
      </c>
      <c r="HK83" s="28">
        <f t="shared" si="437"/>
        <v>89300</v>
      </c>
      <c r="HL83" s="27">
        <f t="shared" si="435"/>
        <v>22000</v>
      </c>
      <c r="HM83" s="28">
        <f t="shared" si="436"/>
        <v>21997.570225666415</v>
      </c>
    </row>
    <row r="84" spans="1:236" x14ac:dyDescent="0.25">
      <c r="D84">
        <f t="shared" si="384"/>
        <v>2094</v>
      </c>
      <c r="E84">
        <f t="shared" si="385"/>
        <v>99</v>
      </c>
      <c r="F84" s="9"/>
      <c r="G84" s="9"/>
      <c r="H84" s="8"/>
      <c r="I84" s="8"/>
      <c r="J84" s="92"/>
      <c r="K84" s="91"/>
      <c r="L84" s="91"/>
      <c r="N84" s="93">
        <f t="shared" si="386"/>
        <v>0.05</v>
      </c>
      <c r="O84" s="23">
        <f t="shared" si="387"/>
        <v>0.4</v>
      </c>
      <c r="P84" s="23">
        <f t="shared" si="388"/>
        <v>0.1</v>
      </c>
      <c r="Q84" s="4">
        <f t="shared" si="283"/>
        <v>0</v>
      </c>
      <c r="R84" s="4">
        <f t="shared" si="389"/>
        <v>0</v>
      </c>
      <c r="S84" s="4">
        <f t="shared" si="390"/>
        <v>0</v>
      </c>
      <c r="T84" s="4">
        <f t="shared" ca="1" si="391"/>
        <v>0</v>
      </c>
      <c r="V84" s="18" t="e">
        <f t="shared" ca="1" si="284"/>
        <v>#NAME?</v>
      </c>
      <c r="W84" s="18" t="e">
        <f t="shared" ca="1" si="285"/>
        <v>#NAME?</v>
      </c>
      <c r="X84" s="18">
        <f t="shared" si="286"/>
        <v>0</v>
      </c>
      <c r="Y84" s="18" t="e">
        <f t="shared" ca="1" si="287"/>
        <v>#NAME?</v>
      </c>
      <c r="Z84" s="18" t="e">
        <f t="shared" ca="1" si="288"/>
        <v>#NAME?</v>
      </c>
      <c r="AA84" s="18" t="e">
        <f t="shared" ca="1" si="289"/>
        <v>#NAME?</v>
      </c>
      <c r="AB84" s="18" t="e">
        <f t="shared" ca="1" si="290"/>
        <v>#NAME?</v>
      </c>
      <c r="AC84" s="18" t="e">
        <f t="shared" ca="1" si="291"/>
        <v>#NAME?</v>
      </c>
      <c r="AD84" s="18" t="e">
        <f t="shared" ca="1" si="292"/>
        <v>#NAME?</v>
      </c>
      <c r="AE84" s="18" t="e">
        <f t="shared" ca="1" si="293"/>
        <v>#NAME?</v>
      </c>
      <c r="AF84" s="18" t="e">
        <f t="shared" ca="1" si="294"/>
        <v>#NAME?</v>
      </c>
      <c r="AG84" s="18" t="e">
        <f t="shared" ca="1" si="295"/>
        <v>#NAME?</v>
      </c>
      <c r="AI84">
        <f>Person2!E84</f>
        <v>99</v>
      </c>
      <c r="AJ84">
        <f>Person2!AZ84</f>
        <v>3</v>
      </c>
      <c r="AK84">
        <f>IF($AZ84&lt;&gt;3,Person2!FM84,0)</f>
        <v>0</v>
      </c>
      <c r="AL84" s="4">
        <f>IF($AZ84&lt;&gt;3,Person2!FN84+Person2!FT84,0)</f>
        <v>0</v>
      </c>
      <c r="AM84">
        <f>IF($AZ84&lt;&gt;3,Person2!FO84,0)</f>
        <v>0</v>
      </c>
      <c r="AN84">
        <f>IF($AZ84&lt;&gt;3,Person2!FP84,0)</f>
        <v>0</v>
      </c>
      <c r="AO84">
        <f>IF($AZ84&lt;&gt;3,Person2!FQ84,0)</f>
        <v>0</v>
      </c>
      <c r="AP84">
        <f>IF($AZ84&lt;&gt;3,Person2!FR84,0)</f>
        <v>0</v>
      </c>
      <c r="AQ84">
        <v>0</v>
      </c>
      <c r="AR84" s="4">
        <f>Person2!FS84</f>
        <v>0</v>
      </c>
      <c r="AS84" s="4">
        <v>0</v>
      </c>
      <c r="AT84" s="4">
        <v>0</v>
      </c>
      <c r="AV84">
        <f t="shared" si="270"/>
        <v>2094</v>
      </c>
      <c r="AW84">
        <f t="shared" si="271"/>
        <v>99</v>
      </c>
      <c r="AX84">
        <f t="shared" si="392"/>
        <v>4.5942352075148269</v>
      </c>
      <c r="AY84">
        <f t="shared" si="393"/>
        <v>0.2176640844082802</v>
      </c>
      <c r="AZ84">
        <f t="shared" si="394"/>
        <v>3</v>
      </c>
      <c r="BB84" s="4">
        <f t="shared" si="296"/>
        <v>0</v>
      </c>
      <c r="BC84">
        <f t="shared" si="297"/>
        <v>0</v>
      </c>
      <c r="BD84" s="4">
        <f t="shared" si="298"/>
        <v>0</v>
      </c>
      <c r="BE84" s="4">
        <f t="shared" si="395"/>
        <v>0</v>
      </c>
      <c r="BF84" s="4">
        <f t="shared" si="396"/>
        <v>0</v>
      </c>
      <c r="BG84" s="4">
        <f t="shared" si="397"/>
        <v>0</v>
      </c>
      <c r="BH84" s="4">
        <f t="shared" si="299"/>
        <v>0</v>
      </c>
      <c r="BI84" s="4">
        <f t="shared" si="398"/>
        <v>0</v>
      </c>
      <c r="BJ84" s="4"/>
      <c r="BK84" s="4">
        <f t="shared" si="300"/>
        <v>0</v>
      </c>
      <c r="BL84" s="4">
        <f t="shared" si="399"/>
        <v>0</v>
      </c>
      <c r="BM84" s="4">
        <f t="shared" si="400"/>
        <v>0</v>
      </c>
      <c r="BN84" s="4">
        <v>0</v>
      </c>
      <c r="BO84" s="4">
        <f t="shared" si="401"/>
        <v>0</v>
      </c>
      <c r="BP84" s="4">
        <f t="shared" si="402"/>
        <v>0</v>
      </c>
      <c r="BQ84" s="4"/>
      <c r="BR84" s="4">
        <v>0</v>
      </c>
      <c r="BS84" s="4" t="e">
        <f t="shared" ca="1" si="301"/>
        <v>#NAME?</v>
      </c>
      <c r="BT84" s="4">
        <f t="shared" si="302"/>
        <v>0</v>
      </c>
      <c r="BU84" s="4">
        <f t="shared" si="303"/>
        <v>0</v>
      </c>
      <c r="BV84" s="4">
        <f t="shared" si="304"/>
        <v>0</v>
      </c>
      <c r="BW84" s="4" t="e">
        <f t="shared" ca="1" si="305"/>
        <v>#NAME?</v>
      </c>
      <c r="BX84" s="4" t="e">
        <f t="shared" ca="1" si="306"/>
        <v>#NAME?</v>
      </c>
      <c r="BY84" s="4" t="e">
        <f t="shared" ca="1" si="307"/>
        <v>#NAME?</v>
      </c>
      <c r="BZ84" s="4" t="e">
        <f t="shared" ca="1" si="308"/>
        <v>#NAME?</v>
      </c>
      <c r="CA84" s="4" t="e">
        <f t="shared" ca="1" si="309"/>
        <v>#NAME?</v>
      </c>
      <c r="CB84" s="4" t="e">
        <f t="shared" ca="1" si="434"/>
        <v>#NAME?</v>
      </c>
      <c r="CC84" s="4"/>
      <c r="CD84" s="4" t="e">
        <f t="shared" ca="1" si="310"/>
        <v>#NAME?</v>
      </c>
      <c r="CE84" s="4">
        <f t="shared" si="403"/>
        <v>0</v>
      </c>
      <c r="CF84" s="16">
        <f t="shared" si="311"/>
        <v>1</v>
      </c>
      <c r="CG84" s="4">
        <f t="shared" si="404"/>
        <v>0</v>
      </c>
      <c r="CH84" s="4" t="e">
        <f t="shared" ca="1" si="312"/>
        <v>#NAME?</v>
      </c>
      <c r="CI84" s="4" t="e">
        <f t="shared" ca="1" si="313"/>
        <v>#NAME?</v>
      </c>
      <c r="CJ84" s="4" t="e">
        <f t="shared" ca="1" si="405"/>
        <v>#NAME?</v>
      </c>
      <c r="CK84" s="4" t="e">
        <f t="shared" ca="1" si="314"/>
        <v>#NAME?</v>
      </c>
      <c r="CL84" s="4" t="e">
        <f t="shared" ca="1" si="315"/>
        <v>#NAME?</v>
      </c>
      <c r="CM84" s="16"/>
      <c r="CN84" s="4">
        <f t="shared" si="316"/>
        <v>0</v>
      </c>
      <c r="CO84" s="4">
        <f t="shared" si="317"/>
        <v>0</v>
      </c>
      <c r="CP84" s="4" t="e">
        <f t="shared" ca="1" si="425"/>
        <v>#NAME?</v>
      </c>
      <c r="CQ84" s="4"/>
      <c r="CR84" s="4" t="e">
        <f t="shared" ca="1" si="318"/>
        <v>#NAME?</v>
      </c>
      <c r="CS84" s="4">
        <f t="shared" ca="1" si="319"/>
        <v>104630</v>
      </c>
      <c r="CT84" s="4">
        <f t="shared" ca="1" si="320"/>
        <v>0</v>
      </c>
      <c r="CU84" s="4"/>
      <c r="CV84" s="4" t="e">
        <f t="shared" ca="1" si="406"/>
        <v>#NAME?</v>
      </c>
      <c r="CW84" s="4">
        <f t="shared" ca="1" si="321"/>
        <v>0</v>
      </c>
      <c r="CX84" s="4">
        <f t="shared" si="322"/>
        <v>0</v>
      </c>
      <c r="CY84" s="4" t="e">
        <f t="shared" ca="1" si="407"/>
        <v>#NAME?</v>
      </c>
      <c r="CZ84" s="4"/>
      <c r="DA84" s="4" t="e">
        <f t="shared" ca="1" si="323"/>
        <v>#NAME?</v>
      </c>
      <c r="DB84" s="4">
        <f t="shared" si="324"/>
        <v>0</v>
      </c>
      <c r="DC84" s="4">
        <f t="shared" si="408"/>
        <v>0</v>
      </c>
      <c r="DD84" s="4">
        <f t="shared" si="325"/>
        <v>0</v>
      </c>
      <c r="DE84" s="4" t="e">
        <f t="shared" ca="1" si="326"/>
        <v>#NAME?</v>
      </c>
      <c r="DF84" s="4" t="e">
        <f t="shared" ca="1" si="409"/>
        <v>#NAME?</v>
      </c>
      <c r="DG84" s="4" t="e">
        <f t="shared" ca="1" si="410"/>
        <v>#NAME?</v>
      </c>
      <c r="DH84" s="4">
        <f t="shared" si="327"/>
        <v>0</v>
      </c>
      <c r="DI84" s="4"/>
      <c r="DJ84" s="4" t="e">
        <f t="shared" ca="1" si="328"/>
        <v>#NAME?</v>
      </c>
      <c r="DK84" s="4">
        <f t="shared" ca="1" si="329"/>
        <v>26000</v>
      </c>
      <c r="DL84" s="4">
        <f t="shared" ca="1" si="330"/>
        <v>26000</v>
      </c>
      <c r="DM84" s="4">
        <f t="shared" si="331"/>
        <v>0</v>
      </c>
      <c r="DN84" s="4" t="e">
        <f t="shared" ca="1" si="332"/>
        <v>#NAME?</v>
      </c>
      <c r="DO84" s="4" t="e">
        <f t="shared" ca="1" si="333"/>
        <v>#NAME?</v>
      </c>
      <c r="DP84" s="4"/>
      <c r="DQ84" s="4" t="e">
        <f t="shared" ca="1" si="334"/>
        <v>#NAME?</v>
      </c>
      <c r="DR84" s="4"/>
      <c r="DS84" s="4">
        <f t="shared" si="411"/>
        <v>0</v>
      </c>
      <c r="DT84" s="4">
        <f t="shared" si="282"/>
        <v>0</v>
      </c>
      <c r="DU84" s="4">
        <f t="shared" si="335"/>
        <v>0</v>
      </c>
      <c r="DV84" s="4"/>
      <c r="DW84" s="4" t="e">
        <f t="shared" ca="1" si="412"/>
        <v>#NAME?</v>
      </c>
      <c r="DX84" s="4" t="e">
        <f t="shared" ca="1" si="336"/>
        <v>#NAME?</v>
      </c>
      <c r="DY84" s="4">
        <f t="shared" si="413"/>
        <v>0</v>
      </c>
      <c r="DZ84" s="4" t="e">
        <f t="shared" ca="1" si="337"/>
        <v>#NAME?</v>
      </c>
      <c r="EA84" s="4" t="e">
        <f t="shared" ca="1" si="338"/>
        <v>#NAME?</v>
      </c>
      <c r="EB84" s="4" t="e">
        <f t="shared" ca="1" si="339"/>
        <v>#NAME?</v>
      </c>
      <c r="EC84" s="4">
        <f t="shared" si="340"/>
        <v>2</v>
      </c>
      <c r="ED84" s="4"/>
      <c r="EE84" s="4" t="e">
        <f t="shared" ca="1" si="414"/>
        <v>#NAME?</v>
      </c>
      <c r="EF84" s="4">
        <f t="shared" si="341"/>
        <v>0</v>
      </c>
      <c r="EG84" s="4">
        <f t="shared" si="415"/>
        <v>0</v>
      </c>
      <c r="EH84" s="4" t="e">
        <f t="shared" ca="1" si="342"/>
        <v>#NAME?</v>
      </c>
      <c r="EI84" s="4" t="e">
        <f t="shared" ca="1" si="343"/>
        <v>#NAME?</v>
      </c>
      <c r="EJ84" s="4" t="e">
        <f t="shared" ca="1" si="344"/>
        <v>#NAME?</v>
      </c>
      <c r="EK84" s="4">
        <f t="shared" si="345"/>
        <v>2</v>
      </c>
      <c r="EL84" s="4">
        <f t="shared" si="346"/>
        <v>0</v>
      </c>
      <c r="EM84" s="4"/>
      <c r="EN84" s="4" t="e">
        <f t="shared" ca="1" si="416"/>
        <v>#NAME?</v>
      </c>
      <c r="EO84" s="4" t="e">
        <f t="shared" ca="1" si="347"/>
        <v>#NAME?</v>
      </c>
      <c r="EP84" s="4">
        <f t="shared" si="417"/>
        <v>0</v>
      </c>
      <c r="EQ84" s="4" t="e">
        <f t="shared" ca="1" si="348"/>
        <v>#NAME?</v>
      </c>
      <c r="ER84" s="4">
        <v>0</v>
      </c>
      <c r="ES84" s="4" t="e">
        <f t="shared" ca="1" si="426"/>
        <v>#NAME?</v>
      </c>
      <c r="ET84" s="4"/>
      <c r="EU84" s="4" t="e">
        <f t="shared" ca="1" si="418"/>
        <v>#NAME?</v>
      </c>
      <c r="EV84" s="4" t="e">
        <f t="shared" ca="1" si="349"/>
        <v>#NAME?</v>
      </c>
      <c r="EW84" s="4">
        <f t="shared" si="419"/>
        <v>0</v>
      </c>
      <c r="EX84" s="4" t="e">
        <f t="shared" ca="1" si="350"/>
        <v>#NAME?</v>
      </c>
      <c r="EY84" s="4">
        <v>0</v>
      </c>
      <c r="EZ84" s="4" t="e">
        <f t="shared" ca="1" si="427"/>
        <v>#NAME?</v>
      </c>
      <c r="FA84" s="4" t="e">
        <f t="shared" ca="1" si="420"/>
        <v>#NAME?</v>
      </c>
      <c r="FB84" s="1" t="e">
        <f t="shared" ca="1" si="351"/>
        <v>#NAME?</v>
      </c>
      <c r="FC84" s="4">
        <f t="shared" si="421"/>
        <v>0</v>
      </c>
      <c r="FD84" s="4">
        <f t="shared" si="422"/>
        <v>0</v>
      </c>
      <c r="FE84" s="4">
        <f t="shared" si="352"/>
        <v>0</v>
      </c>
      <c r="FF84" s="4">
        <f t="shared" si="353"/>
        <v>0</v>
      </c>
      <c r="FG84" s="4">
        <f t="shared" ca="1" si="354"/>
        <v>0</v>
      </c>
      <c r="FH84" s="17" t="e">
        <f t="shared" ca="1" si="355"/>
        <v>#NAME?</v>
      </c>
      <c r="FI84" s="4" t="e">
        <f t="shared" ca="1" si="356"/>
        <v>#NAME?</v>
      </c>
      <c r="FJ84" s="4"/>
      <c r="FK84" s="4" t="e">
        <f t="shared" ca="1" si="357"/>
        <v>#NAME?</v>
      </c>
      <c r="FL84" s="4"/>
      <c r="FM84" s="4">
        <v>0</v>
      </c>
      <c r="FN84" s="4">
        <f t="shared" si="358"/>
        <v>0</v>
      </c>
      <c r="FO84" s="4">
        <f t="shared" si="359"/>
        <v>0</v>
      </c>
      <c r="FP84" s="4">
        <f t="shared" si="360"/>
        <v>0</v>
      </c>
      <c r="FQ84" s="4">
        <f t="shared" si="361"/>
        <v>0</v>
      </c>
      <c r="FR84" s="4">
        <f t="shared" si="362"/>
        <v>0</v>
      </c>
      <c r="FS84" s="4">
        <f t="shared" si="363"/>
        <v>0</v>
      </c>
      <c r="FT84" s="4">
        <f t="shared" si="364"/>
        <v>0</v>
      </c>
      <c r="FU84" s="4"/>
      <c r="FV84" s="3">
        <f t="shared" si="365"/>
        <v>0</v>
      </c>
      <c r="FW84" s="3">
        <f t="shared" si="366"/>
        <v>0</v>
      </c>
      <c r="FX84" s="4">
        <f t="shared" si="423"/>
        <v>2094</v>
      </c>
      <c r="FY84" s="18">
        <f t="shared" si="367"/>
        <v>0</v>
      </c>
      <c r="FZ84" s="18">
        <f t="shared" si="368"/>
        <v>0</v>
      </c>
      <c r="GA84" s="18">
        <f t="shared" si="369"/>
        <v>0</v>
      </c>
      <c r="GB84" s="18">
        <f t="shared" si="370"/>
        <v>0</v>
      </c>
      <c r="GC84" s="18" t="e">
        <f t="shared" ca="1" si="371"/>
        <v>#NAME?</v>
      </c>
      <c r="GD84" s="18" t="e">
        <f t="shared" ca="1" si="372"/>
        <v>#NAME?</v>
      </c>
      <c r="GE84" s="18" t="e">
        <f t="shared" ca="1" si="373"/>
        <v>#NAME?</v>
      </c>
      <c r="GF84" s="18" t="e">
        <f t="shared" ca="1" si="374"/>
        <v>#NAME?</v>
      </c>
      <c r="GG84" s="18" t="e">
        <f t="shared" ca="1" si="375"/>
        <v>#NAME?</v>
      </c>
      <c r="GH84" s="18" t="e">
        <f t="shared" ca="1" si="376"/>
        <v>#NAME?</v>
      </c>
      <c r="GI84" s="4"/>
      <c r="GJ84" s="4">
        <f t="shared" si="428"/>
        <v>2094</v>
      </c>
      <c r="GK84" s="4" t="e">
        <f t="shared" ca="1" si="377"/>
        <v>#NAME?</v>
      </c>
      <c r="GL84" s="4" t="e">
        <f t="shared" ca="1" si="378"/>
        <v>#NAME?</v>
      </c>
      <c r="GM84" s="4" t="e">
        <f t="shared" ca="1" si="379"/>
        <v>#NAME?</v>
      </c>
      <c r="GN84" s="4" t="e">
        <f t="shared" ca="1" si="380"/>
        <v>#NAME?</v>
      </c>
      <c r="GO84" s="4"/>
      <c r="GP84" s="3" t="e">
        <f t="shared" ca="1" si="424"/>
        <v>#NAME?</v>
      </c>
      <c r="GQ84" s="3" t="e">
        <f t="shared" ca="1" si="381"/>
        <v>#NAME?</v>
      </c>
      <c r="GR84" s="3" t="e">
        <f t="shared" ca="1" si="382"/>
        <v>#NAME?</v>
      </c>
      <c r="GS84" s="3" t="e">
        <f t="shared" ca="1" si="383"/>
        <v>#NAME?</v>
      </c>
      <c r="GT84" s="3" t="e">
        <f t="array" aca="1" ref="GT84" ca="1">SUM(GP84:GS84*$GU$6:$GX$6)</f>
        <v>#NAME?</v>
      </c>
      <c r="GU84" s="3" t="e">
        <f t="shared" ca="1" si="429"/>
        <v>#NAME?</v>
      </c>
      <c r="GV84" s="3" t="e">
        <f t="shared" ca="1" si="430"/>
        <v>#NAME?</v>
      </c>
      <c r="GW84" s="3" t="e">
        <f t="shared" ca="1" si="431"/>
        <v>#NAME?</v>
      </c>
      <c r="GX84" s="3" t="e">
        <f t="shared" ca="1" si="432"/>
        <v>#NAME?</v>
      </c>
      <c r="GY84" s="11"/>
      <c r="HJ84">
        <f t="shared" si="433"/>
        <v>2087</v>
      </c>
      <c r="HK84" s="28">
        <f t="shared" si="437"/>
        <v>91090</v>
      </c>
      <c r="HL84" s="27">
        <f t="shared" si="435"/>
        <v>22500</v>
      </c>
      <c r="HM84" s="28">
        <f t="shared" si="436"/>
        <v>22437.521630179745</v>
      </c>
    </row>
    <row r="85" spans="1:236" x14ac:dyDescent="0.25">
      <c r="A85" s="15" t="s">
        <v>60</v>
      </c>
      <c r="D85">
        <f t="shared" si="384"/>
        <v>2095</v>
      </c>
      <c r="E85">
        <f t="shared" si="385"/>
        <v>100</v>
      </c>
      <c r="F85" s="9"/>
      <c r="G85" s="9"/>
      <c r="H85" s="8"/>
      <c r="I85" s="8"/>
      <c r="J85" s="92"/>
      <c r="K85" s="91"/>
      <c r="L85" s="91"/>
      <c r="N85" s="93">
        <f t="shared" si="386"/>
        <v>0.05</v>
      </c>
      <c r="O85" s="23">
        <f t="shared" si="387"/>
        <v>0.4</v>
      </c>
      <c r="P85" s="23">
        <f t="shared" si="388"/>
        <v>0.1</v>
      </c>
      <c r="Q85" s="4">
        <f t="shared" si="283"/>
        <v>0</v>
      </c>
      <c r="R85" s="4">
        <f t="shared" si="389"/>
        <v>0</v>
      </c>
      <c r="S85" s="4">
        <f t="shared" si="390"/>
        <v>0</v>
      </c>
      <c r="T85" s="4">
        <f t="shared" ca="1" si="391"/>
        <v>0</v>
      </c>
      <c r="V85" s="18" t="e">
        <f t="shared" ca="1" si="284"/>
        <v>#NAME?</v>
      </c>
      <c r="W85" s="18" t="e">
        <f t="shared" ca="1" si="285"/>
        <v>#NAME?</v>
      </c>
      <c r="X85" s="18">
        <f t="shared" si="286"/>
        <v>0</v>
      </c>
      <c r="Y85" s="18" t="e">
        <f t="shared" ca="1" si="287"/>
        <v>#NAME?</v>
      </c>
      <c r="Z85" s="18" t="e">
        <f t="shared" ca="1" si="288"/>
        <v>#NAME?</v>
      </c>
      <c r="AA85" s="18" t="e">
        <f t="shared" ca="1" si="289"/>
        <v>#NAME?</v>
      </c>
      <c r="AB85" s="18" t="e">
        <f t="shared" ca="1" si="290"/>
        <v>#NAME?</v>
      </c>
      <c r="AC85" s="18" t="e">
        <f t="shared" ca="1" si="291"/>
        <v>#NAME?</v>
      </c>
      <c r="AD85" s="18" t="e">
        <f t="shared" ca="1" si="292"/>
        <v>#NAME?</v>
      </c>
      <c r="AE85" s="18" t="e">
        <f t="shared" ca="1" si="293"/>
        <v>#NAME?</v>
      </c>
      <c r="AF85" s="18" t="e">
        <f t="shared" ca="1" si="294"/>
        <v>#NAME?</v>
      </c>
      <c r="AG85" s="18" t="e">
        <f t="shared" ca="1" si="295"/>
        <v>#NAME?</v>
      </c>
      <c r="AI85">
        <f>Person2!E85</f>
        <v>100</v>
      </c>
      <c r="AJ85">
        <f>Person2!AZ85</f>
        <v>3</v>
      </c>
      <c r="AK85">
        <f>IF($AZ85&lt;&gt;3,Person2!FM85,0)</f>
        <v>0</v>
      </c>
      <c r="AL85" s="4">
        <f>IF($AZ85&lt;&gt;3,Person2!FN85+Person2!FT85,0)</f>
        <v>0</v>
      </c>
      <c r="AM85">
        <f>IF($AZ85&lt;&gt;3,Person2!FO85,0)</f>
        <v>0</v>
      </c>
      <c r="AN85">
        <f>IF($AZ85&lt;&gt;3,Person2!FP85,0)</f>
        <v>0</v>
      </c>
      <c r="AO85">
        <f>IF($AZ85&lt;&gt;3,Person2!FQ85,0)</f>
        <v>0</v>
      </c>
      <c r="AP85">
        <f>IF($AZ85&lt;&gt;3,Person2!FR85,0)</f>
        <v>0</v>
      </c>
      <c r="AQ85">
        <v>0</v>
      </c>
      <c r="AR85" s="4">
        <f>Person2!FS85</f>
        <v>0</v>
      </c>
      <c r="AS85" s="4">
        <v>0</v>
      </c>
      <c r="AT85" s="4">
        <v>0</v>
      </c>
      <c r="AV85">
        <f t="shared" si="270"/>
        <v>2095</v>
      </c>
      <c r="AW85">
        <f t="shared" si="271"/>
        <v>100</v>
      </c>
      <c r="AX85">
        <f t="shared" si="392"/>
        <v>4.6861199116651235</v>
      </c>
      <c r="AY85">
        <f t="shared" si="393"/>
        <v>0.21339616118458843</v>
      </c>
      <c r="AZ85">
        <f t="shared" si="394"/>
        <v>3</v>
      </c>
      <c r="BB85" s="4">
        <f t="shared" si="296"/>
        <v>0</v>
      </c>
      <c r="BC85">
        <f t="shared" si="297"/>
        <v>0</v>
      </c>
      <c r="BD85" s="4">
        <f t="shared" si="298"/>
        <v>0</v>
      </c>
      <c r="BE85" s="4">
        <f t="shared" si="395"/>
        <v>0</v>
      </c>
      <c r="BF85" s="4">
        <f t="shared" si="396"/>
        <v>0</v>
      </c>
      <c r="BG85" s="4">
        <f t="shared" si="397"/>
        <v>0</v>
      </c>
      <c r="BH85" s="4">
        <f t="shared" si="299"/>
        <v>0</v>
      </c>
      <c r="BI85" s="4">
        <f t="shared" si="398"/>
        <v>0</v>
      </c>
      <c r="BJ85" s="4"/>
      <c r="BK85" s="4">
        <f t="shared" si="300"/>
        <v>0</v>
      </c>
      <c r="BL85" s="4">
        <f t="shared" si="399"/>
        <v>0</v>
      </c>
      <c r="BM85" s="4">
        <f t="shared" si="400"/>
        <v>0</v>
      </c>
      <c r="BN85" s="4">
        <v>0</v>
      </c>
      <c r="BO85" s="4">
        <f t="shared" si="401"/>
        <v>0</v>
      </c>
      <c r="BP85" s="4">
        <f t="shared" si="402"/>
        <v>0</v>
      </c>
      <c r="BQ85" s="4"/>
      <c r="BR85" s="4">
        <v>0</v>
      </c>
      <c r="BS85" s="4" t="e">
        <f t="shared" ca="1" si="301"/>
        <v>#NAME?</v>
      </c>
      <c r="BT85" s="4">
        <f t="shared" si="302"/>
        <v>0</v>
      </c>
      <c r="BU85" s="4">
        <f t="shared" si="303"/>
        <v>0</v>
      </c>
      <c r="BV85" s="4">
        <f t="shared" si="304"/>
        <v>0</v>
      </c>
      <c r="BW85" s="4" t="e">
        <f t="shared" ca="1" si="305"/>
        <v>#NAME?</v>
      </c>
      <c r="BX85" s="4" t="e">
        <f t="shared" ca="1" si="306"/>
        <v>#NAME?</v>
      </c>
      <c r="BY85" s="4" t="e">
        <f t="shared" ca="1" si="307"/>
        <v>#NAME?</v>
      </c>
      <c r="BZ85" s="4" t="e">
        <f t="shared" ca="1" si="308"/>
        <v>#NAME?</v>
      </c>
      <c r="CA85" s="4" t="e">
        <f t="shared" ca="1" si="309"/>
        <v>#NAME?</v>
      </c>
      <c r="CB85" s="4" t="e">
        <f t="shared" ca="1" si="434"/>
        <v>#NAME?</v>
      </c>
      <c r="CC85" s="4"/>
      <c r="CD85" s="4" t="e">
        <f t="shared" ca="1" si="310"/>
        <v>#NAME?</v>
      </c>
      <c r="CE85" s="4">
        <f t="shared" si="403"/>
        <v>0</v>
      </c>
      <c r="CF85" s="16">
        <f t="shared" si="311"/>
        <v>1</v>
      </c>
      <c r="CG85" s="4">
        <f t="shared" si="404"/>
        <v>0</v>
      </c>
      <c r="CH85" s="4" t="e">
        <f t="shared" ca="1" si="312"/>
        <v>#NAME?</v>
      </c>
      <c r="CI85" s="4" t="e">
        <f t="shared" ca="1" si="313"/>
        <v>#NAME?</v>
      </c>
      <c r="CJ85" s="4" t="e">
        <f t="shared" ca="1" si="405"/>
        <v>#NAME?</v>
      </c>
      <c r="CK85" s="4" t="e">
        <f t="shared" ca="1" si="314"/>
        <v>#NAME?</v>
      </c>
      <c r="CL85" s="4" t="e">
        <f t="shared" ca="1" si="315"/>
        <v>#NAME?</v>
      </c>
      <c r="CM85" s="16"/>
      <c r="CN85" s="4">
        <f t="shared" si="316"/>
        <v>0</v>
      </c>
      <c r="CO85" s="4">
        <f t="shared" si="317"/>
        <v>0</v>
      </c>
      <c r="CP85" s="4" t="e">
        <f t="shared" ca="1" si="425"/>
        <v>#NAME?</v>
      </c>
      <c r="CQ85" s="4"/>
      <c r="CR85" s="4" t="e">
        <f t="shared" ca="1" si="318"/>
        <v>#NAME?</v>
      </c>
      <c r="CS85" s="4">
        <f t="shared" ca="1" si="319"/>
        <v>106720</v>
      </c>
      <c r="CT85" s="4">
        <f t="shared" ca="1" si="320"/>
        <v>0</v>
      </c>
      <c r="CU85" s="4"/>
      <c r="CV85" s="4" t="e">
        <f t="shared" ca="1" si="406"/>
        <v>#NAME?</v>
      </c>
      <c r="CW85" s="4">
        <f t="shared" ca="1" si="321"/>
        <v>0</v>
      </c>
      <c r="CX85" s="4">
        <f t="shared" si="322"/>
        <v>0</v>
      </c>
      <c r="CY85" s="4" t="e">
        <f t="shared" ca="1" si="407"/>
        <v>#NAME?</v>
      </c>
      <c r="CZ85" s="4"/>
      <c r="DA85" s="4" t="e">
        <f t="shared" ca="1" si="323"/>
        <v>#NAME?</v>
      </c>
      <c r="DB85" s="4">
        <f t="shared" si="324"/>
        <v>0</v>
      </c>
      <c r="DC85" s="4">
        <f t="shared" si="408"/>
        <v>0</v>
      </c>
      <c r="DD85" s="4">
        <f t="shared" si="325"/>
        <v>0</v>
      </c>
      <c r="DE85" s="4" t="e">
        <f t="shared" ca="1" si="326"/>
        <v>#NAME?</v>
      </c>
      <c r="DF85" s="4" t="e">
        <f t="shared" ca="1" si="409"/>
        <v>#NAME?</v>
      </c>
      <c r="DG85" s="4" t="e">
        <f t="shared" ca="1" si="410"/>
        <v>#NAME?</v>
      </c>
      <c r="DH85" s="4">
        <f t="shared" si="327"/>
        <v>0</v>
      </c>
      <c r="DI85" s="4"/>
      <c r="DJ85" s="4" t="e">
        <f t="shared" ca="1" si="328"/>
        <v>#NAME?</v>
      </c>
      <c r="DK85" s="4">
        <f t="shared" ca="1" si="329"/>
        <v>26500</v>
      </c>
      <c r="DL85" s="4">
        <f t="shared" ca="1" si="330"/>
        <v>26500</v>
      </c>
      <c r="DM85" s="4">
        <f t="shared" si="331"/>
        <v>0</v>
      </c>
      <c r="DN85" s="4" t="e">
        <f t="shared" ca="1" si="332"/>
        <v>#NAME?</v>
      </c>
      <c r="DO85" s="4" t="e">
        <f t="shared" ca="1" si="333"/>
        <v>#NAME?</v>
      </c>
      <c r="DP85" s="4"/>
      <c r="DQ85" s="4" t="e">
        <f t="shared" ca="1" si="334"/>
        <v>#NAME?</v>
      </c>
      <c r="DR85" s="4"/>
      <c r="DS85" s="4">
        <f t="shared" si="411"/>
        <v>0</v>
      </c>
      <c r="DT85" s="4">
        <f t="shared" si="282"/>
        <v>0</v>
      </c>
      <c r="DU85" s="4">
        <f t="shared" si="335"/>
        <v>0</v>
      </c>
      <c r="DV85" s="4"/>
      <c r="DW85" s="4" t="e">
        <f t="shared" ca="1" si="412"/>
        <v>#NAME?</v>
      </c>
      <c r="DX85" s="4" t="e">
        <f t="shared" ca="1" si="336"/>
        <v>#NAME?</v>
      </c>
      <c r="DY85" s="4">
        <f t="shared" si="413"/>
        <v>0</v>
      </c>
      <c r="DZ85" s="4" t="e">
        <f t="shared" ca="1" si="337"/>
        <v>#NAME?</v>
      </c>
      <c r="EA85" s="4" t="e">
        <f t="shared" ca="1" si="338"/>
        <v>#NAME?</v>
      </c>
      <c r="EB85" s="4" t="e">
        <f t="shared" ca="1" si="339"/>
        <v>#NAME?</v>
      </c>
      <c r="EC85" s="4">
        <f t="shared" si="340"/>
        <v>2</v>
      </c>
      <c r="ED85" s="4"/>
      <c r="EE85" s="4" t="e">
        <f t="shared" ca="1" si="414"/>
        <v>#NAME?</v>
      </c>
      <c r="EF85" s="4">
        <f t="shared" si="341"/>
        <v>0</v>
      </c>
      <c r="EG85" s="4">
        <f t="shared" si="415"/>
        <v>0</v>
      </c>
      <c r="EH85" s="4" t="e">
        <f t="shared" ca="1" si="342"/>
        <v>#NAME?</v>
      </c>
      <c r="EI85" s="4" t="e">
        <f t="shared" ca="1" si="343"/>
        <v>#NAME?</v>
      </c>
      <c r="EJ85" s="4" t="e">
        <f t="shared" ca="1" si="344"/>
        <v>#NAME?</v>
      </c>
      <c r="EK85" s="4">
        <f t="shared" si="345"/>
        <v>2</v>
      </c>
      <c r="EL85" s="4">
        <f t="shared" si="346"/>
        <v>0</v>
      </c>
      <c r="EM85" s="4"/>
      <c r="EN85" s="4" t="e">
        <f t="shared" ca="1" si="416"/>
        <v>#NAME?</v>
      </c>
      <c r="EO85" s="4" t="e">
        <f t="shared" ca="1" si="347"/>
        <v>#NAME?</v>
      </c>
      <c r="EP85" s="4">
        <f t="shared" si="417"/>
        <v>0</v>
      </c>
      <c r="EQ85" s="4" t="e">
        <f t="shared" ca="1" si="348"/>
        <v>#NAME?</v>
      </c>
      <c r="ER85" s="4">
        <v>0</v>
      </c>
      <c r="ES85" s="4" t="e">
        <f t="shared" ca="1" si="426"/>
        <v>#NAME?</v>
      </c>
      <c r="ET85" s="4"/>
      <c r="EU85" s="4" t="e">
        <f t="shared" ca="1" si="418"/>
        <v>#NAME?</v>
      </c>
      <c r="EV85" s="4" t="e">
        <f t="shared" ca="1" si="349"/>
        <v>#NAME?</v>
      </c>
      <c r="EW85" s="4">
        <f t="shared" si="419"/>
        <v>0</v>
      </c>
      <c r="EX85" s="4" t="e">
        <f t="shared" ca="1" si="350"/>
        <v>#NAME?</v>
      </c>
      <c r="EY85" s="4">
        <v>0</v>
      </c>
      <c r="EZ85" s="4" t="e">
        <f t="shared" ca="1" si="427"/>
        <v>#NAME?</v>
      </c>
      <c r="FA85" s="4" t="e">
        <f t="shared" ca="1" si="420"/>
        <v>#NAME?</v>
      </c>
      <c r="FB85" s="1" t="e">
        <f t="shared" ca="1" si="351"/>
        <v>#NAME?</v>
      </c>
      <c r="FC85" s="4">
        <f t="shared" si="421"/>
        <v>0</v>
      </c>
      <c r="FD85" s="4">
        <f t="shared" si="422"/>
        <v>0</v>
      </c>
      <c r="FE85" s="4">
        <f t="shared" si="352"/>
        <v>0</v>
      </c>
      <c r="FF85" s="4">
        <f t="shared" si="353"/>
        <v>0</v>
      </c>
      <c r="FG85" s="4">
        <f t="shared" ca="1" si="354"/>
        <v>0</v>
      </c>
      <c r="FH85" s="17" t="e">
        <f t="shared" ca="1" si="355"/>
        <v>#NAME?</v>
      </c>
      <c r="FI85" s="4" t="e">
        <f t="shared" ca="1" si="356"/>
        <v>#NAME?</v>
      </c>
      <c r="FJ85" s="4"/>
      <c r="FK85" s="4" t="e">
        <f t="shared" ca="1" si="357"/>
        <v>#NAME?</v>
      </c>
      <c r="FL85" s="4"/>
      <c r="FM85" s="4">
        <v>0</v>
      </c>
      <c r="FN85" s="4">
        <f t="shared" si="358"/>
        <v>0</v>
      </c>
      <c r="FO85" s="4">
        <f t="shared" si="359"/>
        <v>0</v>
      </c>
      <c r="FP85" s="4">
        <f t="shared" si="360"/>
        <v>0</v>
      </c>
      <c r="FQ85" s="4">
        <f t="shared" si="361"/>
        <v>0</v>
      </c>
      <c r="FR85" s="4">
        <f t="shared" si="362"/>
        <v>0</v>
      </c>
      <c r="FS85" s="4">
        <f t="shared" si="363"/>
        <v>0</v>
      </c>
      <c r="FT85" s="4">
        <f t="shared" si="364"/>
        <v>0</v>
      </c>
      <c r="FU85" s="4"/>
      <c r="FV85" s="3">
        <f t="shared" si="365"/>
        <v>0</v>
      </c>
      <c r="FW85" s="3">
        <f t="shared" si="366"/>
        <v>0</v>
      </c>
      <c r="FX85" s="4">
        <f t="shared" si="423"/>
        <v>2095</v>
      </c>
      <c r="FY85" s="18">
        <f t="shared" si="367"/>
        <v>0</v>
      </c>
      <c r="FZ85" s="18">
        <f t="shared" si="368"/>
        <v>0</v>
      </c>
      <c r="GA85" s="18">
        <f t="shared" si="369"/>
        <v>0</v>
      </c>
      <c r="GB85" s="18">
        <f t="shared" si="370"/>
        <v>0</v>
      </c>
      <c r="GC85" s="18" t="e">
        <f t="shared" ca="1" si="371"/>
        <v>#NAME?</v>
      </c>
      <c r="GD85" s="18" t="e">
        <f t="shared" ca="1" si="372"/>
        <v>#NAME?</v>
      </c>
      <c r="GE85" s="18" t="e">
        <f t="shared" ca="1" si="373"/>
        <v>#NAME?</v>
      </c>
      <c r="GF85" s="18" t="e">
        <f t="shared" ca="1" si="374"/>
        <v>#NAME?</v>
      </c>
      <c r="GG85" s="18" t="e">
        <f t="shared" ca="1" si="375"/>
        <v>#NAME?</v>
      </c>
      <c r="GH85" s="18" t="e">
        <f t="shared" ca="1" si="376"/>
        <v>#NAME?</v>
      </c>
      <c r="GI85" s="4"/>
      <c r="GJ85" s="4">
        <f t="shared" si="428"/>
        <v>2095</v>
      </c>
      <c r="GK85" s="4" t="e">
        <f t="shared" ca="1" si="377"/>
        <v>#NAME?</v>
      </c>
      <c r="GL85" s="4" t="e">
        <f t="shared" ca="1" si="378"/>
        <v>#NAME?</v>
      </c>
      <c r="GM85" s="4" t="e">
        <f t="shared" ca="1" si="379"/>
        <v>#NAME?</v>
      </c>
      <c r="GN85" s="4" t="e">
        <f t="shared" ca="1" si="380"/>
        <v>#NAME?</v>
      </c>
      <c r="GO85" s="4"/>
      <c r="GP85" s="3" t="e">
        <f t="shared" ca="1" si="424"/>
        <v>#NAME?</v>
      </c>
      <c r="GQ85" s="3" t="e">
        <f t="shared" ca="1" si="381"/>
        <v>#NAME?</v>
      </c>
      <c r="GR85" s="3" t="e">
        <f t="shared" ca="1" si="382"/>
        <v>#NAME?</v>
      </c>
      <c r="GS85" s="3" t="e">
        <f t="shared" ca="1" si="383"/>
        <v>#NAME?</v>
      </c>
      <c r="GT85" s="3" t="e">
        <f t="array" aca="1" ref="GT85" ca="1">SUM(GP85:GS85*$GU$6:$GX$6)</f>
        <v>#NAME?</v>
      </c>
      <c r="GU85" s="3" t="e">
        <f t="shared" ca="1" si="429"/>
        <v>#NAME?</v>
      </c>
      <c r="GV85" s="3" t="e">
        <f t="shared" ca="1" si="430"/>
        <v>#NAME?</v>
      </c>
      <c r="GW85" s="3" t="e">
        <f t="shared" ca="1" si="431"/>
        <v>#NAME?</v>
      </c>
      <c r="GX85" s="3" t="e">
        <f t="shared" ca="1" si="432"/>
        <v>#NAME?</v>
      </c>
      <c r="GY85" s="11"/>
      <c r="HJ85">
        <f t="shared" si="433"/>
        <v>2088</v>
      </c>
      <c r="HK85" s="28">
        <f t="shared" si="437"/>
        <v>92910</v>
      </c>
      <c r="HL85" s="27">
        <f t="shared" si="435"/>
        <v>23000</v>
      </c>
      <c r="HM85" s="28">
        <f t="shared" si="436"/>
        <v>22886.272062783341</v>
      </c>
      <c r="HO85" s="15" t="s">
        <v>700</v>
      </c>
    </row>
    <row r="86" spans="1:236" x14ac:dyDescent="0.25">
      <c r="A86" t="s">
        <v>8</v>
      </c>
      <c r="B86" s="62">
        <f>Inputs_Summary!AJ83</f>
        <v>0</v>
      </c>
      <c r="D86">
        <f t="shared" si="384"/>
        <v>2096</v>
      </c>
      <c r="E86">
        <f t="shared" si="385"/>
        <v>101</v>
      </c>
      <c r="F86" s="8"/>
      <c r="G86" s="8"/>
      <c r="H86" s="8"/>
      <c r="I86" s="8"/>
      <c r="J86" s="92"/>
      <c r="K86" s="91"/>
      <c r="L86" s="91"/>
      <c r="N86" s="93">
        <f t="shared" si="386"/>
        <v>0.05</v>
      </c>
      <c r="O86" s="23">
        <f t="shared" si="387"/>
        <v>0.4</v>
      </c>
      <c r="P86" s="23">
        <f t="shared" si="388"/>
        <v>0.1</v>
      </c>
      <c r="Q86" s="4">
        <f t="shared" si="283"/>
        <v>0</v>
      </c>
      <c r="R86" s="4">
        <f t="shared" si="389"/>
        <v>0</v>
      </c>
      <c r="S86" s="4">
        <f t="shared" si="390"/>
        <v>0</v>
      </c>
      <c r="T86" s="4">
        <f t="shared" ca="1" si="391"/>
        <v>0</v>
      </c>
      <c r="V86" s="18" t="e">
        <f t="shared" ca="1" si="284"/>
        <v>#NAME?</v>
      </c>
      <c r="W86" s="18" t="e">
        <f t="shared" ca="1" si="285"/>
        <v>#NAME?</v>
      </c>
      <c r="X86" s="18">
        <f t="shared" si="286"/>
        <v>0</v>
      </c>
      <c r="Y86" s="18" t="e">
        <f t="shared" ca="1" si="287"/>
        <v>#NAME?</v>
      </c>
      <c r="Z86" s="18" t="e">
        <f t="shared" ca="1" si="288"/>
        <v>#NAME?</v>
      </c>
      <c r="AA86" s="18" t="e">
        <f t="shared" ca="1" si="289"/>
        <v>#NAME?</v>
      </c>
      <c r="AB86" s="18" t="e">
        <f t="shared" ca="1" si="290"/>
        <v>#NAME?</v>
      </c>
      <c r="AC86" s="18" t="e">
        <f t="shared" ca="1" si="291"/>
        <v>#NAME?</v>
      </c>
      <c r="AD86" s="18" t="e">
        <f t="shared" ca="1" si="292"/>
        <v>#NAME?</v>
      </c>
      <c r="AE86" s="18" t="e">
        <f t="shared" ca="1" si="293"/>
        <v>#NAME?</v>
      </c>
      <c r="AF86" s="18" t="e">
        <f t="shared" ca="1" si="294"/>
        <v>#NAME?</v>
      </c>
      <c r="AG86" s="18" t="e">
        <f t="shared" ca="1" si="295"/>
        <v>#NAME?</v>
      </c>
      <c r="AI86">
        <f>Person2!E86</f>
        <v>101</v>
      </c>
      <c r="AJ86">
        <f>Person2!AZ86</f>
        <v>3</v>
      </c>
      <c r="AK86">
        <f>IF($AZ86&lt;&gt;3,Person2!FM86,0)</f>
        <v>0</v>
      </c>
      <c r="AL86" s="4">
        <f>IF($AZ86&lt;&gt;3,Person2!FN86+Person2!FT86,0)</f>
        <v>0</v>
      </c>
      <c r="AM86">
        <f>IF($AZ86&lt;&gt;3,Person2!FO86,0)</f>
        <v>0</v>
      </c>
      <c r="AN86">
        <f>IF($AZ86&lt;&gt;3,Person2!FP86,0)</f>
        <v>0</v>
      </c>
      <c r="AO86">
        <f>IF($AZ86&lt;&gt;3,Person2!FQ86,0)</f>
        <v>0</v>
      </c>
      <c r="AP86">
        <f>IF($AZ86&lt;&gt;3,Person2!FR86,0)</f>
        <v>0</v>
      </c>
      <c r="AQ86">
        <v>0</v>
      </c>
      <c r="AR86" s="4">
        <f>Person2!FS86</f>
        <v>0</v>
      </c>
      <c r="AS86" s="4">
        <v>0</v>
      </c>
      <c r="AT86" s="4">
        <v>0</v>
      </c>
      <c r="AV86">
        <f t="shared" si="270"/>
        <v>2096</v>
      </c>
      <c r="AW86">
        <f t="shared" si="271"/>
        <v>101</v>
      </c>
      <c r="AX86">
        <f t="shared" si="392"/>
        <v>4.7798423098984264</v>
      </c>
      <c r="AY86">
        <f t="shared" si="393"/>
        <v>0.20921192272998865</v>
      </c>
      <c r="AZ86">
        <f t="shared" si="394"/>
        <v>3</v>
      </c>
      <c r="BB86" s="4">
        <f t="shared" si="296"/>
        <v>0</v>
      </c>
      <c r="BC86">
        <f t="shared" si="297"/>
        <v>0</v>
      </c>
      <c r="BD86" s="4">
        <f t="shared" si="298"/>
        <v>0</v>
      </c>
      <c r="BE86" s="4">
        <f t="shared" si="395"/>
        <v>0</v>
      </c>
      <c r="BF86" s="4">
        <f t="shared" si="396"/>
        <v>0</v>
      </c>
      <c r="BG86" s="4">
        <f t="shared" si="397"/>
        <v>0</v>
      </c>
      <c r="BH86" s="4">
        <f t="shared" si="299"/>
        <v>0</v>
      </c>
      <c r="BI86" s="4">
        <f t="shared" si="398"/>
        <v>0</v>
      </c>
      <c r="BJ86" s="4"/>
      <c r="BK86" s="4">
        <f t="shared" si="300"/>
        <v>0</v>
      </c>
      <c r="BL86" s="4">
        <f t="shared" si="399"/>
        <v>0</v>
      </c>
      <c r="BM86" s="4">
        <f t="shared" si="400"/>
        <v>0</v>
      </c>
      <c r="BN86" s="4">
        <v>0</v>
      </c>
      <c r="BO86" s="4">
        <f t="shared" si="401"/>
        <v>0</v>
      </c>
      <c r="BP86" s="4">
        <f t="shared" si="402"/>
        <v>0</v>
      </c>
      <c r="BQ86" s="4"/>
      <c r="BR86" s="4">
        <v>0</v>
      </c>
      <c r="BS86" s="4" t="e">
        <f t="shared" ca="1" si="301"/>
        <v>#NAME?</v>
      </c>
      <c r="BT86" s="4">
        <f t="shared" si="302"/>
        <v>0</v>
      </c>
      <c r="BU86" s="4">
        <f t="shared" si="303"/>
        <v>0</v>
      </c>
      <c r="BV86" s="4">
        <f t="shared" si="304"/>
        <v>0</v>
      </c>
      <c r="BW86" s="4" t="e">
        <f t="shared" ca="1" si="305"/>
        <v>#NAME?</v>
      </c>
      <c r="BX86" s="4" t="e">
        <f t="shared" ca="1" si="306"/>
        <v>#NAME?</v>
      </c>
      <c r="BY86" s="4" t="e">
        <f t="shared" ca="1" si="307"/>
        <v>#NAME?</v>
      </c>
      <c r="BZ86" s="4" t="e">
        <f t="shared" ca="1" si="308"/>
        <v>#NAME?</v>
      </c>
      <c r="CA86" s="4" t="e">
        <f t="shared" ca="1" si="309"/>
        <v>#NAME?</v>
      </c>
      <c r="CB86" s="4" t="e">
        <f t="shared" ca="1" si="434"/>
        <v>#NAME?</v>
      </c>
      <c r="CC86" s="4"/>
      <c r="CD86" s="4" t="e">
        <f t="shared" ca="1" si="310"/>
        <v>#NAME?</v>
      </c>
      <c r="CE86" s="4">
        <f t="shared" si="403"/>
        <v>0</v>
      </c>
      <c r="CF86" s="16">
        <f t="shared" si="311"/>
        <v>1</v>
      </c>
      <c r="CG86" s="4">
        <f t="shared" si="404"/>
        <v>0</v>
      </c>
      <c r="CH86" s="4" t="e">
        <f t="shared" ca="1" si="312"/>
        <v>#NAME?</v>
      </c>
      <c r="CI86" s="4" t="e">
        <f t="shared" ca="1" si="313"/>
        <v>#NAME?</v>
      </c>
      <c r="CJ86" s="4" t="e">
        <f t="shared" ca="1" si="405"/>
        <v>#NAME?</v>
      </c>
      <c r="CK86" s="4" t="e">
        <f t="shared" ca="1" si="314"/>
        <v>#NAME?</v>
      </c>
      <c r="CL86" s="4" t="e">
        <f t="shared" ca="1" si="315"/>
        <v>#NAME?</v>
      </c>
      <c r="CM86" s="16"/>
      <c r="CN86" s="4">
        <f t="shared" si="316"/>
        <v>0</v>
      </c>
      <c r="CO86" s="4">
        <f t="shared" si="317"/>
        <v>0</v>
      </c>
      <c r="CP86" s="4" t="e">
        <f t="shared" ca="1" si="425"/>
        <v>#NAME?</v>
      </c>
      <c r="CQ86" s="4"/>
      <c r="CR86" s="4" t="e">
        <f t="shared" ca="1" si="318"/>
        <v>#NAME?</v>
      </c>
      <c r="CS86" s="4">
        <f t="shared" ca="1" si="319"/>
        <v>108860</v>
      </c>
      <c r="CT86" s="4">
        <f t="shared" ca="1" si="320"/>
        <v>0</v>
      </c>
      <c r="CU86" s="4"/>
      <c r="CV86" s="4" t="e">
        <f t="shared" ca="1" si="406"/>
        <v>#NAME?</v>
      </c>
      <c r="CW86" s="4">
        <f t="shared" ca="1" si="321"/>
        <v>0</v>
      </c>
      <c r="CX86" s="4">
        <f t="shared" si="322"/>
        <v>0</v>
      </c>
      <c r="CY86" s="4" t="e">
        <f t="shared" ca="1" si="407"/>
        <v>#NAME?</v>
      </c>
      <c r="CZ86" s="4"/>
      <c r="DA86" s="4" t="e">
        <f t="shared" ca="1" si="323"/>
        <v>#NAME?</v>
      </c>
      <c r="DB86" s="4">
        <f t="shared" si="324"/>
        <v>0</v>
      </c>
      <c r="DC86" s="4">
        <f t="shared" si="408"/>
        <v>0</v>
      </c>
      <c r="DD86" s="4">
        <f t="shared" si="325"/>
        <v>0</v>
      </c>
      <c r="DE86" s="4" t="e">
        <f t="shared" ca="1" si="326"/>
        <v>#NAME?</v>
      </c>
      <c r="DF86" s="4" t="e">
        <f t="shared" ca="1" si="409"/>
        <v>#NAME?</v>
      </c>
      <c r="DG86" s="4" t="e">
        <f t="shared" ca="1" si="410"/>
        <v>#NAME?</v>
      </c>
      <c r="DH86" s="4">
        <f t="shared" si="327"/>
        <v>0</v>
      </c>
      <c r="DI86" s="4"/>
      <c r="DJ86" s="4" t="e">
        <f t="shared" ca="1" si="328"/>
        <v>#NAME?</v>
      </c>
      <c r="DK86" s="4">
        <f t="shared" ca="1" si="329"/>
        <v>27000</v>
      </c>
      <c r="DL86" s="4">
        <f t="shared" ca="1" si="330"/>
        <v>27000</v>
      </c>
      <c r="DM86" s="4">
        <f t="shared" si="331"/>
        <v>0</v>
      </c>
      <c r="DN86" s="4" t="e">
        <f t="shared" ca="1" si="332"/>
        <v>#NAME?</v>
      </c>
      <c r="DO86" s="4" t="e">
        <f t="shared" ca="1" si="333"/>
        <v>#NAME?</v>
      </c>
      <c r="DP86" s="4"/>
      <c r="DQ86" s="4" t="e">
        <f t="shared" ca="1" si="334"/>
        <v>#NAME?</v>
      </c>
      <c r="DR86" s="4"/>
      <c r="DS86" s="4">
        <f t="shared" si="411"/>
        <v>0</v>
      </c>
      <c r="DT86" s="4">
        <f t="shared" si="282"/>
        <v>0</v>
      </c>
      <c r="DU86" s="4">
        <f t="shared" si="335"/>
        <v>0</v>
      </c>
      <c r="DV86" s="4"/>
      <c r="DW86" s="4" t="e">
        <f t="shared" ca="1" si="412"/>
        <v>#NAME?</v>
      </c>
      <c r="DX86" s="4" t="e">
        <f t="shared" ca="1" si="336"/>
        <v>#NAME?</v>
      </c>
      <c r="DY86" s="4">
        <f t="shared" si="413"/>
        <v>0</v>
      </c>
      <c r="DZ86" s="4" t="e">
        <f t="shared" ca="1" si="337"/>
        <v>#NAME?</v>
      </c>
      <c r="EA86" s="4" t="e">
        <f t="shared" ca="1" si="338"/>
        <v>#NAME?</v>
      </c>
      <c r="EB86" s="4" t="e">
        <f t="shared" ca="1" si="339"/>
        <v>#NAME?</v>
      </c>
      <c r="EC86" s="4">
        <f t="shared" si="340"/>
        <v>2</v>
      </c>
      <c r="ED86" s="4"/>
      <c r="EE86" s="4" t="e">
        <f t="shared" ca="1" si="414"/>
        <v>#NAME?</v>
      </c>
      <c r="EF86" s="4">
        <f t="shared" si="341"/>
        <v>0</v>
      </c>
      <c r="EG86" s="4">
        <f t="shared" si="415"/>
        <v>0</v>
      </c>
      <c r="EH86" s="4" t="e">
        <f t="shared" ca="1" si="342"/>
        <v>#NAME?</v>
      </c>
      <c r="EI86" s="4" t="e">
        <f t="shared" ca="1" si="343"/>
        <v>#NAME?</v>
      </c>
      <c r="EJ86" s="4" t="e">
        <f t="shared" ca="1" si="344"/>
        <v>#NAME?</v>
      </c>
      <c r="EK86" s="4">
        <f t="shared" si="345"/>
        <v>2</v>
      </c>
      <c r="EL86" s="4">
        <f t="shared" si="346"/>
        <v>0</v>
      </c>
      <c r="EM86" s="4"/>
      <c r="EN86" s="4" t="e">
        <f t="shared" ca="1" si="416"/>
        <v>#NAME?</v>
      </c>
      <c r="EO86" s="4" t="e">
        <f t="shared" ca="1" si="347"/>
        <v>#NAME?</v>
      </c>
      <c r="EP86" s="4">
        <f t="shared" si="417"/>
        <v>0</v>
      </c>
      <c r="EQ86" s="4" t="e">
        <f t="shared" ca="1" si="348"/>
        <v>#NAME?</v>
      </c>
      <c r="ER86" s="4">
        <v>0</v>
      </c>
      <c r="ES86" s="4" t="e">
        <f t="shared" ca="1" si="426"/>
        <v>#NAME?</v>
      </c>
      <c r="ET86" s="4"/>
      <c r="EU86" s="4" t="e">
        <f t="shared" ca="1" si="418"/>
        <v>#NAME?</v>
      </c>
      <c r="EV86" s="4" t="e">
        <f t="shared" ca="1" si="349"/>
        <v>#NAME?</v>
      </c>
      <c r="EW86" s="4">
        <f t="shared" si="419"/>
        <v>0</v>
      </c>
      <c r="EX86" s="4" t="e">
        <f t="shared" ca="1" si="350"/>
        <v>#NAME?</v>
      </c>
      <c r="EY86" s="4">
        <v>0</v>
      </c>
      <c r="EZ86" s="4" t="e">
        <f t="shared" ca="1" si="427"/>
        <v>#NAME?</v>
      </c>
      <c r="FA86" s="4" t="e">
        <f t="shared" ca="1" si="420"/>
        <v>#NAME?</v>
      </c>
      <c r="FB86" s="1" t="e">
        <f t="shared" ca="1" si="351"/>
        <v>#NAME?</v>
      </c>
      <c r="FC86" s="4">
        <f t="shared" si="421"/>
        <v>0</v>
      </c>
      <c r="FD86" s="4">
        <f t="shared" si="422"/>
        <v>0</v>
      </c>
      <c r="FE86" s="4">
        <f t="shared" si="352"/>
        <v>0</v>
      </c>
      <c r="FF86" s="4">
        <f t="shared" si="353"/>
        <v>0</v>
      </c>
      <c r="FG86" s="4">
        <f t="shared" ca="1" si="354"/>
        <v>0</v>
      </c>
      <c r="FH86" s="17" t="e">
        <f t="shared" ca="1" si="355"/>
        <v>#NAME?</v>
      </c>
      <c r="FI86" s="4" t="e">
        <f t="shared" ca="1" si="356"/>
        <v>#NAME?</v>
      </c>
      <c r="FJ86" s="4"/>
      <c r="FK86" s="4" t="e">
        <f t="shared" ca="1" si="357"/>
        <v>#NAME?</v>
      </c>
      <c r="FL86" s="4"/>
      <c r="FM86" s="4">
        <v>0</v>
      </c>
      <c r="FN86" s="4">
        <f t="shared" si="358"/>
        <v>0</v>
      </c>
      <c r="FO86" s="4">
        <f t="shared" si="359"/>
        <v>0</v>
      </c>
      <c r="FP86" s="4">
        <f t="shared" si="360"/>
        <v>0</v>
      </c>
      <c r="FQ86" s="4">
        <f t="shared" si="361"/>
        <v>0</v>
      </c>
      <c r="FR86" s="4">
        <f t="shared" si="362"/>
        <v>0</v>
      </c>
      <c r="FS86" s="4">
        <f t="shared" si="363"/>
        <v>0</v>
      </c>
      <c r="FT86" s="4">
        <f t="shared" si="364"/>
        <v>0</v>
      </c>
      <c r="FU86" s="4"/>
      <c r="FV86" s="3">
        <f t="shared" si="365"/>
        <v>0</v>
      </c>
      <c r="FW86" s="3">
        <f t="shared" si="366"/>
        <v>0</v>
      </c>
      <c r="FX86" s="4">
        <f t="shared" si="423"/>
        <v>2096</v>
      </c>
      <c r="FY86" s="18">
        <f t="shared" si="367"/>
        <v>0</v>
      </c>
      <c r="FZ86" s="18">
        <f t="shared" si="368"/>
        <v>0</v>
      </c>
      <c r="GA86" s="18">
        <f t="shared" si="369"/>
        <v>0</v>
      </c>
      <c r="GB86" s="18">
        <f t="shared" si="370"/>
        <v>0</v>
      </c>
      <c r="GC86" s="18" t="e">
        <f t="shared" ca="1" si="371"/>
        <v>#NAME?</v>
      </c>
      <c r="GD86" s="18" t="e">
        <f t="shared" ca="1" si="372"/>
        <v>#NAME?</v>
      </c>
      <c r="GE86" s="18" t="e">
        <f t="shared" ca="1" si="373"/>
        <v>#NAME?</v>
      </c>
      <c r="GF86" s="18" t="e">
        <f t="shared" ca="1" si="374"/>
        <v>#NAME?</v>
      </c>
      <c r="GG86" s="18" t="e">
        <f t="shared" ca="1" si="375"/>
        <v>#NAME?</v>
      </c>
      <c r="GH86" s="18" t="e">
        <f t="shared" ca="1" si="376"/>
        <v>#NAME?</v>
      </c>
      <c r="GI86" s="4"/>
      <c r="GJ86" s="4">
        <f t="shared" si="428"/>
        <v>2096</v>
      </c>
      <c r="GK86" s="4" t="e">
        <f t="shared" ca="1" si="377"/>
        <v>#NAME?</v>
      </c>
      <c r="GL86" s="4" t="e">
        <f t="shared" ca="1" si="378"/>
        <v>#NAME?</v>
      </c>
      <c r="GM86" s="4" t="e">
        <f t="shared" ca="1" si="379"/>
        <v>#NAME?</v>
      </c>
      <c r="GN86" s="4" t="e">
        <f t="shared" ca="1" si="380"/>
        <v>#NAME?</v>
      </c>
      <c r="GO86" s="4"/>
      <c r="GP86" s="3" t="e">
        <f t="shared" ca="1" si="424"/>
        <v>#NAME?</v>
      </c>
      <c r="GQ86" s="3" t="e">
        <f t="shared" ca="1" si="381"/>
        <v>#NAME?</v>
      </c>
      <c r="GR86" s="3" t="e">
        <f t="shared" ca="1" si="382"/>
        <v>#NAME?</v>
      </c>
      <c r="GS86" s="3" t="e">
        <f t="shared" ca="1" si="383"/>
        <v>#NAME?</v>
      </c>
      <c r="GT86" s="3" t="e">
        <f t="array" aca="1" ref="GT86" ca="1">SUM(GP86:GS86*$GU$6:$GX$6)</f>
        <v>#NAME?</v>
      </c>
      <c r="GU86" s="3" t="e">
        <f t="shared" ca="1" si="429"/>
        <v>#NAME?</v>
      </c>
      <c r="GV86" s="3" t="e">
        <f t="shared" ca="1" si="430"/>
        <v>#NAME?</v>
      </c>
      <c r="GW86" s="3" t="e">
        <f t="shared" ca="1" si="431"/>
        <v>#NAME?</v>
      </c>
      <c r="GX86" s="3" t="e">
        <f t="shared" ca="1" si="432"/>
        <v>#NAME?</v>
      </c>
      <c r="GY86" s="11"/>
      <c r="HJ86">
        <f t="shared" si="433"/>
        <v>2089</v>
      </c>
      <c r="HK86" s="28">
        <f t="shared" si="437"/>
        <v>94770</v>
      </c>
      <c r="HL86" s="27">
        <f t="shared" si="435"/>
        <v>23500</v>
      </c>
      <c r="HM86" s="28">
        <f t="shared" si="436"/>
        <v>23343.997504039009</v>
      </c>
      <c r="HZ86" s="16">
        <f ca="1">ROUND(HQ13+HQ24,4)</f>
        <v>0.48</v>
      </c>
    </row>
    <row r="87" spans="1:236" x14ac:dyDescent="0.25">
      <c r="A87" t="s">
        <v>61</v>
      </c>
      <c r="B87" s="62">
        <f>Inputs_Summary!AJ84</f>
        <v>0</v>
      </c>
      <c r="BB87" s="4"/>
      <c r="BC87" s="4"/>
      <c r="BD87" s="4"/>
      <c r="BE87" s="4"/>
      <c r="BF87" s="4"/>
      <c r="BG87" s="4"/>
      <c r="BH87" s="4"/>
      <c r="BI87" s="4"/>
      <c r="BJ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c r="EY87" s="4"/>
      <c r="EZ87" s="4"/>
      <c r="FA87" s="4"/>
      <c r="FB87" s="1"/>
      <c r="FC87" s="1"/>
      <c r="FD87" s="1"/>
      <c r="FE87" s="4"/>
      <c r="FF87" s="4"/>
      <c r="FG87" s="4"/>
      <c r="FH87" s="1"/>
      <c r="FI87" s="4"/>
      <c r="FJ87" s="4"/>
      <c r="FK87" s="4"/>
      <c r="FL87" s="4"/>
      <c r="FM87" s="4"/>
      <c r="FN87" s="4"/>
      <c r="FO87" s="4"/>
      <c r="FP87" s="4"/>
      <c r="FQ87" s="4"/>
      <c r="FR87" s="4"/>
      <c r="FS87" s="4"/>
      <c r="FT87" s="4"/>
      <c r="FU87" s="4"/>
      <c r="FV87" s="4"/>
      <c r="FW87" s="4"/>
      <c r="FX87" s="4"/>
      <c r="FY87" s="4"/>
      <c r="FZ87" s="4"/>
      <c r="GA87" s="4"/>
      <c r="GB87" s="4"/>
      <c r="GC87" s="4"/>
      <c r="GD87" s="4"/>
      <c r="GE87" s="4"/>
      <c r="GF87" s="4"/>
      <c r="GG87" s="4"/>
      <c r="GH87" s="4"/>
      <c r="GI87" s="4"/>
      <c r="GJ87" s="4"/>
      <c r="GK87" s="4"/>
      <c r="GL87" s="4"/>
      <c r="GM87" s="4"/>
      <c r="GN87" s="4"/>
      <c r="GO87" s="4"/>
      <c r="GP87" s="3"/>
      <c r="GQ87" s="3"/>
      <c r="GR87" s="3"/>
      <c r="GS87" s="3"/>
      <c r="GT87" s="3"/>
      <c r="GU87" s="3"/>
      <c r="GV87" s="3"/>
      <c r="GW87" s="3"/>
      <c r="GX87" s="3"/>
      <c r="GY87" s="11"/>
      <c r="HJ87">
        <f t="shared" si="433"/>
        <v>2090</v>
      </c>
      <c r="HK87" s="28">
        <f t="shared" si="437"/>
        <v>96660</v>
      </c>
      <c r="HL87" s="27">
        <f t="shared" si="435"/>
        <v>24000</v>
      </c>
      <c r="HM87" s="28">
        <f t="shared" si="436"/>
        <v>23810.877454119789</v>
      </c>
      <c r="HO87" s="2" t="s">
        <v>680</v>
      </c>
      <c r="HP87" s="2" t="s">
        <v>40</v>
      </c>
      <c r="HQ87" s="2"/>
      <c r="HR87" s="2"/>
      <c r="HS87" s="2"/>
      <c r="HT87" s="2"/>
      <c r="HU87" s="2"/>
      <c r="HV87" s="2"/>
      <c r="HW87" s="2"/>
      <c r="HY87" s="2" t="s">
        <v>40</v>
      </c>
      <c r="HZ87" s="2"/>
      <c r="IA87" s="2"/>
      <c r="IB87" s="2"/>
    </row>
    <row r="88" spans="1:236" x14ac:dyDescent="0.25">
      <c r="A88" t="s">
        <v>29</v>
      </c>
      <c r="B88" s="62">
        <f>Inputs_Summary!AJ85</f>
        <v>0</v>
      </c>
      <c r="BB88" s="4"/>
      <c r="BC88" s="4"/>
      <c r="BD88" s="4"/>
      <c r="BE88" s="4"/>
      <c r="BF88" s="4"/>
      <c r="BG88" s="4"/>
      <c r="BH88" s="4"/>
      <c r="BI88" s="4"/>
      <c r="BJ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1"/>
      <c r="FC88" s="1"/>
      <c r="FD88" s="1"/>
      <c r="FE88" s="4"/>
      <c r="FF88" s="4"/>
      <c r="FG88" s="4"/>
      <c r="FH88" s="1"/>
      <c r="FI88" s="4"/>
      <c r="FJ88" s="4"/>
      <c r="FK88" s="4"/>
      <c r="FL88" s="4"/>
      <c r="FM88" s="4"/>
      <c r="FN88" s="4"/>
      <c r="FO88" s="4"/>
      <c r="FP88" s="4"/>
      <c r="FQ88" s="4"/>
      <c r="FR88" s="4"/>
      <c r="FS88" s="4"/>
      <c r="FT88" s="4"/>
      <c r="FU88" s="4"/>
      <c r="FV88" s="4"/>
      <c r="FW88" s="4"/>
      <c r="FX88" s="4"/>
      <c r="FY88" s="4"/>
      <c r="FZ88" s="4"/>
      <c r="GA88" s="4"/>
      <c r="GB88" s="4"/>
      <c r="GC88" s="4"/>
      <c r="GD88" s="4"/>
      <c r="GE88" s="4"/>
      <c r="GF88" s="4"/>
      <c r="GG88" s="4"/>
      <c r="GH88" s="4"/>
      <c r="GI88" s="4"/>
      <c r="GJ88" s="4"/>
      <c r="GK88" s="4"/>
      <c r="GL88" s="4"/>
      <c r="GM88" s="4"/>
      <c r="GN88" s="4"/>
      <c r="GO88" s="4"/>
      <c r="GP88" s="3"/>
      <c r="GQ88" s="3"/>
      <c r="GR88" s="3"/>
      <c r="GS88" s="3"/>
      <c r="GT88" s="3"/>
      <c r="GU88" s="3"/>
      <c r="GV88" s="3"/>
      <c r="GW88" s="3"/>
      <c r="GX88" s="3"/>
      <c r="GY88" s="11"/>
      <c r="HJ88">
        <f t="shared" si="433"/>
        <v>2091</v>
      </c>
      <c r="HK88" s="28">
        <f t="shared" si="437"/>
        <v>98600</v>
      </c>
      <c r="HL88" s="27">
        <f t="shared" si="435"/>
        <v>24500</v>
      </c>
      <c r="HM88" s="28">
        <f t="shared" si="436"/>
        <v>24287.095003202186</v>
      </c>
      <c r="HO88" s="2" t="s">
        <v>679</v>
      </c>
      <c r="HP88" s="2" t="s">
        <v>4</v>
      </c>
      <c r="HQ88" s="2" t="s">
        <v>681</v>
      </c>
      <c r="HR88" s="2" t="s">
        <v>682</v>
      </c>
      <c r="HS88" s="2" t="s">
        <v>681</v>
      </c>
      <c r="HT88" s="2" t="s">
        <v>682</v>
      </c>
      <c r="HU88" s="2" t="s">
        <v>3</v>
      </c>
      <c r="HV88" s="2" t="s">
        <v>677</v>
      </c>
      <c r="HW88" s="2" t="s">
        <v>676</v>
      </c>
      <c r="HX88" s="2" t="s">
        <v>678</v>
      </c>
      <c r="HY88" s="2" t="s">
        <v>4</v>
      </c>
      <c r="HZ88" s="2" t="s">
        <v>3</v>
      </c>
      <c r="IA88" s="2" t="s">
        <v>685</v>
      </c>
      <c r="IB88" t="s">
        <v>684</v>
      </c>
    </row>
    <row r="89" spans="1:236" x14ac:dyDescent="0.25">
      <c r="A89" t="s">
        <v>39</v>
      </c>
      <c r="B89" s="62">
        <f>Inputs_Summary!AJ86</f>
        <v>0</v>
      </c>
      <c r="BB89" s="4"/>
      <c r="BC89" s="4"/>
      <c r="BD89" s="4"/>
      <c r="BE89" s="4"/>
      <c r="BF89" s="4"/>
      <c r="BG89" s="4"/>
      <c r="BH89" s="4"/>
      <c r="BI89" s="4"/>
      <c r="BJ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c r="EH89" s="4"/>
      <c r="EI89" s="4"/>
      <c r="EJ89" s="4"/>
      <c r="EK89" s="4"/>
      <c r="EL89" s="4"/>
      <c r="EM89" s="4"/>
      <c r="EN89" s="4"/>
      <c r="EO89" s="4"/>
      <c r="EP89" s="4"/>
      <c r="EQ89" s="4"/>
      <c r="ER89" s="4"/>
      <c r="ES89" s="4"/>
      <c r="ET89" s="4"/>
      <c r="EU89" s="4"/>
      <c r="EV89" s="4"/>
      <c r="EW89" s="4"/>
      <c r="EX89" s="4"/>
      <c r="EY89" s="4"/>
      <c r="EZ89" s="4"/>
      <c r="FA89" s="4"/>
      <c r="FB89" s="1"/>
      <c r="FC89" s="1"/>
      <c r="FD89" s="1"/>
      <c r="FE89" s="4"/>
      <c r="FF89" s="4"/>
      <c r="FG89" s="4"/>
      <c r="FH89" s="1"/>
      <c r="FI89" s="4"/>
      <c r="FJ89" s="4"/>
      <c r="FK89" s="4"/>
      <c r="FL89" s="4"/>
      <c r="FM89" s="4"/>
      <c r="FN89" s="4"/>
      <c r="FO89" s="4"/>
      <c r="FP89" s="4"/>
      <c r="FQ89" s="4"/>
      <c r="FR89" s="4"/>
      <c r="FS89" s="4"/>
      <c r="FT89" s="4"/>
      <c r="FU89" s="4"/>
      <c r="FV89" s="4"/>
      <c r="FW89" s="4"/>
      <c r="FX89" s="4"/>
      <c r="FY89" s="4"/>
      <c r="FZ89" s="4"/>
      <c r="GA89" s="4"/>
      <c r="GB89" s="4"/>
      <c r="GC89" s="4"/>
      <c r="GD89" s="4"/>
      <c r="GE89" s="4"/>
      <c r="GF89" s="4"/>
      <c r="GG89" s="4"/>
      <c r="GH89" s="4"/>
      <c r="GI89" s="4"/>
      <c r="GJ89" s="4"/>
      <c r="GK89" s="4"/>
      <c r="GL89" s="4"/>
      <c r="GM89" s="4"/>
      <c r="GN89" s="4"/>
      <c r="GO89" s="4"/>
      <c r="GP89" s="3"/>
      <c r="GQ89" s="3"/>
      <c r="GR89" s="3"/>
      <c r="GS89" s="3"/>
      <c r="GT89" s="3"/>
      <c r="GU89" s="3"/>
      <c r="GV89" s="3"/>
      <c r="GW89" s="3"/>
      <c r="GX89" s="3"/>
      <c r="GY89" s="11"/>
      <c r="HJ89">
        <f t="shared" si="433"/>
        <v>2092</v>
      </c>
      <c r="HK89" s="28">
        <f t="shared" si="437"/>
        <v>100570</v>
      </c>
      <c r="HL89" s="27">
        <f t="shared" si="435"/>
        <v>25000</v>
      </c>
      <c r="HM89" s="28">
        <f t="shared" si="436"/>
        <v>24772.83690326623</v>
      </c>
      <c r="HU89" t="s">
        <v>683</v>
      </c>
      <c r="HV89" s="21" t="s">
        <v>109</v>
      </c>
      <c r="HW89" s="21" t="s">
        <v>109</v>
      </c>
      <c r="HX89" s="21" t="s">
        <v>109</v>
      </c>
      <c r="HY89" s="21" t="s">
        <v>109</v>
      </c>
      <c r="HZ89" s="21" t="s">
        <v>109</v>
      </c>
      <c r="IA89" s="21" t="s">
        <v>109</v>
      </c>
      <c r="IB89" s="21" t="s">
        <v>109</v>
      </c>
    </row>
    <row r="90" spans="1:236" x14ac:dyDescent="0.25">
      <c r="A90" t="s">
        <v>62</v>
      </c>
      <c r="B90" s="62">
        <f>Inputs_Summary!AJ87</f>
        <v>0</v>
      </c>
      <c r="BB90" s="4"/>
      <c r="BC90" s="4"/>
      <c r="BD90" s="4"/>
      <c r="BE90" s="4"/>
      <c r="BF90" s="4"/>
      <c r="BG90" s="4"/>
      <c r="BH90" s="4"/>
      <c r="BI90" s="4"/>
      <c r="BJ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c r="EY90" s="4"/>
      <c r="EZ90" s="4"/>
      <c r="FA90" s="4"/>
      <c r="FB90" s="1"/>
      <c r="FC90" s="1"/>
      <c r="FD90" s="1"/>
      <c r="FE90" s="4"/>
      <c r="FF90" s="4"/>
      <c r="FG90" s="4"/>
      <c r="FH90" s="1"/>
      <c r="FI90" s="4"/>
      <c r="FJ90" s="4"/>
      <c r="FK90" s="4"/>
      <c r="FL90" s="4"/>
      <c r="FM90" s="4"/>
      <c r="FN90" s="4"/>
      <c r="FO90" s="4"/>
      <c r="FP90" s="4"/>
      <c r="FQ90" s="4"/>
      <c r="FR90" s="4"/>
      <c r="FS90" s="4"/>
      <c r="FT90" s="4"/>
      <c r="FU90" s="4"/>
      <c r="FV90" s="4"/>
      <c r="FW90" s="4"/>
      <c r="FX90" s="4"/>
      <c r="FY90" s="4"/>
      <c r="FZ90" s="4"/>
      <c r="GA90" s="4"/>
      <c r="GB90" s="4"/>
      <c r="GC90" s="4"/>
      <c r="GD90" s="4"/>
      <c r="GE90" s="4"/>
      <c r="GF90" s="4"/>
      <c r="GG90" s="4"/>
      <c r="GH90" s="4"/>
      <c r="GI90" s="4"/>
      <c r="GJ90" s="4"/>
      <c r="GK90" s="4"/>
      <c r="GL90" s="4"/>
      <c r="GM90" s="4"/>
      <c r="GN90" s="4"/>
      <c r="GO90" s="4"/>
      <c r="GP90" s="3"/>
      <c r="GQ90" s="3"/>
      <c r="GR90" s="3"/>
      <c r="GS90" s="3"/>
      <c r="GT90" s="3"/>
      <c r="GU90" s="3"/>
      <c r="GV90" s="3"/>
      <c r="GW90" s="3"/>
      <c r="GX90" s="3"/>
      <c r="GY90" s="11"/>
      <c r="HJ90">
        <f t="shared" si="433"/>
        <v>2093</v>
      </c>
      <c r="HK90" s="28">
        <f t="shared" si="437"/>
        <v>102580</v>
      </c>
      <c r="HL90" s="27">
        <f t="shared" si="435"/>
        <v>25500</v>
      </c>
      <c r="HM90" s="28">
        <f t="shared" si="436"/>
        <v>25268.293641331555</v>
      </c>
      <c r="HO90" s="28">
        <v>1</v>
      </c>
      <c r="HP90" s="4">
        <f t="shared" ref="HP90:HP95" si="438">HP8</f>
        <v>45916</v>
      </c>
      <c r="HQ90">
        <f>MATCH(HP90,$HP$7:$HP$13,1)</f>
        <v>2</v>
      </c>
      <c r="HR90">
        <f ca="1">MATCH(HP90,$HP$18:$HP$24,1)</f>
        <v>1</v>
      </c>
      <c r="HS90">
        <f t="shared" ref="HS90:HS101" ca="1" si="439">IF(HP90=OFFSET($HP$7,HQ90-1,0),OFFSET($HQ$7,HQ90-1,0),OFFSET($HQ$7,HQ90,0))</f>
        <v>0.15</v>
      </c>
      <c r="HT90">
        <f ca="1">IF(HP90=OFFSET($HP$18,HR90-1,0),OFFSET($HQ$18,HR90-1,0),OFFSET($HQ$18,HR90,0))</f>
        <v>0.1</v>
      </c>
      <c r="HU90" s="101">
        <f ca="1">HS90+HT90+HP90/1000000000000+HO90/1000000000</f>
        <v>0.25000004691600003</v>
      </c>
      <c r="HV90">
        <f t="shared" ref="HV90:HV101" ca="1" si="440">RANK(HU90,$HU$90:$HU$101,1)</f>
        <v>1</v>
      </c>
      <c r="HW90">
        <v>1</v>
      </c>
      <c r="HX90">
        <f t="shared" ref="HX90:HX101" ca="1" si="441">MATCH(HW90,$HV$90:$HV$101,0)</f>
        <v>1</v>
      </c>
      <c r="HY90">
        <f t="shared" ref="HY90:HY101" ca="1" si="442">OFFSET($HP$90,$HX90-1,0)</f>
        <v>45916</v>
      </c>
      <c r="HZ90" s="16">
        <f t="shared" ref="HZ90:HZ101" ca="1" si="443">ROUND(OFFSET($HU$90,$HX90-1,0),4)</f>
        <v>0.25</v>
      </c>
      <c r="IA90">
        <f t="shared" ref="IA90:IA101" ca="1" si="444">IF(OR(HZ90=HZ89,HZ90=$HZ$86),0,1)</f>
        <v>1</v>
      </c>
      <c r="IB90" t="str">
        <f ca="1">IF(IA90=1,TEXT(HY90,"0")&amp;" ("&amp;TEXT(HZ90*100,"0.0")&amp;"%)","")</f>
        <v>45916 (25.0%)</v>
      </c>
    </row>
    <row r="91" spans="1:236" x14ac:dyDescent="0.25">
      <c r="BB91" s="4"/>
      <c r="BC91" s="4"/>
      <c r="BD91" s="4"/>
      <c r="BE91" s="4"/>
      <c r="BF91" s="4"/>
      <c r="BG91" s="4"/>
      <c r="BH91" s="4"/>
      <c r="BI91" s="4"/>
      <c r="BJ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c r="DW91" s="4"/>
      <c r="DX91" s="4"/>
      <c r="DY91" s="4"/>
      <c r="DZ91" s="4"/>
      <c r="EA91" s="4"/>
      <c r="EB91" s="4"/>
      <c r="EC91" s="4"/>
      <c r="ED91" s="4"/>
      <c r="EE91" s="4"/>
      <c r="EF91" s="4"/>
      <c r="EG91" s="4"/>
      <c r="EH91" s="4"/>
      <c r="EI91" s="4"/>
      <c r="EJ91" s="4"/>
      <c r="EK91" s="4"/>
      <c r="EL91" s="4"/>
      <c r="EM91" s="4"/>
      <c r="EN91" s="4"/>
      <c r="EO91" s="4"/>
      <c r="EP91" s="4"/>
      <c r="EQ91" s="4"/>
      <c r="ER91" s="4"/>
      <c r="ES91" s="4"/>
      <c r="ET91" s="4"/>
      <c r="EU91" s="4"/>
      <c r="EV91" s="4"/>
      <c r="EW91" s="4"/>
      <c r="EX91" s="4"/>
      <c r="EY91" s="4"/>
      <c r="EZ91" s="4"/>
      <c r="FA91" s="4"/>
      <c r="FB91" s="1"/>
      <c r="FC91" s="1"/>
      <c r="FD91" s="1"/>
      <c r="FE91" s="4"/>
      <c r="FF91" s="4"/>
      <c r="FG91" s="4"/>
      <c r="FH91" s="1"/>
      <c r="FI91" s="4"/>
      <c r="FJ91" s="4"/>
      <c r="FK91" s="4"/>
      <c r="FL91" s="4"/>
      <c r="FM91" s="4"/>
      <c r="FN91" s="4"/>
      <c r="FO91" s="4"/>
      <c r="FP91" s="4"/>
      <c r="FQ91" s="4"/>
      <c r="FR91" s="4"/>
      <c r="FS91" s="4"/>
      <c r="FT91" s="4"/>
      <c r="FU91" s="4"/>
      <c r="FV91" s="4"/>
      <c r="FW91" s="4"/>
      <c r="FX91" s="4"/>
      <c r="FY91" s="4"/>
      <c r="FZ91" s="4"/>
      <c r="GA91" s="4"/>
      <c r="GB91" s="4"/>
      <c r="GC91" s="4"/>
      <c r="GD91" s="4"/>
      <c r="GE91" s="4"/>
      <c r="GF91" s="4"/>
      <c r="GG91" s="4"/>
      <c r="GH91" s="4"/>
      <c r="GI91" s="4"/>
      <c r="GJ91" s="4"/>
      <c r="GK91" s="4"/>
      <c r="GL91" s="4"/>
      <c r="GM91" s="4"/>
      <c r="GN91" s="4"/>
      <c r="GO91" s="4"/>
      <c r="GP91" s="3"/>
      <c r="GQ91" s="3"/>
      <c r="GR91" s="3"/>
      <c r="GS91" s="3"/>
      <c r="GT91" s="3"/>
      <c r="GU91" s="3"/>
      <c r="GV91" s="3"/>
      <c r="GW91" s="3"/>
      <c r="GX91" s="3"/>
      <c r="GY91" s="11"/>
      <c r="HJ91">
        <f t="shared" si="433"/>
        <v>2094</v>
      </c>
      <c r="HK91" s="28">
        <f t="shared" si="437"/>
        <v>104630</v>
      </c>
      <c r="HL91" s="27">
        <f t="shared" si="435"/>
        <v>26000</v>
      </c>
      <c r="HM91" s="28">
        <f t="shared" si="436"/>
        <v>25773.659514158186</v>
      </c>
      <c r="HO91">
        <f>HO90+1</f>
        <v>2</v>
      </c>
      <c r="HP91" s="4">
        <f t="shared" si="438"/>
        <v>91831</v>
      </c>
      <c r="HQ91">
        <f t="shared" ref="HQ91:HQ101" si="445">MATCH(HP91,$HP$7:$HP$13,1)</f>
        <v>3</v>
      </c>
      <c r="HR91">
        <f t="shared" ref="HR91:HR101" ca="1" si="446">MATCH(HP91,$HP$18:$HP$24,1)</f>
        <v>1</v>
      </c>
      <c r="HS91">
        <f t="shared" ca="1" si="439"/>
        <v>0.20499999999999999</v>
      </c>
      <c r="HT91">
        <f t="shared" ref="HT91:HT101" ca="1" si="447">IF(HP91=OFFSET($HP$18,HR91-1,0),OFFSET($HQ$18,HR91-1,0),OFFSET($HQ$18,HR91,0))</f>
        <v>0.1</v>
      </c>
      <c r="HU91" s="101">
        <f t="shared" ref="HU91:HU101" ca="1" si="448">HS91+HT91+HP91/1000000000000+HO91/1000000000</f>
        <v>0.30500009383100002</v>
      </c>
      <c r="HV91">
        <f t="shared" ca="1" si="440"/>
        <v>2</v>
      </c>
      <c r="HW91">
        <v>2</v>
      </c>
      <c r="HX91">
        <f t="shared" ca="1" si="441"/>
        <v>2</v>
      </c>
      <c r="HY91">
        <f t="shared" ca="1" si="442"/>
        <v>91831</v>
      </c>
      <c r="HZ91" s="16">
        <f t="shared" ca="1" si="443"/>
        <v>0.30499999999999999</v>
      </c>
      <c r="IA91">
        <f t="shared" ca="1" si="444"/>
        <v>1</v>
      </c>
      <c r="IB91" t="str">
        <f t="shared" ref="IB91:IB101" ca="1" si="449">IF(IA91=1,TEXT(HY91,"0")&amp;" ("&amp;TEXT(HZ91*100,"0.0")&amp;"%)","")</f>
        <v>91831 (30.5%)</v>
      </c>
    </row>
    <row r="92" spans="1:236" x14ac:dyDescent="0.25">
      <c r="BB92" s="4"/>
      <c r="BC92" s="4"/>
      <c r="BD92" s="4"/>
      <c r="BE92" s="4"/>
      <c r="BF92" s="4"/>
      <c r="BG92" s="4"/>
      <c r="BH92" s="4"/>
      <c r="BI92" s="4"/>
      <c r="BJ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c r="DW92" s="4"/>
      <c r="DX92" s="4"/>
      <c r="DY92" s="4"/>
      <c r="DZ92" s="4"/>
      <c r="EA92" s="4"/>
      <c r="EB92" s="4"/>
      <c r="EC92" s="4"/>
      <c r="ED92" s="4"/>
      <c r="EE92" s="4"/>
      <c r="EF92" s="4"/>
      <c r="EG92" s="4"/>
      <c r="EH92" s="4"/>
      <c r="EI92" s="4"/>
      <c r="EJ92" s="4"/>
      <c r="EK92" s="4"/>
      <c r="EL92" s="4"/>
      <c r="EM92" s="4"/>
      <c r="EN92" s="4"/>
      <c r="EO92" s="4"/>
      <c r="EP92" s="4"/>
      <c r="EQ92" s="4"/>
      <c r="ER92" s="4"/>
      <c r="ES92" s="4"/>
      <c r="ET92" s="4"/>
      <c r="EU92" s="4"/>
      <c r="EV92" s="4"/>
      <c r="EW92" s="4"/>
      <c r="EX92" s="4"/>
      <c r="EY92" s="4"/>
      <c r="EZ92" s="4"/>
      <c r="FA92" s="4"/>
      <c r="FB92" s="1"/>
      <c r="FC92" s="1"/>
      <c r="FD92" s="1"/>
      <c r="FE92" s="4"/>
      <c r="FF92" s="4"/>
      <c r="FG92" s="4"/>
      <c r="FH92" s="1"/>
      <c r="FI92" s="4"/>
      <c r="FJ92" s="4"/>
      <c r="FK92" s="4"/>
      <c r="FL92" s="4"/>
      <c r="FM92" s="4"/>
      <c r="FN92" s="4"/>
      <c r="FO92" s="4"/>
      <c r="FP92" s="4"/>
      <c r="FQ92" s="4"/>
      <c r="FR92" s="4"/>
      <c r="FS92" s="4"/>
      <c r="FT92" s="4"/>
      <c r="FU92" s="4"/>
      <c r="FV92" s="4"/>
      <c r="FW92" s="4"/>
      <c r="FX92" s="4"/>
      <c r="FY92" s="4"/>
      <c r="FZ92" s="4"/>
      <c r="GA92" s="4"/>
      <c r="GB92" s="4"/>
      <c r="GC92" s="4"/>
      <c r="GD92" s="4"/>
      <c r="GE92" s="4"/>
      <c r="GF92" s="4"/>
      <c r="GG92" s="4"/>
      <c r="GH92" s="4"/>
      <c r="GI92" s="4"/>
      <c r="GJ92" s="4"/>
      <c r="GK92" s="4"/>
      <c r="GL92" s="4"/>
      <c r="GM92" s="4"/>
      <c r="GN92" s="4"/>
      <c r="GO92" s="4"/>
      <c r="GP92" s="3"/>
      <c r="GQ92" s="3"/>
      <c r="GR92" s="3"/>
      <c r="GS92" s="3"/>
      <c r="GT92" s="3"/>
      <c r="GU92" s="3"/>
      <c r="GV92" s="3"/>
      <c r="GW92" s="3"/>
      <c r="GX92" s="3"/>
      <c r="GY92" s="11"/>
      <c r="HJ92">
        <f t="shared" si="433"/>
        <v>2095</v>
      </c>
      <c r="HK92" s="28">
        <f t="shared" si="437"/>
        <v>106720</v>
      </c>
      <c r="HL92" s="27">
        <f t="shared" si="435"/>
        <v>26500</v>
      </c>
      <c r="HM92" s="28">
        <f t="shared" si="436"/>
        <v>26289.132704441348</v>
      </c>
      <c r="HO92">
        <f>HO91+1</f>
        <v>3</v>
      </c>
      <c r="HP92" s="4">
        <f t="shared" si="438"/>
        <v>142363</v>
      </c>
      <c r="HQ92">
        <f t="shared" si="445"/>
        <v>4</v>
      </c>
      <c r="HR92">
        <f t="shared" ca="1" si="446"/>
        <v>2</v>
      </c>
      <c r="HS92">
        <f t="shared" ca="1" si="439"/>
        <v>0.26</v>
      </c>
      <c r="HT92">
        <f t="shared" ca="1" si="447"/>
        <v>0.12</v>
      </c>
      <c r="HU92" s="101">
        <f t="shared" ca="1" si="448"/>
        <v>0.38000014536300003</v>
      </c>
      <c r="HV92">
        <f t="shared" ca="1" si="440"/>
        <v>4</v>
      </c>
      <c r="HW92">
        <v>3</v>
      </c>
      <c r="HX92">
        <f t="shared" ca="1" si="441"/>
        <v>7</v>
      </c>
      <c r="HY92">
        <f t="shared" ca="1" si="442"/>
        <v>126625</v>
      </c>
      <c r="HZ92" s="16">
        <f t="shared" ca="1" si="443"/>
        <v>0.36</v>
      </c>
      <c r="IA92">
        <f t="shared" ca="1" si="444"/>
        <v>1</v>
      </c>
      <c r="IB92" t="str">
        <f t="shared" ca="1" si="449"/>
        <v>126625 (36.0%)</v>
      </c>
    </row>
    <row r="93" spans="1:236" x14ac:dyDescent="0.25">
      <c r="GY93" s="11"/>
      <c r="HJ93">
        <f t="shared" si="433"/>
        <v>2096</v>
      </c>
      <c r="HK93" s="28">
        <f t="shared" si="437"/>
        <v>108860</v>
      </c>
      <c r="HL93" s="27">
        <f t="shared" si="435"/>
        <v>27000</v>
      </c>
      <c r="HM93" s="28">
        <f t="shared" si="436"/>
        <v>26814.915358530176</v>
      </c>
      <c r="HO93">
        <f>HO92+1</f>
        <v>4</v>
      </c>
      <c r="HP93" s="4">
        <f t="shared" si="438"/>
        <v>202800</v>
      </c>
      <c r="HQ93">
        <f t="shared" si="445"/>
        <v>5</v>
      </c>
      <c r="HR93">
        <f t="shared" ca="1" si="446"/>
        <v>4</v>
      </c>
      <c r="HS93">
        <f t="shared" ca="1" si="439"/>
        <v>0.28999999999999998</v>
      </c>
      <c r="HT93">
        <f t="shared" ca="1" si="447"/>
        <v>0.14000000000000001</v>
      </c>
      <c r="HU93" s="101">
        <f t="shared" ca="1" si="448"/>
        <v>0.43000020680000001</v>
      </c>
      <c r="HV93">
        <f t="shared" ca="1" si="440"/>
        <v>7</v>
      </c>
      <c r="HW93">
        <v>4</v>
      </c>
      <c r="HX93">
        <f t="shared" ca="1" si="441"/>
        <v>3</v>
      </c>
      <c r="HY93">
        <f t="shared" ca="1" si="442"/>
        <v>142363</v>
      </c>
      <c r="HZ93" s="16">
        <f t="shared" ca="1" si="443"/>
        <v>0.38</v>
      </c>
      <c r="IA93">
        <f t="shared" ca="1" si="444"/>
        <v>1</v>
      </c>
      <c r="IB93" t="str">
        <f t="shared" ca="1" si="449"/>
        <v>142363 (38.0%)</v>
      </c>
    </row>
    <row r="94" spans="1:236" x14ac:dyDescent="0.25">
      <c r="GY94" s="11"/>
      <c r="HJ94">
        <f t="shared" si="433"/>
        <v>2097</v>
      </c>
      <c r="HK94" s="28">
        <f t="shared" si="437"/>
        <v>111040</v>
      </c>
      <c r="HL94" s="27">
        <f t="shared" si="435"/>
        <v>27500</v>
      </c>
      <c r="HM94" s="28">
        <f t="shared" si="436"/>
        <v>27351.21366570078</v>
      </c>
      <c r="HO94">
        <f>HO93+1</f>
        <v>5</v>
      </c>
      <c r="HP94" s="4">
        <f t="shared" si="438"/>
        <v>900000</v>
      </c>
      <c r="HQ94">
        <f t="shared" si="445"/>
        <v>6</v>
      </c>
      <c r="HR94">
        <f t="shared" ca="1" si="446"/>
        <v>6</v>
      </c>
      <c r="HS94">
        <f t="shared" ca="1" si="439"/>
        <v>0.33</v>
      </c>
      <c r="HT94">
        <f t="shared" ca="1" si="447"/>
        <v>0.15</v>
      </c>
      <c r="HU94" s="101">
        <f t="shared" ca="1" si="448"/>
        <v>0.48000090500000003</v>
      </c>
      <c r="HV94">
        <f t="shared" ca="1" si="440"/>
        <v>10</v>
      </c>
      <c r="HW94">
        <v>5</v>
      </c>
      <c r="HX94">
        <f t="shared" ca="1" si="441"/>
        <v>8</v>
      </c>
      <c r="HY94">
        <f t="shared" ca="1" si="442"/>
        <v>151950</v>
      </c>
      <c r="HZ94" s="16">
        <f t="shared" ca="1" si="443"/>
        <v>0.41</v>
      </c>
      <c r="IA94">
        <f t="shared" ca="1" si="444"/>
        <v>1</v>
      </c>
      <c r="IB94" t="str">
        <f t="shared" ca="1" si="449"/>
        <v>151950 (41.0%)</v>
      </c>
    </row>
    <row r="95" spans="1:236" x14ac:dyDescent="0.25">
      <c r="GY95" s="11"/>
      <c r="HJ95">
        <f t="shared" si="433"/>
        <v>2098</v>
      </c>
      <c r="HK95" s="28">
        <f t="shared" si="437"/>
        <v>113260</v>
      </c>
      <c r="HL95" s="27">
        <f t="shared" si="435"/>
        <v>28000</v>
      </c>
      <c r="HM95" s="28">
        <f t="shared" si="436"/>
        <v>27898.237939014794</v>
      </c>
      <c r="HO95">
        <f>HO94+1</f>
        <v>6</v>
      </c>
      <c r="HP95" s="4">
        <f t="shared" si="438"/>
        <v>1000000</v>
      </c>
      <c r="HQ95">
        <f t="shared" si="445"/>
        <v>7</v>
      </c>
      <c r="HR95">
        <f t="shared" ca="1" si="446"/>
        <v>7</v>
      </c>
      <c r="HS95">
        <f t="shared" ca="1" si="439"/>
        <v>0.33</v>
      </c>
      <c r="HT95">
        <f t="shared" ca="1" si="447"/>
        <v>0.15</v>
      </c>
      <c r="HU95" s="101">
        <f t="shared" ca="1" si="448"/>
        <v>0.48000100599999995</v>
      </c>
      <c r="HV95">
        <f t="shared" ca="1" si="440"/>
        <v>11</v>
      </c>
      <c r="HW95">
        <v>6</v>
      </c>
      <c r="HX95">
        <f t="shared" ca="1" si="441"/>
        <v>9</v>
      </c>
      <c r="HY95">
        <f t="shared" ca="1" si="442"/>
        <v>202600</v>
      </c>
      <c r="HZ95" s="16">
        <f t="shared" ca="1" si="443"/>
        <v>0.42</v>
      </c>
      <c r="IA95">
        <f t="shared" ca="1" si="444"/>
        <v>1</v>
      </c>
      <c r="IB95" t="str">
        <f t="shared" ca="1" si="449"/>
        <v>202600 (42.0%)</v>
      </c>
    </row>
    <row r="96" spans="1:236" x14ac:dyDescent="0.25">
      <c r="A96" s="15" t="s">
        <v>284</v>
      </c>
      <c r="GY96" s="11"/>
      <c r="HJ96">
        <f t="shared" si="433"/>
        <v>2099</v>
      </c>
      <c r="HK96" s="28">
        <f t="shared" si="437"/>
        <v>115520</v>
      </c>
      <c r="HL96" s="27">
        <f t="shared" si="435"/>
        <v>28500</v>
      </c>
      <c r="HM96" s="28">
        <f t="shared" si="436"/>
        <v>28456.202697795092</v>
      </c>
      <c r="HO96" s="28">
        <f>ROW(HP18)-ROW(HP7)+1</f>
        <v>12</v>
      </c>
      <c r="HP96" s="4">
        <f t="shared" ref="HP96:HP101" ca="1" si="450">HP19</f>
        <v>126625</v>
      </c>
      <c r="HQ96">
        <f ca="1">MATCH(HP96,$HP$7:$HP$13,1)</f>
        <v>3</v>
      </c>
      <c r="HR96">
        <f t="shared" ca="1" si="446"/>
        <v>2</v>
      </c>
      <c r="HS96">
        <f t="shared" ca="1" si="439"/>
        <v>0.26</v>
      </c>
      <c r="HT96">
        <f t="shared" ca="1" si="447"/>
        <v>0.1</v>
      </c>
      <c r="HU96" s="101">
        <f t="shared" ca="1" si="448"/>
        <v>0.36000013862499997</v>
      </c>
      <c r="HV96">
        <f t="shared" ca="1" si="440"/>
        <v>3</v>
      </c>
      <c r="HW96">
        <v>7</v>
      </c>
      <c r="HX96">
        <f t="shared" ca="1" si="441"/>
        <v>4</v>
      </c>
      <c r="HY96">
        <f t="shared" ca="1" si="442"/>
        <v>202800</v>
      </c>
      <c r="HZ96" s="16">
        <f t="shared" ca="1" si="443"/>
        <v>0.43</v>
      </c>
      <c r="IA96">
        <f t="shared" ca="1" si="444"/>
        <v>1</v>
      </c>
      <c r="IB96" t="str">
        <f t="shared" ca="1" si="449"/>
        <v>202800 (43.0%)</v>
      </c>
    </row>
    <row r="97" spans="1:236" x14ac:dyDescent="0.25">
      <c r="B97" s="2" t="s">
        <v>336</v>
      </c>
      <c r="C97" s="2" t="s">
        <v>337</v>
      </c>
      <c r="GY97" s="11"/>
      <c r="HJ97">
        <f t="shared" si="433"/>
        <v>2100</v>
      </c>
      <c r="HK97" s="28">
        <f t="shared" si="437"/>
        <v>117830</v>
      </c>
      <c r="HL97" s="27">
        <f t="shared" si="435"/>
        <v>29000</v>
      </c>
      <c r="HM97" s="28">
        <f t="shared" si="436"/>
        <v>29025.326751750996</v>
      </c>
      <c r="HO97">
        <f>HO96+1</f>
        <v>13</v>
      </c>
      <c r="HP97" s="4">
        <f t="shared" ca="1" si="450"/>
        <v>151950</v>
      </c>
      <c r="HQ97">
        <f t="shared" ca="1" si="445"/>
        <v>4</v>
      </c>
      <c r="HR97">
        <f t="shared" ca="1" si="446"/>
        <v>3</v>
      </c>
      <c r="HS97">
        <f t="shared" ca="1" si="439"/>
        <v>0.28999999999999998</v>
      </c>
      <c r="HT97">
        <f t="shared" ca="1" si="447"/>
        <v>0.12</v>
      </c>
      <c r="HU97" s="101">
        <f t="shared" ca="1" si="448"/>
        <v>0.41000016495000002</v>
      </c>
      <c r="HV97">
        <f t="shared" ca="1" si="440"/>
        <v>5</v>
      </c>
      <c r="HW97">
        <v>8</v>
      </c>
      <c r="HX97">
        <f t="shared" ca="1" si="441"/>
        <v>10</v>
      </c>
      <c r="HY97">
        <f t="shared" ca="1" si="442"/>
        <v>303900</v>
      </c>
      <c r="HZ97" s="16">
        <f t="shared" ca="1" si="443"/>
        <v>0.47</v>
      </c>
      <c r="IA97">
        <f t="shared" ca="1" si="444"/>
        <v>1</v>
      </c>
      <c r="IB97" t="str">
        <f t="shared" ca="1" si="449"/>
        <v>303900 (47.0%)</v>
      </c>
    </row>
    <row r="98" spans="1:236" x14ac:dyDescent="0.25">
      <c r="A98" s="22" t="s">
        <v>343</v>
      </c>
      <c r="B98" s="4" t="e">
        <f ca="1">OFFSET($CP$7,$E$3-1,0)/1000</f>
        <v>#NAME?</v>
      </c>
      <c r="C98" s="4" t="e">
        <f ca="1">B98/OFFSET($AX$7,$E$3-1,0)</f>
        <v>#NAME?</v>
      </c>
      <c r="GY98" s="11"/>
      <c r="HJ98">
        <f t="shared" si="433"/>
        <v>2101</v>
      </c>
      <c r="HK98" s="28">
        <f t="shared" si="437"/>
        <v>120190</v>
      </c>
      <c r="HL98" s="27">
        <f t="shared" si="435"/>
        <v>29500</v>
      </c>
      <c r="HM98" s="28">
        <f t="shared" si="436"/>
        <v>29605.833286786015</v>
      </c>
      <c r="HO98">
        <f>HO97+1</f>
        <v>14</v>
      </c>
      <c r="HP98" s="4">
        <f t="shared" ca="1" si="450"/>
        <v>202600</v>
      </c>
      <c r="HQ98">
        <f t="shared" ca="1" si="445"/>
        <v>4</v>
      </c>
      <c r="HR98">
        <f t="shared" ca="1" si="446"/>
        <v>4</v>
      </c>
      <c r="HS98">
        <f t="shared" ca="1" si="439"/>
        <v>0.28999999999999998</v>
      </c>
      <c r="HT98">
        <f t="shared" ca="1" si="447"/>
        <v>0.13</v>
      </c>
      <c r="HU98" s="101">
        <f t="shared" ca="1" si="448"/>
        <v>0.42000021659999998</v>
      </c>
      <c r="HV98">
        <f t="shared" ca="1" si="440"/>
        <v>6</v>
      </c>
      <c r="HW98">
        <v>9</v>
      </c>
      <c r="HX98">
        <f t="shared" ca="1" si="441"/>
        <v>11</v>
      </c>
      <c r="HY98">
        <f t="shared" ca="1" si="442"/>
        <v>500000</v>
      </c>
      <c r="HZ98" s="16">
        <f t="shared" ca="1" si="443"/>
        <v>0.48</v>
      </c>
      <c r="IA98">
        <f t="shared" ca="1" si="444"/>
        <v>0</v>
      </c>
      <c r="IB98" t="str">
        <f t="shared" ca="1" si="449"/>
        <v/>
      </c>
    </row>
    <row r="99" spans="1:236" x14ac:dyDescent="0.25">
      <c r="A99" s="22" t="s">
        <v>315</v>
      </c>
      <c r="B99" s="4">
        <f ca="1">IF($B$79=1,0,OFFSET($CJ$7,$E$3-1,0))/1000</f>
        <v>0</v>
      </c>
      <c r="C99" s="4">
        <f ca="1">B99/OFFSET($AX$7,$E$3-1,0)</f>
        <v>0</v>
      </c>
      <c r="GY99" s="11"/>
      <c r="HJ99">
        <f t="shared" si="433"/>
        <v>2102</v>
      </c>
      <c r="HK99" s="28">
        <f t="shared" si="437"/>
        <v>122590</v>
      </c>
      <c r="HL99" s="27">
        <f t="shared" si="435"/>
        <v>30000</v>
      </c>
      <c r="HM99" s="28">
        <f t="shared" si="436"/>
        <v>30197.949952521736</v>
      </c>
      <c r="HO99">
        <f>HO98+1</f>
        <v>15</v>
      </c>
      <c r="HP99" s="4">
        <f t="shared" ca="1" si="450"/>
        <v>303900</v>
      </c>
      <c r="HQ99">
        <f t="shared" ca="1" si="445"/>
        <v>5</v>
      </c>
      <c r="HR99">
        <f t="shared" ca="1" si="446"/>
        <v>5</v>
      </c>
      <c r="HS99">
        <f t="shared" ca="1" si="439"/>
        <v>0.33</v>
      </c>
      <c r="HT99">
        <f t="shared" ca="1" si="447"/>
        <v>0.14000000000000001</v>
      </c>
      <c r="HU99" s="101">
        <f t="shared" ca="1" si="448"/>
        <v>0.47000031890000005</v>
      </c>
      <c r="HV99">
        <f t="shared" ca="1" si="440"/>
        <v>8</v>
      </c>
      <c r="HW99">
        <v>10</v>
      </c>
      <c r="HX99">
        <f t="shared" ca="1" si="441"/>
        <v>5</v>
      </c>
      <c r="HY99">
        <f t="shared" ca="1" si="442"/>
        <v>900000</v>
      </c>
      <c r="HZ99" s="16">
        <f t="shared" ca="1" si="443"/>
        <v>0.48</v>
      </c>
      <c r="IA99">
        <f t="shared" ca="1" si="444"/>
        <v>0</v>
      </c>
      <c r="IB99" t="str">
        <f t="shared" ca="1" si="449"/>
        <v/>
      </c>
    </row>
    <row r="100" spans="1:236" x14ac:dyDescent="0.25">
      <c r="B100" s="2" t="e">
        <f ca="1">MATCH(1,CO7:CO86,0)</f>
        <v>#N/A</v>
      </c>
      <c r="GY100" s="11"/>
      <c r="HJ100">
        <f t="shared" si="433"/>
        <v>2103</v>
      </c>
      <c r="HK100" s="28">
        <f t="shared" si="437"/>
        <v>125040</v>
      </c>
      <c r="HL100" s="27">
        <f t="shared" si="435"/>
        <v>31000</v>
      </c>
      <c r="HM100" s="28">
        <f t="shared" si="436"/>
        <v>30801.908951572172</v>
      </c>
      <c r="HO100">
        <f>HO99+1</f>
        <v>16</v>
      </c>
      <c r="HP100" s="4">
        <f t="shared" ca="1" si="450"/>
        <v>500000</v>
      </c>
      <c r="HQ100">
        <f t="shared" ca="1" si="445"/>
        <v>5</v>
      </c>
      <c r="HR100">
        <f t="shared" ca="1" si="446"/>
        <v>6</v>
      </c>
      <c r="HS100">
        <f t="shared" ca="1" si="439"/>
        <v>0.33</v>
      </c>
      <c r="HT100">
        <f t="shared" ca="1" si="447"/>
        <v>0.15</v>
      </c>
      <c r="HU100" s="101">
        <f t="shared" ca="1" si="448"/>
        <v>0.48000051599999999</v>
      </c>
      <c r="HV100">
        <f t="shared" ca="1" si="440"/>
        <v>9</v>
      </c>
      <c r="HW100">
        <v>11</v>
      </c>
      <c r="HX100">
        <f t="shared" ca="1" si="441"/>
        <v>6</v>
      </c>
      <c r="HY100">
        <f t="shared" ca="1" si="442"/>
        <v>1000000</v>
      </c>
      <c r="HZ100" s="16">
        <f t="shared" ca="1" si="443"/>
        <v>0.48</v>
      </c>
      <c r="IA100">
        <f t="shared" ca="1" si="444"/>
        <v>0</v>
      </c>
      <c r="IB100" t="str">
        <f t="shared" ca="1" si="449"/>
        <v/>
      </c>
    </row>
    <row r="101" spans="1:236" x14ac:dyDescent="0.25">
      <c r="A101" t="s">
        <v>282</v>
      </c>
      <c r="B101" s="2" t="str">
        <f ca="1">IF(ISERROR(B100),"None",OFFSET(D7,B100-1,0))</f>
        <v>None</v>
      </c>
      <c r="GY101" s="11"/>
      <c r="HJ101">
        <f t="shared" si="433"/>
        <v>2104</v>
      </c>
      <c r="HK101" s="28">
        <f t="shared" si="437"/>
        <v>127550</v>
      </c>
      <c r="HL101" s="27">
        <f t="shared" si="435"/>
        <v>31500</v>
      </c>
      <c r="HM101" s="28">
        <f t="shared" si="436"/>
        <v>31417.947130603614</v>
      </c>
      <c r="HO101">
        <f>HO100+1</f>
        <v>17</v>
      </c>
      <c r="HP101" s="4">
        <f t="shared" ca="1" si="450"/>
        <v>1000000</v>
      </c>
      <c r="HQ101">
        <f t="shared" ca="1" si="445"/>
        <v>7</v>
      </c>
      <c r="HR101">
        <f t="shared" ca="1" si="446"/>
        <v>7</v>
      </c>
      <c r="HS101">
        <f t="shared" ca="1" si="439"/>
        <v>0.33</v>
      </c>
      <c r="HT101">
        <f t="shared" ca="1" si="447"/>
        <v>0.15</v>
      </c>
      <c r="HU101" s="101">
        <f t="shared" ca="1" si="448"/>
        <v>0.48000101699999997</v>
      </c>
      <c r="HV101">
        <f t="shared" ca="1" si="440"/>
        <v>12</v>
      </c>
      <c r="HW101">
        <v>12</v>
      </c>
      <c r="HX101">
        <f t="shared" ca="1" si="441"/>
        <v>12</v>
      </c>
      <c r="HY101">
        <f t="shared" ca="1" si="442"/>
        <v>1000000</v>
      </c>
      <c r="HZ101" s="16">
        <f t="shared" ca="1" si="443"/>
        <v>0.48</v>
      </c>
      <c r="IA101">
        <f t="shared" ca="1" si="444"/>
        <v>0</v>
      </c>
      <c r="IB101" t="str">
        <f t="shared" ca="1" si="449"/>
        <v/>
      </c>
    </row>
    <row r="102" spans="1:236" x14ac:dyDescent="0.25">
      <c r="A102" s="69" t="s">
        <v>285</v>
      </c>
      <c r="B102" s="4">
        <f t="array" ref="B102">(SUM(F7:F86*AX7:AX86)-SUM(I7:I86*AX7:AX86))/1000</f>
        <v>0</v>
      </c>
      <c r="C102">
        <f t="array" ref="C102">(SUM(F7:F86)-SUM(I7:I86))/1000</f>
        <v>0</v>
      </c>
      <c r="GY102" s="11"/>
      <c r="HJ102">
        <f t="shared" si="433"/>
        <v>2105</v>
      </c>
      <c r="HK102" s="28">
        <f t="shared" si="437"/>
        <v>130100</v>
      </c>
      <c r="HL102" s="27">
        <f t="shared" si="435"/>
        <v>32000</v>
      </c>
      <c r="HM102" s="28">
        <f t="shared" si="436"/>
        <v>32046.306073215688</v>
      </c>
    </row>
    <row r="103" spans="1:236" x14ac:dyDescent="0.25">
      <c r="A103" t="s">
        <v>436</v>
      </c>
      <c r="B103" s="4" t="e">
        <f ca="1">AVERAGEIF(AZ7:AZ86,1,CJ7:CJ86)</f>
        <v>#NAME?</v>
      </c>
      <c r="C103" s="4" t="e">
        <f ca="1">AVERAGEIF(AZ7:AZ86,1,CK7:CK86)</f>
        <v>#NAME?</v>
      </c>
      <c r="GY103" s="11"/>
      <c r="HJ103">
        <f t="shared" si="433"/>
        <v>2106</v>
      </c>
      <c r="HK103" s="28">
        <f t="shared" si="437"/>
        <v>132700</v>
      </c>
      <c r="HL103" s="27">
        <f t="shared" si="435"/>
        <v>32500</v>
      </c>
      <c r="HM103" s="28">
        <f t="shared" si="436"/>
        <v>32687.232194680004</v>
      </c>
      <c r="IB103" s="8" t="s">
        <v>697</v>
      </c>
    </row>
    <row r="104" spans="1:236" x14ac:dyDescent="0.25">
      <c r="A104" t="s">
        <v>602</v>
      </c>
      <c r="B104" s="4" t="e">
        <f ca="1">(SUM(CH7:CH86)+SUM(CI7:CI86))/1000</f>
        <v>#NAME?</v>
      </c>
      <c r="C104" s="4" t="e">
        <f ca="1">(SUMPRODUCT(CH7:CH86,AY7:AY86)+SUMPRODUCT(CI7:CI86,AY7:AY86))/1000</f>
        <v>#NAME?</v>
      </c>
      <c r="GY104" s="11"/>
      <c r="HJ104">
        <f t="shared" si="433"/>
        <v>2107</v>
      </c>
      <c r="HK104" s="28">
        <f t="shared" si="437"/>
        <v>135350</v>
      </c>
      <c r="HL104" s="27">
        <f t="shared" si="435"/>
        <v>33500</v>
      </c>
      <c r="HM104" s="28">
        <f t="shared" si="436"/>
        <v>33340.976838573602</v>
      </c>
      <c r="HY104" s="99"/>
      <c r="HZ104" s="10"/>
      <c r="IB104">
        <f>IF(ISERROR(VALUE(MID(IB103,1,FIND(" ",IB103)-1))),0,VALUE(MID(IB103,1,FIND(" ",IB103)-1)))</f>
        <v>35148</v>
      </c>
    </row>
    <row r="105" spans="1:236" x14ac:dyDescent="0.25">
      <c r="GY105" s="11"/>
      <c r="HJ105">
        <f t="shared" si="433"/>
        <v>2108</v>
      </c>
      <c r="HK105" s="28">
        <f t="shared" si="437"/>
        <v>138060</v>
      </c>
      <c r="HL105" s="27">
        <f t="shared" si="435"/>
        <v>34000</v>
      </c>
      <c r="HM105" s="28">
        <f t="shared" si="436"/>
        <v>34007.796375345075</v>
      </c>
    </row>
    <row r="106" spans="1:236" x14ac:dyDescent="0.25">
      <c r="GY106" s="11"/>
      <c r="HJ106">
        <f t="shared" si="433"/>
        <v>2109</v>
      </c>
      <c r="HK106" s="28">
        <f t="shared" si="437"/>
        <v>140820</v>
      </c>
      <c r="HL106" s="27">
        <f t="shared" si="435"/>
        <v>34500</v>
      </c>
      <c r="HM106" s="28">
        <f t="shared" si="436"/>
        <v>34687.952302851976</v>
      </c>
      <c r="IB106" s="21"/>
    </row>
    <row r="107" spans="1:236" x14ac:dyDescent="0.25">
      <c r="GY107" s="11"/>
      <c r="HJ107">
        <f t="shared" si="433"/>
        <v>2110</v>
      </c>
      <c r="HK107" s="28">
        <f t="shared" si="437"/>
        <v>143640</v>
      </c>
      <c r="HL107" s="27">
        <f t="shared" si="435"/>
        <v>35500</v>
      </c>
      <c r="HM107" s="28">
        <f t="shared" si="436"/>
        <v>35381.711348909019</v>
      </c>
    </row>
    <row r="108" spans="1:236" x14ac:dyDescent="0.25">
      <c r="GY108" s="11"/>
      <c r="HJ108">
        <f t="shared" si="433"/>
        <v>2111</v>
      </c>
      <c r="HK108" s="28">
        <f t="shared" si="437"/>
        <v>146510</v>
      </c>
      <c r="HL108" s="27">
        <f t="shared" si="435"/>
        <v>36000</v>
      </c>
      <c r="HM108" s="28">
        <f t="shared" si="436"/>
        <v>36089.345575887201</v>
      </c>
    </row>
    <row r="109" spans="1:236" x14ac:dyDescent="0.25">
      <c r="GY109" s="11"/>
      <c r="HJ109">
        <f t="shared" si="433"/>
        <v>2112</v>
      </c>
      <c r="HK109" s="28">
        <f t="shared" si="437"/>
        <v>149440</v>
      </c>
      <c r="HL109" s="27">
        <f t="shared" si="435"/>
        <v>37000</v>
      </c>
      <c r="HM109" s="28">
        <f t="shared" si="436"/>
        <v>36811.132487404946</v>
      </c>
    </row>
    <row r="110" spans="1:236" x14ac:dyDescent="0.25">
      <c r="GY110" s="11"/>
      <c r="HJ110">
        <f t="shared" si="433"/>
        <v>2113</v>
      </c>
      <c r="HK110" s="28">
        <f t="shared" si="437"/>
        <v>152430</v>
      </c>
      <c r="HL110" s="27">
        <f t="shared" si="435"/>
        <v>37500</v>
      </c>
      <c r="HM110" s="28">
        <f t="shared" si="436"/>
        <v>37547.355137153048</v>
      </c>
    </row>
    <row r="111" spans="1:236" x14ac:dyDescent="0.25">
      <c r="GY111" s="11"/>
      <c r="HJ111">
        <f t="shared" si="433"/>
        <v>2114</v>
      </c>
      <c r="HK111" s="28">
        <f t="shared" si="437"/>
        <v>155480</v>
      </c>
      <c r="HL111" s="27">
        <f t="shared" si="435"/>
        <v>38500</v>
      </c>
      <c r="HM111" s="28">
        <f t="shared" si="436"/>
        <v>38298.302239896111</v>
      </c>
    </row>
    <row r="112" spans="1:236" x14ac:dyDescent="0.25">
      <c r="HJ112">
        <f t="shared" si="433"/>
        <v>2115</v>
      </c>
      <c r="HK112" s="28">
        <f t="shared" si="437"/>
        <v>158590</v>
      </c>
      <c r="HL112" s="27">
        <f t="shared" si="435"/>
        <v>39000</v>
      </c>
      <c r="HM112" s="28">
        <f t="shared" si="436"/>
        <v>39064.268284694037</v>
      </c>
    </row>
    <row r="113" spans="218:221" x14ac:dyDescent="0.25">
      <c r="HJ113">
        <f t="shared" si="433"/>
        <v>2116</v>
      </c>
      <c r="HK113" s="28">
        <f t="shared" si="437"/>
        <v>161760</v>
      </c>
      <c r="HL113" s="27">
        <f t="shared" si="435"/>
        <v>40000</v>
      </c>
      <c r="HM113" s="28">
        <f t="shared" si="436"/>
        <v>39845.553650387919</v>
      </c>
    </row>
    <row r="114" spans="218:221" x14ac:dyDescent="0.25">
      <c r="HJ114">
        <f t="shared" si="433"/>
        <v>2117</v>
      </c>
      <c r="HK114" s="28">
        <f t="shared" si="437"/>
        <v>164990</v>
      </c>
      <c r="HL114" s="27">
        <f t="shared" si="435"/>
        <v>40500</v>
      </c>
      <c r="HM114" s="28">
        <f t="shared" si="436"/>
        <v>40642.464723395678</v>
      </c>
    </row>
    <row r="115" spans="218:221" x14ac:dyDescent="0.25">
      <c r="HJ115">
        <f t="shared" si="433"/>
        <v>2118</v>
      </c>
      <c r="HK115" s="28">
        <f t="shared" si="437"/>
        <v>168290</v>
      </c>
      <c r="HL115" s="27">
        <f t="shared" si="435"/>
        <v>41500</v>
      </c>
      <c r="HM115" s="28">
        <f t="shared" si="436"/>
        <v>41455.314017863595</v>
      </c>
    </row>
    <row r="116" spans="218:221" x14ac:dyDescent="0.25">
      <c r="HJ116">
        <f t="shared" si="433"/>
        <v>2119</v>
      </c>
      <c r="HK116" s="28">
        <f t="shared" si="437"/>
        <v>171660</v>
      </c>
      <c r="HL116" s="27">
        <f t="shared" si="435"/>
        <v>42500</v>
      </c>
      <c r="HM116" s="28">
        <f t="shared" si="436"/>
        <v>42284.420298220866</v>
      </c>
    </row>
    <row r="117" spans="218:221" x14ac:dyDescent="0.25">
      <c r="HJ117">
        <f t="shared" si="433"/>
        <v>2120</v>
      </c>
      <c r="HK117" s="28">
        <f t="shared" si="437"/>
        <v>175090</v>
      </c>
      <c r="HL117" s="27">
        <f t="shared" si="435"/>
        <v>43000</v>
      </c>
      <c r="HM117" s="28">
        <f t="shared" si="436"/>
        <v>43130.108704185288</v>
      </c>
    </row>
    <row r="118" spans="218:221" x14ac:dyDescent="0.25">
      <c r="HJ118">
        <f t="shared" si="433"/>
        <v>2121</v>
      </c>
      <c r="HK118" s="28">
        <f t="shared" si="437"/>
        <v>178590</v>
      </c>
      <c r="HL118" s="27">
        <f t="shared" si="435"/>
        <v>44000</v>
      </c>
      <c r="HM118" s="28">
        <f t="shared" si="436"/>
        <v>43992.710878268997</v>
      </c>
    </row>
    <row r="119" spans="218:221" x14ac:dyDescent="0.25">
      <c r="HJ119">
        <f t="shared" si="433"/>
        <v>2122</v>
      </c>
      <c r="HK119" s="28">
        <f t="shared" si="437"/>
        <v>182170</v>
      </c>
      <c r="HL119" s="27">
        <f t="shared" si="435"/>
        <v>45000</v>
      </c>
      <c r="HM119" s="28">
        <f t="shared" si="436"/>
        <v>44872.565095834376</v>
      </c>
    </row>
    <row r="120" spans="218:221" x14ac:dyDescent="0.25">
      <c r="HJ120">
        <f t="shared" si="433"/>
        <v>2123</v>
      </c>
      <c r="HK120" s="28">
        <f t="shared" si="437"/>
        <v>185810</v>
      </c>
      <c r="HL120" s="27">
        <f t="shared" si="435"/>
        <v>46000</v>
      </c>
      <c r="HM120" s="28">
        <f t="shared" si="436"/>
        <v>45770.016397751067</v>
      </c>
    </row>
    <row r="121" spans="218:221" x14ac:dyDescent="0.25">
      <c r="HJ121">
        <f t="shared" si="433"/>
        <v>2124</v>
      </c>
      <c r="HK121" s="28">
        <f t="shared" si="437"/>
        <v>189530</v>
      </c>
      <c r="HL121" s="27">
        <f t="shared" si="435"/>
        <v>46500</v>
      </c>
      <c r="HM121" s="28">
        <f t="shared" si="436"/>
        <v>46685.416725706091</v>
      </c>
    </row>
    <row r="122" spans="218:221" x14ac:dyDescent="0.25">
      <c r="HJ122">
        <f t="shared" si="433"/>
        <v>2125</v>
      </c>
      <c r="HK122" s="28">
        <f t="shared" si="437"/>
        <v>193320</v>
      </c>
      <c r="HL122" s="27">
        <f t="shared" si="435"/>
        <v>47500</v>
      </c>
      <c r="HM122" s="28">
        <f t="shared" si="436"/>
        <v>47619.125060220213</v>
      </c>
    </row>
    <row r="123" spans="218:221" x14ac:dyDescent="0.25">
      <c r="HJ123">
        <f t="shared" si="433"/>
        <v>2126</v>
      </c>
      <c r="HK123" s="28">
        <f t="shared" si="437"/>
        <v>197180</v>
      </c>
      <c r="HL123" s="27">
        <f t="shared" si="435"/>
        <v>48500</v>
      </c>
      <c r="HM123" s="28">
        <f t="shared" si="436"/>
        <v>48571.507561424616</v>
      </c>
    </row>
    <row r="124" spans="218:221" x14ac:dyDescent="0.25">
      <c r="HJ124">
        <f t="shared" si="433"/>
        <v>2127</v>
      </c>
      <c r="HK124" s="28">
        <f t="shared" si="437"/>
        <v>201130</v>
      </c>
      <c r="HL124" s="27">
        <f t="shared" si="435"/>
        <v>49500</v>
      </c>
      <c r="HM124" s="28">
        <f t="shared" si="436"/>
        <v>49542.937712653111</v>
      </c>
    </row>
    <row r="125" spans="218:221" x14ac:dyDescent="0.25">
      <c r="HJ125">
        <f t="shared" si="433"/>
        <v>2128</v>
      </c>
      <c r="HK125" s="28">
        <f t="shared" si="437"/>
        <v>205150</v>
      </c>
      <c r="HL125" s="27">
        <f t="shared" si="435"/>
        <v>50500</v>
      </c>
      <c r="HM125" s="28">
        <f t="shared" si="436"/>
        <v>50533.796466906177</v>
      </c>
    </row>
    <row r="126" spans="218:221" x14ac:dyDescent="0.25">
      <c r="HJ126">
        <f t="shared" si="433"/>
        <v>2129</v>
      </c>
      <c r="HK126" s="28">
        <f t="shared" si="437"/>
        <v>209250</v>
      </c>
      <c r="HL126" s="27">
        <f t="shared" si="435"/>
        <v>51500</v>
      </c>
      <c r="HM126" s="28">
        <f t="shared" si="436"/>
        <v>51544.472396244302</v>
      </c>
    </row>
    <row r="127" spans="218:221" x14ac:dyDescent="0.25">
      <c r="HJ127">
        <f t="shared" si="433"/>
        <v>2130</v>
      </c>
      <c r="HK127" s="28">
        <f t="shared" si="437"/>
        <v>213440</v>
      </c>
      <c r="HL127" s="27">
        <f t="shared" si="435"/>
        <v>52500</v>
      </c>
      <c r="HM127" s="28">
        <f t="shared" si="436"/>
        <v>52575.361844169187</v>
      </c>
    </row>
    <row r="128" spans="218:221" x14ac:dyDescent="0.25">
      <c r="HJ128">
        <f t="shared" si="433"/>
        <v>2131</v>
      </c>
      <c r="HK128" s="28">
        <f t="shared" si="437"/>
        <v>217710</v>
      </c>
      <c r="HL128" s="27">
        <f t="shared" si="435"/>
        <v>53500</v>
      </c>
      <c r="HM128" s="28">
        <f t="shared" si="436"/>
        <v>53626.869081052573</v>
      </c>
    </row>
    <row r="129" spans="218:221" x14ac:dyDescent="0.25">
      <c r="HJ129">
        <f t="shared" si="433"/>
        <v>2132</v>
      </c>
      <c r="HK129" s="28">
        <f t="shared" si="437"/>
        <v>222060</v>
      </c>
      <c r="HL129" s="27">
        <f t="shared" si="435"/>
        <v>54500</v>
      </c>
      <c r="HM129" s="28">
        <f t="shared" si="436"/>
        <v>54699.406462673629</v>
      </c>
    </row>
    <row r="130" spans="218:221" x14ac:dyDescent="0.25">
      <c r="HJ130">
        <f t="shared" si="433"/>
        <v>2133</v>
      </c>
      <c r="HK130" s="28">
        <f t="shared" si="437"/>
        <v>226500</v>
      </c>
      <c r="HL130" s="27">
        <f t="shared" si="435"/>
        <v>56000</v>
      </c>
      <c r="HM130" s="28">
        <f t="shared" si="436"/>
        <v>55793.394591927099</v>
      </c>
    </row>
    <row r="131" spans="218:221" x14ac:dyDescent="0.25">
      <c r="HJ131">
        <f t="shared" si="433"/>
        <v>2134</v>
      </c>
      <c r="HK131" s="28">
        <f t="shared" si="437"/>
        <v>231030</v>
      </c>
      <c r="HL131" s="27">
        <f t="shared" si="435"/>
        <v>57000</v>
      </c>
      <c r="HM131" s="28">
        <f t="shared" si="436"/>
        <v>56909.26248376564</v>
      </c>
    </row>
    <row r="132" spans="218:221" x14ac:dyDescent="0.25">
      <c r="HJ132">
        <f t="shared" si="433"/>
        <v>2135</v>
      </c>
      <c r="HK132" s="28">
        <f t="shared" si="437"/>
        <v>235650</v>
      </c>
      <c r="HL132" s="27">
        <f t="shared" si="435"/>
        <v>58000</v>
      </c>
      <c r="HM132" s="28">
        <f t="shared" si="436"/>
        <v>58047.447733440953</v>
      </c>
    </row>
    <row r="133" spans="218:221" x14ac:dyDescent="0.25">
      <c r="HJ133">
        <f t="shared" si="433"/>
        <v>2136</v>
      </c>
      <c r="HK133" s="28">
        <f t="shared" si="437"/>
        <v>240360</v>
      </c>
      <c r="HL133" s="27">
        <f t="shared" si="435"/>
        <v>59000</v>
      </c>
      <c r="HM133" s="28">
        <f t="shared" si="436"/>
        <v>59208.396688109773</v>
      </c>
    </row>
    <row r="134" spans="218:221" x14ac:dyDescent="0.25">
      <c r="HJ134">
        <f t="shared" si="433"/>
        <v>2137</v>
      </c>
      <c r="HK134" s="28">
        <f t="shared" si="437"/>
        <v>245170</v>
      </c>
      <c r="HL134" s="27">
        <f t="shared" si="435"/>
        <v>60500</v>
      </c>
      <c r="HM134" s="28">
        <f t="shared" si="436"/>
        <v>60392.56462187197</v>
      </c>
    </row>
    <row r="135" spans="218:221" x14ac:dyDescent="0.25">
      <c r="HJ135">
        <f t="shared" si="433"/>
        <v>2138</v>
      </c>
      <c r="HK135" s="28">
        <f t="shared" si="437"/>
        <v>250070</v>
      </c>
      <c r="HL135" s="27">
        <f t="shared" si="435"/>
        <v>61500</v>
      </c>
      <c r="HM135" s="28">
        <f t="shared" si="436"/>
        <v>61600.415914309408</v>
      </c>
    </row>
    <row r="136" spans="218:221" x14ac:dyDescent="0.25">
      <c r="HJ136">
        <f t="shared" si="433"/>
        <v>2139</v>
      </c>
      <c r="HK136" s="28">
        <f t="shared" si="437"/>
        <v>255080</v>
      </c>
      <c r="HL136" s="27">
        <f t="shared" si="435"/>
        <v>63000</v>
      </c>
      <c r="HM136" s="28">
        <f t="shared" si="436"/>
        <v>62832.4242325956</v>
      </c>
    </row>
    <row r="137" spans="218:221" x14ac:dyDescent="0.25">
      <c r="HJ137">
        <f t="shared" ref="HJ137:HJ147" si="451">HJ136+1</f>
        <v>2140</v>
      </c>
      <c r="HK137" s="28">
        <f t="shared" si="437"/>
        <v>260180</v>
      </c>
      <c r="HL137" s="27">
        <f t="shared" si="435"/>
        <v>64000</v>
      </c>
      <c r="HM137" s="28">
        <f t="shared" si="436"/>
        <v>64089.072717247516</v>
      </c>
    </row>
    <row r="138" spans="218:221" x14ac:dyDescent="0.25">
      <c r="HJ138">
        <f t="shared" si="451"/>
        <v>2141</v>
      </c>
      <c r="HK138" s="28">
        <f t="shared" si="437"/>
        <v>265380</v>
      </c>
      <c r="HL138" s="27">
        <f t="shared" si="435"/>
        <v>65500</v>
      </c>
      <c r="HM138" s="28">
        <f t="shared" si="436"/>
        <v>65370.854171592466</v>
      </c>
    </row>
    <row r="139" spans="218:221" x14ac:dyDescent="0.25">
      <c r="HJ139">
        <f t="shared" si="451"/>
        <v>2142</v>
      </c>
      <c r="HK139" s="28">
        <f t="shared" si="437"/>
        <v>270690</v>
      </c>
      <c r="HL139" s="27">
        <f t="shared" si="435"/>
        <v>66500</v>
      </c>
      <c r="HM139" s="28">
        <f t="shared" si="436"/>
        <v>66678.271255024316</v>
      </c>
    </row>
    <row r="140" spans="218:221" x14ac:dyDescent="0.25">
      <c r="HJ140">
        <f t="shared" si="451"/>
        <v>2143</v>
      </c>
      <c r="HK140" s="28">
        <f t="shared" si="437"/>
        <v>276100</v>
      </c>
      <c r="HL140" s="27">
        <f t="shared" si="435"/>
        <v>68000</v>
      </c>
      <c r="HM140" s="28">
        <f t="shared" si="436"/>
        <v>68011.836680124805</v>
      </c>
    </row>
    <row r="141" spans="218:221" x14ac:dyDescent="0.25">
      <c r="HJ141">
        <f t="shared" si="451"/>
        <v>2144</v>
      </c>
      <c r="HK141" s="28">
        <f t="shared" si="437"/>
        <v>281620</v>
      </c>
      <c r="HL141" s="27">
        <f t="shared" si="435"/>
        <v>69500</v>
      </c>
      <c r="HM141" s="28">
        <f t="shared" si="436"/>
        <v>69372.073413727296</v>
      </c>
    </row>
    <row r="142" spans="218:221" x14ac:dyDescent="0.25">
      <c r="HJ142">
        <f t="shared" si="451"/>
        <v>2145</v>
      </c>
      <c r="HK142" s="28">
        <f t="shared" si="437"/>
        <v>287260</v>
      </c>
      <c r="HL142" s="27">
        <f t="shared" si="435"/>
        <v>71000</v>
      </c>
      <c r="HM142" s="28">
        <f t="shared" si="436"/>
        <v>70759.514882001837</v>
      </c>
    </row>
    <row r="143" spans="218:221" x14ac:dyDescent="0.25">
      <c r="HJ143">
        <f t="shared" si="451"/>
        <v>2146</v>
      </c>
      <c r="HK143" s="28">
        <f t="shared" si="437"/>
        <v>293000</v>
      </c>
      <c r="HL143" s="27">
        <f>ROUND(HM143/500,0)*500</f>
        <v>72000</v>
      </c>
      <c r="HM143" s="28">
        <f>HM142*(1+$B$15)</f>
        <v>72174.705179641882</v>
      </c>
    </row>
    <row r="144" spans="218:221" x14ac:dyDescent="0.25">
      <c r="HJ144">
        <f t="shared" si="451"/>
        <v>2147</v>
      </c>
      <c r="HK144" s="28">
        <f t="shared" si="437"/>
        <v>298860</v>
      </c>
      <c r="HL144" s="27">
        <f>ROUND(HM144/500,0)*500</f>
        <v>73500</v>
      </c>
      <c r="HM144" s="28">
        <f>HM143*(1+$B$15)</f>
        <v>73618.199283234717</v>
      </c>
    </row>
    <row r="145" spans="218:221" x14ac:dyDescent="0.25">
      <c r="HJ145">
        <f t="shared" si="451"/>
        <v>2148</v>
      </c>
      <c r="HK145" s="28">
        <f>ROUND(HK$15*(1+$B$15)^(HJ145-HJ$15)/10,0)*10</f>
        <v>304840</v>
      </c>
      <c r="HL145" s="27">
        <f>ROUND(HM145/500,0)*500</f>
        <v>75000</v>
      </c>
      <c r="HM145" s="28">
        <f>HM144*(1+$B$15)</f>
        <v>75090.563268899408</v>
      </c>
    </row>
    <row r="146" spans="218:221" x14ac:dyDescent="0.25">
      <c r="HJ146">
        <f t="shared" si="451"/>
        <v>2149</v>
      </c>
      <c r="HK146" s="28">
        <f>ROUND(HK$15*(1+$B$15)^(HJ146-HJ$15)/10,0)*10</f>
        <v>310940</v>
      </c>
      <c r="HL146" s="27">
        <f>ROUND(HM146/500,0)*500</f>
        <v>76500</v>
      </c>
      <c r="HM146" s="28">
        <f>HM145*(1+$B$15)</f>
        <v>76592.374534277391</v>
      </c>
    </row>
    <row r="147" spans="218:221" x14ac:dyDescent="0.25">
      <c r="HJ147">
        <f t="shared" si="451"/>
        <v>2150</v>
      </c>
      <c r="HK147" s="28">
        <f>ROUND(HK$15*(1+$B$15)^(HJ147-HJ$15)/10,0)*10</f>
        <v>317160</v>
      </c>
      <c r="HL147" s="27">
        <f>ROUND(HM147/500,0)*500</f>
        <v>78000</v>
      </c>
      <c r="HM147" s="28">
        <f>HM146*(1+$B$15)</f>
        <v>78124.222024962946</v>
      </c>
    </row>
  </sheetData>
  <phoneticPr fontId="3" type="noConversion"/>
  <dataValidations count="1">
    <dataValidation type="list" allowBlank="1" showInputMessage="1" showErrorMessage="1" sqref="IB103" xr:uid="{2343637E-6853-45F3-9461-3D6B519E681F}">
      <formula1>$IB$90:$IB$101</formula1>
    </dataValidation>
  </dataValidations>
  <pageMargins left="0.5" right="0.5" top="0.5" bottom="0.5" header="0.5" footer="0.5"/>
  <pageSetup scale="74" orientation="landscape"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TaxRate1">
                <anchor moveWithCells="1" sizeWithCells="1">
                  <from>
                    <xdr:col>0</xdr:col>
                    <xdr:colOff>1440180</xdr:colOff>
                    <xdr:row>4</xdr:row>
                    <xdr:rowOff>30480</xdr:rowOff>
                  </from>
                  <to>
                    <xdr:col>1</xdr:col>
                    <xdr:colOff>662940</xdr:colOff>
                    <xdr:row>5</xdr:row>
                    <xdr:rowOff>137160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66BCE-1A3E-4B0F-B695-5A9FBCB35FD8}">
  <sheetPr codeName="Sheet9">
    <pageSetUpPr fitToPage="1"/>
  </sheetPr>
  <dimension ref="A1:IG147"/>
  <sheetViews>
    <sheetView zoomScaleNormal="100" workbookViewId="0">
      <pane xSplit="5" ySplit="6" topLeftCell="F7" activePane="bottomRight" state="frozen"/>
      <selection pane="topRight" activeCell="F1" sqref="F1"/>
      <selection pane="bottomLeft" activeCell="A7" sqref="A7"/>
      <selection pane="bottomRight" activeCell="F7" sqref="F7"/>
    </sheetView>
  </sheetViews>
  <sheetFormatPr defaultColWidth="8" defaultRowHeight="13.2" x14ac:dyDescent="0.25"/>
  <cols>
    <col min="1" max="1" width="30.44140625" customWidth="1"/>
    <col min="2" max="2" width="9.88671875" customWidth="1"/>
    <col min="3" max="3" width="10.44140625" customWidth="1"/>
    <col min="4" max="4" width="6.88671875" customWidth="1"/>
    <col min="5" max="5" width="5.6640625" customWidth="1"/>
    <col min="6" max="7" width="10.6640625" customWidth="1"/>
    <col min="8" max="8" width="10.88671875" customWidth="1"/>
    <col min="9" max="13" width="10.6640625" customWidth="1"/>
    <col min="14" max="21" width="8.6640625" customWidth="1"/>
    <col min="22" max="33" width="10.44140625" customWidth="1"/>
    <col min="34" max="59" width="8" customWidth="1"/>
    <col min="60" max="60" width="9" customWidth="1"/>
    <col min="61" max="62" width="8" customWidth="1"/>
    <col min="63" max="63" width="8.109375" customWidth="1"/>
    <col min="64" max="64" width="9" customWidth="1"/>
    <col min="65" max="66" width="9.109375" customWidth="1"/>
    <col min="67" max="67" width="10.44140625" customWidth="1"/>
    <col min="68" max="68" width="11" customWidth="1"/>
    <col min="69" max="69" width="5.6640625" customWidth="1"/>
    <col min="70" max="70" width="10.5546875" customWidth="1"/>
    <col min="71" max="72" width="8.6640625" customWidth="1"/>
    <col min="73" max="73" width="9.6640625" customWidth="1"/>
    <col min="74" max="78" width="8" customWidth="1"/>
    <col min="79" max="79" width="10.109375" customWidth="1"/>
    <col min="80" max="80" width="9" customWidth="1"/>
    <col min="81" max="81" width="9.6640625" customWidth="1"/>
    <col min="82" max="82" width="9" customWidth="1"/>
    <col min="83" max="85" width="8" customWidth="1"/>
    <col min="86" max="89" width="9" customWidth="1"/>
    <col min="90" max="90" width="11.5546875" customWidth="1"/>
    <col min="91" max="91" width="5.6640625" customWidth="1"/>
    <col min="92" max="95" width="9.44140625" customWidth="1"/>
    <col min="96" max="151" width="8" customWidth="1"/>
    <col min="152" max="152" width="8.88671875" customWidth="1"/>
    <col min="153" max="163" width="8" customWidth="1"/>
    <col min="164" max="164" width="9.88671875" customWidth="1"/>
    <col min="165" max="165" width="8" customWidth="1"/>
    <col min="166" max="166" width="4.6640625" customWidth="1"/>
    <col min="167" max="203" width="8" customWidth="1"/>
    <col min="204" max="204" width="9.5546875" customWidth="1"/>
    <col min="205" max="206" width="8" customWidth="1"/>
    <col min="223" max="223" width="9.44140625" customWidth="1"/>
    <col min="224" max="224" width="8.5546875" bestFit="1" customWidth="1"/>
    <col min="225" max="225" width="8.5546875" customWidth="1"/>
    <col min="226" max="226" width="8.5546875" bestFit="1" customWidth="1"/>
  </cols>
  <sheetData>
    <row r="1" spans="1:232" ht="17.399999999999999" x14ac:dyDescent="0.3">
      <c r="A1" s="13" t="s">
        <v>138</v>
      </c>
      <c r="F1" t="s">
        <v>530</v>
      </c>
      <c r="G1" t="s">
        <v>636</v>
      </c>
      <c r="H1" s="21" t="s">
        <v>531</v>
      </c>
      <c r="I1" s="21" t="s">
        <v>532</v>
      </c>
      <c r="J1" s="21" t="s">
        <v>471</v>
      </c>
      <c r="K1" s="21" t="s">
        <v>469</v>
      </c>
      <c r="L1" s="21" t="s">
        <v>470</v>
      </c>
      <c r="M1" s="21" t="s">
        <v>109</v>
      </c>
      <c r="N1" s="21" t="s">
        <v>86</v>
      </c>
      <c r="O1" s="21" t="s">
        <v>472</v>
      </c>
      <c r="P1" s="21" t="s">
        <v>473</v>
      </c>
      <c r="Q1" s="21"/>
      <c r="R1" s="21"/>
      <c r="S1" s="21"/>
      <c r="T1" s="21"/>
      <c r="U1" s="21" t="s">
        <v>109</v>
      </c>
      <c r="V1" t="s">
        <v>137</v>
      </c>
      <c r="W1" s="21" t="s">
        <v>236</v>
      </c>
      <c r="X1" t="s">
        <v>533</v>
      </c>
      <c r="Y1" s="21" t="s">
        <v>534</v>
      </c>
      <c r="Z1" s="21" t="s">
        <v>109</v>
      </c>
      <c r="AA1" s="21" t="s">
        <v>109</v>
      </c>
      <c r="AB1" s="21" t="s">
        <v>109</v>
      </c>
      <c r="AC1" s="21" t="s">
        <v>109</v>
      </c>
      <c r="AD1" s="21" t="s">
        <v>109</v>
      </c>
      <c r="AE1" s="21" t="s">
        <v>109</v>
      </c>
      <c r="AF1" s="21" t="s">
        <v>109</v>
      </c>
      <c r="AG1" s="21" t="s">
        <v>237</v>
      </c>
      <c r="AH1" s="21" t="s">
        <v>109</v>
      </c>
      <c r="AI1" s="21" t="s">
        <v>536</v>
      </c>
      <c r="AJ1" s="21" t="s">
        <v>535</v>
      </c>
      <c r="AK1" s="21" t="s">
        <v>537</v>
      </c>
      <c r="AL1" s="21" t="s">
        <v>445</v>
      </c>
      <c r="AM1" s="21" t="s">
        <v>446</v>
      </c>
      <c r="AN1" s="21" t="s">
        <v>447</v>
      </c>
      <c r="AO1" s="21" t="s">
        <v>448</v>
      </c>
      <c r="AP1" s="21" t="s">
        <v>452</v>
      </c>
      <c r="AQ1" s="21" t="s">
        <v>453</v>
      </c>
      <c r="AR1" s="21" t="s">
        <v>454</v>
      </c>
      <c r="AS1" s="21" t="s">
        <v>455</v>
      </c>
      <c r="AT1" s="21" t="s">
        <v>456</v>
      </c>
      <c r="AU1" s="21" t="s">
        <v>109</v>
      </c>
      <c r="AV1" s="21" t="s">
        <v>109</v>
      </c>
      <c r="AW1" s="21" t="s">
        <v>109</v>
      </c>
      <c r="AX1" s="21" t="s">
        <v>109</v>
      </c>
      <c r="AY1" s="21"/>
      <c r="AZ1" t="s">
        <v>351</v>
      </c>
      <c r="BA1" s="21" t="s">
        <v>109</v>
      </c>
      <c r="BB1" t="s">
        <v>419</v>
      </c>
      <c r="BC1" t="s">
        <v>539</v>
      </c>
      <c r="BD1" t="s">
        <v>108</v>
      </c>
      <c r="BE1" t="s">
        <v>416</v>
      </c>
      <c r="BF1" t="s">
        <v>204</v>
      </c>
      <c r="BG1" t="s">
        <v>352</v>
      </c>
      <c r="BH1" s="21" t="s">
        <v>205</v>
      </c>
      <c r="BI1" t="s">
        <v>420</v>
      </c>
      <c r="BJ1" s="21" t="s">
        <v>109</v>
      </c>
      <c r="BK1" t="s">
        <v>538</v>
      </c>
      <c r="BL1" s="21" t="s">
        <v>206</v>
      </c>
      <c r="BM1" t="s">
        <v>478</v>
      </c>
      <c r="BN1" t="s">
        <v>605</v>
      </c>
      <c r="BO1" t="s">
        <v>479</v>
      </c>
      <c r="BP1" t="s">
        <v>189</v>
      </c>
      <c r="BQ1" s="21" t="s">
        <v>109</v>
      </c>
      <c r="BR1" s="21" t="s">
        <v>580</v>
      </c>
      <c r="BS1" s="21" t="s">
        <v>540</v>
      </c>
      <c r="BT1" s="21" t="s">
        <v>502</v>
      </c>
      <c r="BU1" t="s">
        <v>190</v>
      </c>
      <c r="BV1" s="21" t="s">
        <v>541</v>
      </c>
      <c r="BW1" t="s">
        <v>207</v>
      </c>
      <c r="BX1" t="s">
        <v>110</v>
      </c>
      <c r="BY1" t="s">
        <v>542</v>
      </c>
      <c r="BZ1" t="s">
        <v>191</v>
      </c>
      <c r="CA1" t="s">
        <v>111</v>
      </c>
      <c r="CB1" t="s">
        <v>543</v>
      </c>
      <c r="CC1" s="21" t="s">
        <v>109</v>
      </c>
      <c r="CD1" t="s">
        <v>212</v>
      </c>
      <c r="CE1" t="s">
        <v>672</v>
      </c>
      <c r="CF1" t="s">
        <v>584</v>
      </c>
      <c r="CG1" t="s">
        <v>648</v>
      </c>
      <c r="CH1" t="s">
        <v>112</v>
      </c>
      <c r="CI1" t="s">
        <v>112</v>
      </c>
      <c r="CJ1" t="s">
        <v>673</v>
      </c>
      <c r="CK1" t="s">
        <v>431</v>
      </c>
      <c r="CL1" t="s">
        <v>606</v>
      </c>
      <c r="CM1" s="21" t="s">
        <v>109</v>
      </c>
      <c r="CN1" t="s">
        <v>533</v>
      </c>
      <c r="CO1" s="21" t="s">
        <v>421</v>
      </c>
      <c r="CP1" t="s">
        <v>208</v>
      </c>
      <c r="CQ1" s="21" t="s">
        <v>109</v>
      </c>
      <c r="CR1" t="s">
        <v>544</v>
      </c>
      <c r="CS1" t="s">
        <v>546</v>
      </c>
      <c r="CT1" t="s">
        <v>545</v>
      </c>
      <c r="CU1" s="21" t="s">
        <v>109</v>
      </c>
      <c r="CV1" s="21" t="s">
        <v>547</v>
      </c>
      <c r="CW1" s="21" t="s">
        <v>548</v>
      </c>
      <c r="CX1" t="s">
        <v>549</v>
      </c>
      <c r="CY1" t="s">
        <v>550</v>
      </c>
      <c r="CZ1" s="21" t="s">
        <v>109</v>
      </c>
      <c r="DA1" t="s">
        <v>551</v>
      </c>
      <c r="DB1" t="s">
        <v>500</v>
      </c>
      <c r="DC1" t="s">
        <v>501</v>
      </c>
      <c r="DD1" t="s">
        <v>552</v>
      </c>
      <c r="DE1" t="s">
        <v>113</v>
      </c>
      <c r="DF1" t="s">
        <v>422</v>
      </c>
      <c r="DG1" t="s">
        <v>439</v>
      </c>
      <c r="DH1" t="s">
        <v>440</v>
      </c>
      <c r="DI1" s="21" t="s">
        <v>109</v>
      </c>
      <c r="DJ1" t="s">
        <v>553</v>
      </c>
      <c r="DK1" t="s">
        <v>554</v>
      </c>
      <c r="DL1" t="s">
        <v>463</v>
      </c>
      <c r="DM1" t="s">
        <v>372</v>
      </c>
      <c r="DN1" t="s">
        <v>209</v>
      </c>
      <c r="DO1" t="s">
        <v>184</v>
      </c>
      <c r="DP1" s="21" t="s">
        <v>109</v>
      </c>
      <c r="DQ1" t="s">
        <v>114</v>
      </c>
      <c r="DR1" s="21" t="s">
        <v>109</v>
      </c>
      <c r="DS1" s="21" t="s">
        <v>581</v>
      </c>
      <c r="DT1" s="21"/>
      <c r="DU1" s="21"/>
      <c r="DV1" s="21" t="s">
        <v>109</v>
      </c>
      <c r="DW1" t="s">
        <v>115</v>
      </c>
      <c r="DX1" t="s">
        <v>116</v>
      </c>
      <c r="DY1" t="s">
        <v>244</v>
      </c>
      <c r="DZ1" t="s">
        <v>117</v>
      </c>
      <c r="EA1" t="s">
        <v>121</v>
      </c>
      <c r="EB1" t="s">
        <v>120</v>
      </c>
      <c r="EC1" t="s">
        <v>118</v>
      </c>
      <c r="ED1" s="21" t="s">
        <v>109</v>
      </c>
      <c r="EE1" t="s">
        <v>119</v>
      </c>
      <c r="EF1" t="s">
        <v>116</v>
      </c>
      <c r="EG1" t="s">
        <v>244</v>
      </c>
      <c r="EH1" t="s">
        <v>117</v>
      </c>
      <c r="EI1" t="s">
        <v>122</v>
      </c>
      <c r="EJ1" t="s">
        <v>123</v>
      </c>
      <c r="EK1" t="s">
        <v>124</v>
      </c>
      <c r="EL1" t="s">
        <v>330</v>
      </c>
      <c r="EM1" s="21" t="s">
        <v>109</v>
      </c>
      <c r="EN1" t="s">
        <v>125</v>
      </c>
      <c r="EO1" t="s">
        <v>116</v>
      </c>
      <c r="EP1" t="s">
        <v>244</v>
      </c>
      <c r="EQ1" t="s">
        <v>126</v>
      </c>
      <c r="ER1" t="s">
        <v>127</v>
      </c>
      <c r="ES1" t="s">
        <v>120</v>
      </c>
      <c r="ET1" s="21" t="s">
        <v>109</v>
      </c>
      <c r="EU1" t="s">
        <v>128</v>
      </c>
      <c r="EV1" t="s">
        <v>142</v>
      </c>
      <c r="EW1" t="s">
        <v>244</v>
      </c>
      <c r="EX1" t="s">
        <v>129</v>
      </c>
      <c r="EY1" t="s">
        <v>127</v>
      </c>
      <c r="EZ1" t="s">
        <v>120</v>
      </c>
      <c r="FA1" t="s">
        <v>130</v>
      </c>
      <c r="FB1" t="s">
        <v>131</v>
      </c>
      <c r="FC1" t="s">
        <v>132</v>
      </c>
      <c r="FD1" t="s">
        <v>240</v>
      </c>
      <c r="FE1" t="s">
        <v>242</v>
      </c>
      <c r="FF1" t="s">
        <v>232</v>
      </c>
      <c r="FG1" t="s">
        <v>233</v>
      </c>
      <c r="FH1" t="s">
        <v>133</v>
      </c>
      <c r="FI1" t="s">
        <v>134</v>
      </c>
      <c r="FJ1" s="21" t="s">
        <v>109</v>
      </c>
      <c r="FK1" t="s">
        <v>135</v>
      </c>
      <c r="FL1" s="21" t="s">
        <v>109</v>
      </c>
      <c r="FM1" s="21" t="s">
        <v>457</v>
      </c>
      <c r="FN1" s="21" t="s">
        <v>449</v>
      </c>
      <c r="FO1" s="21" t="s">
        <v>109</v>
      </c>
      <c r="FP1" s="21" t="s">
        <v>109</v>
      </c>
      <c r="FQ1" s="21" t="s">
        <v>109</v>
      </c>
      <c r="FR1" s="21" t="s">
        <v>109</v>
      </c>
      <c r="FS1" s="21" t="s">
        <v>450</v>
      </c>
      <c r="FT1" s="21" t="s">
        <v>451</v>
      </c>
      <c r="FU1" s="21"/>
      <c r="FV1" s="21"/>
      <c r="FW1" s="21"/>
      <c r="GP1" s="3"/>
      <c r="GQ1" s="3"/>
      <c r="GR1" s="3"/>
      <c r="GS1" s="3"/>
      <c r="GT1" s="3"/>
    </row>
    <row r="2" spans="1:232" s="13" customFormat="1" ht="17.399999999999999" x14ac:dyDescent="0.3">
      <c r="D2" s="2"/>
      <c r="E2" s="2"/>
      <c r="F2" s="5" t="s">
        <v>475</v>
      </c>
      <c r="G2" s="5"/>
      <c r="H2" s="5"/>
      <c r="I2" s="5"/>
      <c r="J2" s="5"/>
      <c r="K2" s="5"/>
      <c r="L2" s="5"/>
      <c r="M2"/>
      <c r="N2" s="5" t="s">
        <v>635</v>
      </c>
      <c r="O2" s="5"/>
      <c r="P2" s="5"/>
      <c r="Q2" s="5" t="s">
        <v>634</v>
      </c>
      <c r="R2" s="5"/>
      <c r="S2" s="5"/>
      <c r="T2" s="5"/>
      <c r="U2" s="2"/>
      <c r="V2" s="19" t="s">
        <v>106</v>
      </c>
      <c r="W2" s="19"/>
      <c r="X2" s="19"/>
      <c r="Y2" s="19"/>
      <c r="Z2" s="19"/>
      <c r="AA2" s="19"/>
      <c r="AB2" s="19"/>
      <c r="AC2" s="19"/>
      <c r="AD2" s="19"/>
      <c r="AE2" s="19"/>
      <c r="AF2" s="19"/>
      <c r="AG2" s="19"/>
      <c r="AI2" s="67" t="s">
        <v>312</v>
      </c>
      <c r="AJ2" s="67"/>
      <c r="AK2" s="67"/>
      <c r="AL2" s="67"/>
      <c r="AM2" s="67"/>
      <c r="AN2" s="67"/>
      <c r="AO2" s="67"/>
      <c r="AP2" s="67"/>
      <c r="AQ2" s="67"/>
      <c r="AR2" s="67"/>
      <c r="AS2" s="67"/>
      <c r="AT2" s="67"/>
      <c r="AV2" s="13" t="s">
        <v>107</v>
      </c>
      <c r="BB2" s="5" t="s">
        <v>4</v>
      </c>
      <c r="BC2" s="5"/>
      <c r="BD2" s="5"/>
      <c r="BE2" s="5"/>
      <c r="BF2" s="5"/>
      <c r="BG2" s="5"/>
      <c r="BH2" s="5"/>
      <c r="BI2" s="5"/>
      <c r="BK2" s="5" t="s">
        <v>197</v>
      </c>
      <c r="BL2" s="5"/>
      <c r="BM2" s="5"/>
      <c r="BN2" s="5"/>
      <c r="BO2" s="5"/>
      <c r="BP2" s="5"/>
      <c r="BQ2"/>
      <c r="BR2" s="5"/>
      <c r="BS2" s="5" t="s">
        <v>93</v>
      </c>
      <c r="BT2" s="5"/>
      <c r="BU2" s="5"/>
      <c r="BV2" s="5"/>
      <c r="BW2" s="5"/>
      <c r="BX2" s="5"/>
      <c r="BY2" s="5"/>
      <c r="BZ2" s="5"/>
      <c r="CA2" s="5"/>
      <c r="CB2" s="5"/>
      <c r="CC2" s="2"/>
      <c r="CD2" s="20" t="s">
        <v>67</v>
      </c>
      <c r="CE2" s="20"/>
      <c r="CF2" s="20"/>
      <c r="CG2" s="20"/>
      <c r="CH2" s="20"/>
      <c r="CI2" s="20"/>
      <c r="CJ2" s="20"/>
      <c r="CK2" s="20"/>
      <c r="CL2" s="20"/>
      <c r="CM2" s="2"/>
      <c r="CN2" s="19" t="s">
        <v>165</v>
      </c>
      <c r="CO2" s="19"/>
      <c r="CP2" s="19"/>
      <c r="CR2" s="6" t="s">
        <v>6</v>
      </c>
      <c r="CS2" s="6"/>
      <c r="CT2" s="6"/>
      <c r="CU2" s="6"/>
      <c r="CV2" s="6"/>
      <c r="CW2" s="6"/>
      <c r="CX2" s="6"/>
      <c r="CY2" s="6"/>
      <c r="CZ2" s="6"/>
      <c r="DA2" s="6"/>
      <c r="DB2" s="6"/>
      <c r="DC2" s="6"/>
      <c r="DD2" s="6"/>
      <c r="DE2" s="6"/>
      <c r="DF2" s="6"/>
      <c r="DG2" s="6"/>
      <c r="DH2" s="6"/>
      <c r="DI2" s="6"/>
      <c r="DJ2" s="6"/>
      <c r="DK2" s="6"/>
      <c r="DL2" s="6"/>
      <c r="DM2" s="6"/>
      <c r="DN2" s="6"/>
      <c r="DO2" s="6"/>
      <c r="DP2" s="6"/>
      <c r="DQ2" s="6"/>
      <c r="DR2" s="2"/>
      <c r="DS2" s="95"/>
      <c r="DT2" s="95"/>
      <c r="DU2" s="96"/>
      <c r="DV2"/>
      <c r="DW2" s="7" t="s">
        <v>8</v>
      </c>
      <c r="DX2" s="7"/>
      <c r="DY2" s="7"/>
      <c r="DZ2" s="7"/>
      <c r="EA2" s="7"/>
      <c r="EB2" s="7"/>
      <c r="EC2" s="7"/>
      <c r="EE2" s="7" t="s">
        <v>34</v>
      </c>
      <c r="EF2" s="7"/>
      <c r="EG2" s="7"/>
      <c r="EH2" s="7"/>
      <c r="EI2" s="7"/>
      <c r="EJ2" s="7"/>
      <c r="EK2" s="7"/>
      <c r="EL2" s="7"/>
      <c r="EN2" s="7" t="s">
        <v>29</v>
      </c>
      <c r="EO2" s="7"/>
      <c r="EP2" s="7"/>
      <c r="EQ2" s="7"/>
      <c r="ER2" s="7"/>
      <c r="ES2" s="7"/>
      <c r="EU2" s="7" t="s">
        <v>39</v>
      </c>
      <c r="EV2" s="7"/>
      <c r="EW2" s="7"/>
      <c r="EX2" s="7"/>
      <c r="EY2" s="7"/>
      <c r="EZ2" s="7"/>
      <c r="FA2" s="7"/>
      <c r="FB2" s="7"/>
      <c r="FC2" s="7"/>
      <c r="FD2" s="7"/>
      <c r="FE2" s="7"/>
      <c r="FF2" s="7"/>
      <c r="FG2" s="7"/>
      <c r="FH2" s="7"/>
      <c r="FI2" s="7"/>
      <c r="FK2" s="7"/>
      <c r="FM2" s="67" t="s">
        <v>310</v>
      </c>
      <c r="FN2" s="67"/>
      <c r="FO2" s="67"/>
      <c r="FP2" s="67"/>
      <c r="FQ2" s="67"/>
      <c r="FR2" s="67"/>
      <c r="FS2" s="67"/>
      <c r="FT2" s="67"/>
      <c r="FV2" s="19"/>
      <c r="FW2" s="19"/>
      <c r="FX2" s="19" t="s">
        <v>70</v>
      </c>
      <c r="FY2" s="19"/>
      <c r="FZ2" s="19"/>
      <c r="GA2" s="19"/>
      <c r="GB2" s="19"/>
      <c r="GC2" s="19"/>
      <c r="GD2" s="19"/>
      <c r="GE2" s="19"/>
      <c r="GF2" s="19"/>
      <c r="GG2" s="19"/>
      <c r="GH2" s="19"/>
      <c r="GI2" s="19"/>
      <c r="GJ2" s="19" t="s">
        <v>71</v>
      </c>
      <c r="GK2" s="19"/>
      <c r="GL2" s="19"/>
      <c r="GM2" s="19"/>
      <c r="GN2" s="19"/>
      <c r="GO2" s="2"/>
      <c r="GP2" s="5" t="s">
        <v>69</v>
      </c>
      <c r="GQ2" s="5"/>
      <c r="GR2" s="5"/>
      <c r="GS2" s="5"/>
      <c r="GT2" s="5"/>
      <c r="GU2" s="5"/>
      <c r="GV2" s="5"/>
      <c r="GW2" s="5"/>
      <c r="GX2" s="5"/>
      <c r="GZ2" s="14" t="s">
        <v>36</v>
      </c>
      <c r="HG2" s="14" t="s">
        <v>38</v>
      </c>
      <c r="HI2"/>
      <c r="HJ2" s="13" t="s">
        <v>474</v>
      </c>
      <c r="HO2" s="13" t="s">
        <v>68</v>
      </c>
    </row>
    <row r="3" spans="1:232" s="2" customFormat="1" x14ac:dyDescent="0.25">
      <c r="E3" s="2">
        <f>MATCH(B13,AW7:AW86,0)</f>
        <v>64</v>
      </c>
      <c r="F3" s="22"/>
      <c r="G3" s="2" t="s">
        <v>222</v>
      </c>
      <c r="K3" s="2" t="s">
        <v>42</v>
      </c>
      <c r="L3" s="2" t="s">
        <v>467</v>
      </c>
      <c r="M3"/>
      <c r="O3" s="2" t="s">
        <v>42</v>
      </c>
      <c r="P3" s="2" t="s">
        <v>467</v>
      </c>
      <c r="Q3" s="2" t="s">
        <v>17</v>
      </c>
      <c r="R3" s="2" t="s">
        <v>17</v>
      </c>
      <c r="S3" s="2" t="s">
        <v>43</v>
      </c>
      <c r="T3" s="2" t="s">
        <v>161</v>
      </c>
      <c r="Y3" s="22"/>
      <c r="AC3" s="22"/>
      <c r="AG3" s="2" t="s">
        <v>92</v>
      </c>
      <c r="AK3" s="2" t="s">
        <v>195</v>
      </c>
      <c r="AQ3" s="2" t="s">
        <v>16</v>
      </c>
      <c r="AR3" s="2" t="s">
        <v>25</v>
      </c>
      <c r="AS3" s="2" t="s">
        <v>25</v>
      </c>
      <c r="AT3" s="2" t="s">
        <v>32</v>
      </c>
      <c r="BB3" s="2" t="s">
        <v>72</v>
      </c>
      <c r="BE3" s="2" t="s">
        <v>33</v>
      </c>
      <c r="BG3" s="2" t="s">
        <v>347</v>
      </c>
      <c r="BH3" s="2" t="s">
        <v>195</v>
      </c>
      <c r="BN3" s="2" t="s">
        <v>608</v>
      </c>
      <c r="BO3" s="2" t="s">
        <v>3</v>
      </c>
      <c r="BP3" s="2" t="s">
        <v>187</v>
      </c>
      <c r="BR3" s="2" t="s">
        <v>565</v>
      </c>
      <c r="BU3" s="2" t="s">
        <v>75</v>
      </c>
      <c r="BV3" s="2" t="s">
        <v>31</v>
      </c>
      <c r="CF3" s="2" t="s">
        <v>592</v>
      </c>
      <c r="CG3" s="2" t="s">
        <v>645</v>
      </c>
      <c r="CH3" s="2" t="s">
        <v>43</v>
      </c>
      <c r="CI3" s="2" t="s">
        <v>161</v>
      </c>
      <c r="CK3" s="2" t="s">
        <v>5</v>
      </c>
      <c r="CL3" s="2" t="s">
        <v>607</v>
      </c>
      <c r="CO3" s="2" t="s">
        <v>52</v>
      </c>
      <c r="CP3" s="2" t="s">
        <v>92</v>
      </c>
      <c r="CS3" s="2" t="s">
        <v>8</v>
      </c>
      <c r="CT3" s="2" t="s">
        <v>8</v>
      </c>
      <c r="CV3" s="2" t="s">
        <v>369</v>
      </c>
      <c r="CX3" s="2" t="s">
        <v>28</v>
      </c>
      <c r="CY3" s="2" t="s">
        <v>369</v>
      </c>
      <c r="DA3" s="2" t="s">
        <v>369</v>
      </c>
      <c r="DB3" s="2" t="s">
        <v>8</v>
      </c>
      <c r="DC3" s="2" t="s">
        <v>8</v>
      </c>
      <c r="DF3" s="2" t="s">
        <v>8</v>
      </c>
      <c r="DJ3" s="2" t="s">
        <v>369</v>
      </c>
      <c r="DK3" s="2" t="s">
        <v>29</v>
      </c>
      <c r="DL3" s="2" t="s">
        <v>29</v>
      </c>
      <c r="DS3" s="2" t="s">
        <v>566</v>
      </c>
      <c r="DT3" s="2" t="s">
        <v>565</v>
      </c>
      <c r="FC3" s="2" t="s">
        <v>239</v>
      </c>
      <c r="FE3" s="2" t="s">
        <v>241</v>
      </c>
      <c r="FF3" s="2" t="s">
        <v>43</v>
      </c>
      <c r="FG3" s="2" t="s">
        <v>161</v>
      </c>
      <c r="FH3" s="2" t="s">
        <v>100</v>
      </c>
      <c r="FS3" s="2" t="s">
        <v>25</v>
      </c>
      <c r="FT3" s="2" t="s">
        <v>8</v>
      </c>
      <c r="FV3" s="2" t="s">
        <v>316</v>
      </c>
      <c r="FW3" s="2" t="s">
        <v>316</v>
      </c>
      <c r="HB3" s="10">
        <f ca="1">IF(B50=1,3,HV22)</f>
        <v>1</v>
      </c>
      <c r="HC3" s="2" t="s">
        <v>652</v>
      </c>
      <c r="HI3"/>
      <c r="HO3" s="2">
        <f>HP26</f>
        <v>2017</v>
      </c>
      <c r="HP3" s="2">
        <f>$B$7</f>
        <v>2017</v>
      </c>
    </row>
    <row r="4" spans="1:232" s="2" customFormat="1" x14ac:dyDescent="0.25">
      <c r="F4" s="2" t="s">
        <v>99</v>
      </c>
      <c r="G4" s="2" t="s">
        <v>628</v>
      </c>
      <c r="H4" s="2" t="s">
        <v>199</v>
      </c>
      <c r="I4" s="2" t="s">
        <v>196</v>
      </c>
      <c r="J4" s="2" t="s">
        <v>139</v>
      </c>
      <c r="K4" s="2" t="s">
        <v>466</v>
      </c>
      <c r="L4" s="2" t="s">
        <v>466</v>
      </c>
      <c r="M4"/>
      <c r="N4" s="2" t="s">
        <v>468</v>
      </c>
      <c r="O4" s="2" t="s">
        <v>466</v>
      </c>
      <c r="P4" s="2" t="s">
        <v>466</v>
      </c>
      <c r="Q4" s="2" t="s">
        <v>629</v>
      </c>
      <c r="R4" s="2" t="s">
        <v>629</v>
      </c>
      <c r="S4" s="2" t="s">
        <v>0</v>
      </c>
      <c r="T4" s="2" t="s">
        <v>0</v>
      </c>
      <c r="V4" s="2" t="s">
        <v>5</v>
      </c>
      <c r="W4" s="2" t="s">
        <v>234</v>
      </c>
      <c r="X4" s="2" t="s">
        <v>4</v>
      </c>
      <c r="Y4" s="22" t="s">
        <v>235</v>
      </c>
      <c r="AC4" s="22" t="s">
        <v>238</v>
      </c>
      <c r="AG4" s="2" t="s">
        <v>3</v>
      </c>
      <c r="AI4" s="2" t="s">
        <v>347</v>
      </c>
      <c r="AJ4" s="2" t="s">
        <v>347</v>
      </c>
      <c r="AK4" s="2" t="s">
        <v>40</v>
      </c>
      <c r="AP4" s="2" t="s">
        <v>100</v>
      </c>
      <c r="AQ4" s="2" t="s">
        <v>322</v>
      </c>
      <c r="AR4" s="2" t="s">
        <v>350</v>
      </c>
      <c r="AS4" s="2" t="s">
        <v>348</v>
      </c>
      <c r="AT4" s="2" t="s">
        <v>348</v>
      </c>
      <c r="BB4" s="2" t="s">
        <v>73</v>
      </c>
      <c r="BC4" s="2" t="s">
        <v>99</v>
      </c>
      <c r="BD4" s="2" t="s">
        <v>32</v>
      </c>
      <c r="BE4" s="2" t="s">
        <v>97</v>
      </c>
      <c r="BF4" s="2" t="s">
        <v>25</v>
      </c>
      <c r="BG4" s="2" t="s">
        <v>25</v>
      </c>
      <c r="BH4" s="2" t="s">
        <v>40</v>
      </c>
      <c r="BI4" s="2" t="s">
        <v>3</v>
      </c>
      <c r="BK4" s="2" t="s">
        <v>197</v>
      </c>
      <c r="BL4" s="2" t="s">
        <v>196</v>
      </c>
      <c r="BM4" s="2" t="s">
        <v>197</v>
      </c>
      <c r="BN4" s="2" t="s">
        <v>4</v>
      </c>
      <c r="BO4" s="2" t="s">
        <v>16</v>
      </c>
      <c r="BP4" s="2" t="s">
        <v>186</v>
      </c>
      <c r="BR4" s="2" t="s">
        <v>8</v>
      </c>
      <c r="BS4" s="2" t="s">
        <v>8</v>
      </c>
      <c r="BT4" s="2" t="s">
        <v>29</v>
      </c>
      <c r="BU4" s="2" t="s">
        <v>74</v>
      </c>
      <c r="BV4" s="2" t="s">
        <v>76</v>
      </c>
      <c r="BY4"/>
      <c r="CA4" s="2" t="s">
        <v>45</v>
      </c>
      <c r="CB4" s="2" t="s">
        <v>192</v>
      </c>
      <c r="CD4" s="2" t="s">
        <v>17</v>
      </c>
      <c r="CE4" s="2" t="s">
        <v>13</v>
      </c>
      <c r="CF4" s="2" t="s">
        <v>593</v>
      </c>
      <c r="CG4" s="2" t="s">
        <v>646</v>
      </c>
      <c r="CH4" s="2" t="s">
        <v>4</v>
      </c>
      <c r="CI4" s="2" t="s">
        <v>4</v>
      </c>
      <c r="CJ4" s="2" t="s">
        <v>5</v>
      </c>
      <c r="CK4" s="2" t="s">
        <v>4</v>
      </c>
      <c r="CL4" s="2" t="s">
        <v>4</v>
      </c>
      <c r="CN4" s="2" t="s">
        <v>4</v>
      </c>
      <c r="CO4" s="2" t="s">
        <v>423</v>
      </c>
      <c r="CP4" s="2" t="s">
        <v>3</v>
      </c>
      <c r="CR4" s="2" t="s">
        <v>20</v>
      </c>
      <c r="CS4" s="2" t="s">
        <v>460</v>
      </c>
      <c r="CT4" s="2" t="s">
        <v>4</v>
      </c>
      <c r="CV4" s="2" t="s">
        <v>317</v>
      </c>
      <c r="CW4" s="2" t="s">
        <v>28</v>
      </c>
      <c r="CX4" s="2" t="s">
        <v>462</v>
      </c>
      <c r="CY4" s="2" t="s">
        <v>6</v>
      </c>
      <c r="DA4" s="2" t="s">
        <v>317</v>
      </c>
      <c r="DB4" s="2" t="s">
        <v>366</v>
      </c>
      <c r="DC4" s="2" t="s">
        <v>366</v>
      </c>
      <c r="DD4" s="2" t="s">
        <v>8</v>
      </c>
      <c r="DE4" s="2" t="s">
        <v>8</v>
      </c>
      <c r="DF4" s="2" t="s">
        <v>366</v>
      </c>
      <c r="DG4" s="2" t="s">
        <v>8</v>
      </c>
      <c r="DH4" s="2" t="s">
        <v>441</v>
      </c>
      <c r="DJ4" s="2" t="s">
        <v>317</v>
      </c>
      <c r="DK4" s="2" t="s">
        <v>460</v>
      </c>
      <c r="DL4" s="2" t="s">
        <v>4</v>
      </c>
      <c r="DM4" s="2" t="s">
        <v>29</v>
      </c>
      <c r="DN4" s="2" t="s">
        <v>29</v>
      </c>
      <c r="DO4" s="2" t="s">
        <v>29</v>
      </c>
      <c r="DQ4" s="2" t="s">
        <v>11</v>
      </c>
      <c r="DS4" s="2" t="s">
        <v>0</v>
      </c>
      <c r="DT4" s="2" t="s">
        <v>8</v>
      </c>
      <c r="DU4" s="2" t="s">
        <v>574</v>
      </c>
      <c r="DW4" s="2" t="s">
        <v>26</v>
      </c>
      <c r="EA4" s="2" t="s">
        <v>37</v>
      </c>
      <c r="EB4" s="2" t="s">
        <v>21</v>
      </c>
      <c r="EE4" s="2" t="s">
        <v>26</v>
      </c>
      <c r="EI4" s="2" t="s">
        <v>37</v>
      </c>
      <c r="EJ4" s="2" t="s">
        <v>21</v>
      </c>
      <c r="EL4" s="2" t="s">
        <v>329</v>
      </c>
      <c r="EN4" s="2" t="s">
        <v>26</v>
      </c>
      <c r="ER4" s="2" t="s">
        <v>37</v>
      </c>
      <c r="ES4" s="2" t="s">
        <v>21</v>
      </c>
      <c r="EU4" s="2" t="s">
        <v>26</v>
      </c>
      <c r="EY4" s="2" t="s">
        <v>37</v>
      </c>
      <c r="EZ4" s="2" t="s">
        <v>21</v>
      </c>
      <c r="FA4" s="2" t="s">
        <v>41</v>
      </c>
      <c r="FB4" s="2" t="s">
        <v>42</v>
      </c>
      <c r="FC4" s="2" t="s">
        <v>41</v>
      </c>
      <c r="FD4" s="2" t="s">
        <v>30</v>
      </c>
      <c r="FE4" s="2" t="s">
        <v>230</v>
      </c>
      <c r="FF4" s="2" t="s">
        <v>230</v>
      </c>
      <c r="FG4" s="2" t="s">
        <v>230</v>
      </c>
      <c r="FH4" s="2" t="s">
        <v>101</v>
      </c>
      <c r="FI4" s="2" t="s">
        <v>40</v>
      </c>
      <c r="FK4" s="2" t="s">
        <v>49</v>
      </c>
      <c r="FR4" s="2" t="s">
        <v>11</v>
      </c>
      <c r="FS4" s="2" t="s">
        <v>349</v>
      </c>
      <c r="FT4" s="2" t="s">
        <v>442</v>
      </c>
      <c r="FV4" s="2" t="s">
        <v>317</v>
      </c>
      <c r="FW4" s="2" t="s">
        <v>317</v>
      </c>
      <c r="GP4" s="22" t="s">
        <v>48</v>
      </c>
      <c r="GT4" s="2" t="s">
        <v>140</v>
      </c>
      <c r="GU4" s="22" t="s">
        <v>47</v>
      </c>
      <c r="HC4" s="2" t="s">
        <v>655</v>
      </c>
      <c r="HD4" s="2" t="s">
        <v>656</v>
      </c>
      <c r="HI4"/>
      <c r="HM4" s="2" t="s">
        <v>596</v>
      </c>
      <c r="HO4" s="2" t="s">
        <v>40</v>
      </c>
      <c r="HP4" s="2" t="s">
        <v>40</v>
      </c>
      <c r="HQ4" s="2" t="s">
        <v>0</v>
      </c>
      <c r="HR4" s="2" t="s">
        <v>43</v>
      </c>
      <c r="HV4" s="2">
        <f>HP26</f>
        <v>2017</v>
      </c>
      <c r="HW4" s="2">
        <f>$B$7</f>
        <v>2017</v>
      </c>
    </row>
    <row r="5" spans="1:232" s="2" customFormat="1" x14ac:dyDescent="0.25">
      <c r="D5" s="2" t="s">
        <v>1</v>
      </c>
      <c r="E5" s="2" t="s">
        <v>9</v>
      </c>
      <c r="F5" s="2" t="s">
        <v>4</v>
      </c>
      <c r="G5" s="2" t="s">
        <v>230</v>
      </c>
      <c r="H5" s="2" t="s">
        <v>194</v>
      </c>
      <c r="I5" s="2" t="s">
        <v>197</v>
      </c>
      <c r="J5" s="2" t="s">
        <v>465</v>
      </c>
      <c r="K5" s="2" t="s">
        <v>465</v>
      </c>
      <c r="L5" s="2" t="s">
        <v>465</v>
      </c>
      <c r="M5"/>
      <c r="N5" s="2" t="s">
        <v>465</v>
      </c>
      <c r="O5" s="2" t="s">
        <v>465</v>
      </c>
      <c r="P5" s="2" t="s">
        <v>465</v>
      </c>
      <c r="Q5" s="2" t="s">
        <v>633</v>
      </c>
      <c r="R5" s="2" t="s">
        <v>4</v>
      </c>
      <c r="S5" s="2" t="s">
        <v>630</v>
      </c>
      <c r="T5" s="2" t="s">
        <v>630</v>
      </c>
      <c r="V5" s="2" t="s">
        <v>4</v>
      </c>
      <c r="W5" s="2" t="s">
        <v>0</v>
      </c>
      <c r="X5" s="2" t="s">
        <v>52</v>
      </c>
      <c r="Y5" s="2" t="s">
        <v>8</v>
      </c>
      <c r="Z5" s="2" t="s">
        <v>22</v>
      </c>
      <c r="AA5" s="2" t="s">
        <v>29</v>
      </c>
      <c r="AB5" s="2" t="s">
        <v>139</v>
      </c>
      <c r="AC5" s="2" t="s">
        <v>8</v>
      </c>
      <c r="AD5" s="2" t="s">
        <v>22</v>
      </c>
      <c r="AE5" s="2" t="s">
        <v>29</v>
      </c>
      <c r="AF5" s="2" t="s">
        <v>139</v>
      </c>
      <c r="AG5" s="2" t="s">
        <v>26</v>
      </c>
      <c r="AI5" s="2" t="s">
        <v>9</v>
      </c>
      <c r="AJ5" s="2" t="s">
        <v>19</v>
      </c>
      <c r="AK5" s="2" t="s">
        <v>194</v>
      </c>
      <c r="AL5" s="2" t="s">
        <v>8</v>
      </c>
      <c r="AM5" s="2" t="s">
        <v>22</v>
      </c>
      <c r="AN5" s="2" t="s">
        <v>29</v>
      </c>
      <c r="AO5" s="2" t="s">
        <v>11</v>
      </c>
      <c r="AP5" s="2" t="s">
        <v>101</v>
      </c>
      <c r="AQ5" s="2" t="s">
        <v>4</v>
      </c>
      <c r="AR5" s="2" t="s">
        <v>347</v>
      </c>
      <c r="AS5" s="2" t="s">
        <v>347</v>
      </c>
      <c r="AT5" s="2" t="s">
        <v>353</v>
      </c>
      <c r="AV5" s="2" t="s">
        <v>1</v>
      </c>
      <c r="AW5" s="2" t="s">
        <v>9</v>
      </c>
      <c r="AX5" s="2" t="s">
        <v>18</v>
      </c>
      <c r="AY5" s="2" t="s">
        <v>612</v>
      </c>
      <c r="AZ5" s="2" t="s">
        <v>19</v>
      </c>
      <c r="BB5" s="2" t="s">
        <v>4</v>
      </c>
      <c r="BC5" s="2" t="s">
        <v>4</v>
      </c>
      <c r="BD5" s="2" t="s">
        <v>24</v>
      </c>
      <c r="BE5" s="2" t="s">
        <v>96</v>
      </c>
      <c r="BF5" s="2" t="s">
        <v>24</v>
      </c>
      <c r="BG5" s="2" t="s">
        <v>24</v>
      </c>
      <c r="BH5" s="2" t="s">
        <v>194</v>
      </c>
      <c r="BI5" s="2" t="s">
        <v>4</v>
      </c>
      <c r="BK5" s="2" t="s">
        <v>95</v>
      </c>
      <c r="BL5" s="2" t="s">
        <v>197</v>
      </c>
      <c r="BM5" s="2" t="s">
        <v>95</v>
      </c>
      <c r="BN5" s="2" t="s">
        <v>0</v>
      </c>
      <c r="BO5" s="2" t="s">
        <v>98</v>
      </c>
      <c r="BP5" s="2" t="s">
        <v>188</v>
      </c>
      <c r="BR5" s="2" t="s">
        <v>31</v>
      </c>
      <c r="BS5" s="2" t="s">
        <v>499</v>
      </c>
      <c r="BT5" s="2" t="s">
        <v>499</v>
      </c>
      <c r="BU5" s="2" t="s">
        <v>0</v>
      </c>
      <c r="BV5" s="2" t="s">
        <v>51</v>
      </c>
      <c r="BW5" s="2" t="s">
        <v>8</v>
      </c>
      <c r="BX5" s="2" t="s">
        <v>22</v>
      </c>
      <c r="BY5" s="2" t="s">
        <v>11</v>
      </c>
      <c r="BZ5" s="2" t="s">
        <v>29</v>
      </c>
      <c r="CA5" s="2" t="s">
        <v>3</v>
      </c>
      <c r="CB5" s="2" t="s">
        <v>193</v>
      </c>
      <c r="CD5" s="2" t="s">
        <v>4</v>
      </c>
      <c r="CE5" s="2" t="s">
        <v>4</v>
      </c>
      <c r="CF5" s="2" t="s">
        <v>594</v>
      </c>
      <c r="CG5" s="2" t="s">
        <v>644</v>
      </c>
      <c r="CH5" s="2" t="s">
        <v>0</v>
      </c>
      <c r="CI5" s="2" t="s">
        <v>0</v>
      </c>
      <c r="CJ5" s="2" t="s">
        <v>4</v>
      </c>
      <c r="CK5" s="87" t="s">
        <v>430</v>
      </c>
      <c r="CL5" s="2" t="s">
        <v>0</v>
      </c>
      <c r="CN5" s="2" t="s">
        <v>52</v>
      </c>
      <c r="CO5" s="2" t="s">
        <v>1</v>
      </c>
      <c r="CP5" s="2" t="s">
        <v>26</v>
      </c>
      <c r="CR5" s="2" t="s">
        <v>6</v>
      </c>
      <c r="CS5" s="2" t="s">
        <v>7</v>
      </c>
      <c r="CT5" s="2" t="s">
        <v>7</v>
      </c>
      <c r="CV5" s="2" t="s">
        <v>28</v>
      </c>
      <c r="CW5" s="2" t="s">
        <v>366</v>
      </c>
      <c r="CX5" s="2" t="s">
        <v>12</v>
      </c>
      <c r="CY5" s="2" t="s">
        <v>480</v>
      </c>
      <c r="DA5" s="2" t="s">
        <v>8</v>
      </c>
      <c r="DB5" s="2" t="s">
        <v>461</v>
      </c>
      <c r="DC5" s="2" t="s">
        <v>461</v>
      </c>
      <c r="DD5" s="2" t="s">
        <v>366</v>
      </c>
      <c r="DE5" s="2" t="s">
        <v>12</v>
      </c>
      <c r="DF5" s="2" t="s">
        <v>185</v>
      </c>
      <c r="DG5" s="2" t="s">
        <v>12</v>
      </c>
      <c r="DH5" s="2" t="s">
        <v>347</v>
      </c>
      <c r="DJ5" s="2" t="s">
        <v>29</v>
      </c>
      <c r="DK5" s="2" t="s">
        <v>7</v>
      </c>
      <c r="DL5" s="2" t="s">
        <v>7</v>
      </c>
      <c r="DM5" s="2" t="s">
        <v>366</v>
      </c>
      <c r="DN5" s="2" t="s">
        <v>12</v>
      </c>
      <c r="DO5" s="2" t="s">
        <v>185</v>
      </c>
      <c r="DQ5" s="2" t="s">
        <v>12</v>
      </c>
      <c r="DS5" s="2" t="s">
        <v>567</v>
      </c>
      <c r="DT5" s="2" t="s">
        <v>31</v>
      </c>
      <c r="DU5" s="2" t="s">
        <v>382</v>
      </c>
      <c r="DW5" s="2" t="s">
        <v>27</v>
      </c>
      <c r="DX5" s="2" t="s">
        <v>12</v>
      </c>
      <c r="DY5" s="2" t="s">
        <v>243</v>
      </c>
      <c r="DZ5" s="2" t="s">
        <v>31</v>
      </c>
      <c r="EA5" s="2" t="s">
        <v>31</v>
      </c>
      <c r="EB5" s="2" t="s">
        <v>31</v>
      </c>
      <c r="EC5" s="2" t="s">
        <v>46</v>
      </c>
      <c r="EE5" s="2" t="s">
        <v>27</v>
      </c>
      <c r="EF5" s="2" t="s">
        <v>12</v>
      </c>
      <c r="EG5" s="2" t="s">
        <v>243</v>
      </c>
      <c r="EH5" s="2" t="s">
        <v>31</v>
      </c>
      <c r="EI5" s="2" t="s">
        <v>31</v>
      </c>
      <c r="EJ5" s="2" t="s">
        <v>31</v>
      </c>
      <c r="EK5" s="2" t="s">
        <v>46</v>
      </c>
      <c r="EL5" s="2" t="s">
        <v>2</v>
      </c>
      <c r="EN5" s="2" t="s">
        <v>27</v>
      </c>
      <c r="EO5" s="2" t="s">
        <v>12</v>
      </c>
      <c r="EP5" s="2" t="s">
        <v>243</v>
      </c>
      <c r="EQ5" s="2" t="s">
        <v>31</v>
      </c>
      <c r="ER5" s="2" t="s">
        <v>31</v>
      </c>
      <c r="ES5" s="2" t="s">
        <v>31</v>
      </c>
      <c r="EU5" s="2" t="s">
        <v>27</v>
      </c>
      <c r="EV5" s="2" t="s">
        <v>104</v>
      </c>
      <c r="EW5" s="2" t="s">
        <v>243</v>
      </c>
      <c r="EX5" s="2" t="s">
        <v>31</v>
      </c>
      <c r="EY5" s="2" t="s">
        <v>31</v>
      </c>
      <c r="EZ5" s="2" t="s">
        <v>31</v>
      </c>
      <c r="FA5" s="2" t="s">
        <v>26</v>
      </c>
      <c r="FB5" s="2" t="s">
        <v>105</v>
      </c>
      <c r="FC5" s="2" t="s">
        <v>103</v>
      </c>
      <c r="FD5" s="2" t="s">
        <v>4</v>
      </c>
      <c r="FE5" s="2" t="s">
        <v>4</v>
      </c>
      <c r="FF5" s="2" t="s">
        <v>231</v>
      </c>
      <c r="FG5" s="2" t="s">
        <v>231</v>
      </c>
      <c r="FH5" s="2" t="s">
        <v>102</v>
      </c>
      <c r="FI5" s="2" t="s">
        <v>31</v>
      </c>
      <c r="FK5" s="2" t="s">
        <v>31</v>
      </c>
      <c r="FM5" s="2" t="s">
        <v>311</v>
      </c>
      <c r="FN5" s="2" t="s">
        <v>8</v>
      </c>
      <c r="FO5" s="2" t="s">
        <v>22</v>
      </c>
      <c r="FP5" s="2" t="s">
        <v>29</v>
      </c>
      <c r="FQ5" s="2" t="s">
        <v>11</v>
      </c>
      <c r="FR5" s="2" t="s">
        <v>41</v>
      </c>
      <c r="FS5" s="2" t="s">
        <v>347</v>
      </c>
      <c r="FT5" s="2" t="s">
        <v>347</v>
      </c>
      <c r="FV5" s="2" t="s">
        <v>4</v>
      </c>
      <c r="FW5" s="2" t="s">
        <v>318</v>
      </c>
      <c r="FX5" s="2" t="s">
        <v>1</v>
      </c>
      <c r="FY5" s="2" t="s">
        <v>4</v>
      </c>
      <c r="FZ5" s="2" t="s">
        <v>32</v>
      </c>
      <c r="GA5" s="2" t="s">
        <v>33</v>
      </c>
      <c r="GB5" s="2" t="s">
        <v>25</v>
      </c>
      <c r="GC5" s="2" t="s">
        <v>8</v>
      </c>
      <c r="GD5" s="2" t="s">
        <v>22</v>
      </c>
      <c r="GE5" s="2" t="s">
        <v>11</v>
      </c>
      <c r="GF5" s="2" t="s">
        <v>29</v>
      </c>
      <c r="GG5" s="2" t="s">
        <v>459</v>
      </c>
      <c r="GH5" s="2" t="s">
        <v>379</v>
      </c>
      <c r="GJ5" s="2" t="s">
        <v>1</v>
      </c>
      <c r="GK5" s="2" t="s">
        <v>8</v>
      </c>
      <c r="GL5" s="2" t="s">
        <v>22</v>
      </c>
      <c r="GM5" s="2" t="s">
        <v>29</v>
      </c>
      <c r="GN5" s="2" t="s">
        <v>11</v>
      </c>
      <c r="GP5" s="2" t="s">
        <v>8</v>
      </c>
      <c r="GQ5" s="2" t="s">
        <v>22</v>
      </c>
      <c r="GR5" s="2" t="s">
        <v>11</v>
      </c>
      <c r="GS5" s="2" t="s">
        <v>29</v>
      </c>
      <c r="GT5" s="2" t="s">
        <v>141</v>
      </c>
      <c r="GU5" s="2" t="s">
        <v>8</v>
      </c>
      <c r="GV5" s="2" t="s">
        <v>22</v>
      </c>
      <c r="GW5" s="2" t="s">
        <v>11</v>
      </c>
      <c r="GX5" s="2" t="s">
        <v>29</v>
      </c>
      <c r="GZ5" s="2" t="s">
        <v>35</v>
      </c>
      <c r="HA5" s="2" t="s">
        <v>37</v>
      </c>
      <c r="HB5" s="2" t="s">
        <v>21</v>
      </c>
      <c r="HC5" s="2" t="s">
        <v>653</v>
      </c>
      <c r="HD5" s="2" t="s">
        <v>654</v>
      </c>
      <c r="HE5" s="2" t="s">
        <v>43</v>
      </c>
      <c r="HG5" s="2" t="s">
        <v>9</v>
      </c>
      <c r="HH5" s="2" t="s">
        <v>37</v>
      </c>
      <c r="HI5"/>
      <c r="HJ5" s="2" t="s">
        <v>1</v>
      </c>
      <c r="HK5" s="2" t="s">
        <v>8</v>
      </c>
      <c r="HL5" s="2" t="s">
        <v>29</v>
      </c>
      <c r="HM5" s="2" t="s">
        <v>29</v>
      </c>
      <c r="HO5" s="2" t="s">
        <v>4</v>
      </c>
      <c r="HP5" s="2" t="s">
        <v>4</v>
      </c>
      <c r="HQ5" s="2" t="s">
        <v>94</v>
      </c>
      <c r="HR5" s="2" t="s">
        <v>0</v>
      </c>
      <c r="HV5" s="2" t="s">
        <v>179</v>
      </c>
      <c r="HW5" s="2" t="s">
        <v>179</v>
      </c>
    </row>
    <row r="6" spans="1:232" x14ac:dyDescent="0.25">
      <c r="A6" s="15" t="s">
        <v>88</v>
      </c>
      <c r="G6" s="2"/>
      <c r="BN6" s="4">
        <f>SUM(BN7:BN86)</f>
        <v>2766506.1680782218</v>
      </c>
      <c r="BQ6" s="2"/>
      <c r="CA6" s="4"/>
      <c r="CB6" s="4"/>
      <c r="CC6" s="4"/>
      <c r="CD6" s="4"/>
      <c r="CL6" s="4" t="e">
        <f ca="1">SUM(CL7:CL86)</f>
        <v>#NAME?</v>
      </c>
      <c r="DF6" s="10">
        <f>B53</f>
        <v>0</v>
      </c>
      <c r="DO6" s="10">
        <f>B54</f>
        <v>5000</v>
      </c>
      <c r="GP6" s="3"/>
      <c r="GQ6" s="3"/>
      <c r="GR6" s="3"/>
      <c r="GS6" s="3"/>
      <c r="GT6" s="3"/>
      <c r="GU6">
        <f>B65</f>
        <v>1</v>
      </c>
      <c r="GV6">
        <f>B66</f>
        <v>1</v>
      </c>
      <c r="GW6">
        <f>B68</f>
        <v>1</v>
      </c>
      <c r="GX6">
        <f>B67</f>
        <v>1</v>
      </c>
    </row>
    <row r="7" spans="1:232" x14ac:dyDescent="0.25">
      <c r="A7" t="s">
        <v>56</v>
      </c>
      <c r="B7">
        <f>Inputs_Summary!AJ4</f>
        <v>2017</v>
      </c>
      <c r="D7">
        <f>AV7</f>
        <v>2017</v>
      </c>
      <c r="E7">
        <f>AW7</f>
        <v>22</v>
      </c>
      <c r="F7" s="8"/>
      <c r="G7" s="8"/>
      <c r="H7" s="8"/>
      <c r="I7" s="9"/>
      <c r="J7" s="92"/>
      <c r="K7" s="91"/>
      <c r="L7" s="91"/>
      <c r="N7" s="93">
        <f>IF(AND(J7&lt;&gt;"",J7&lt;&gt;" "),J7,$B$17)</f>
        <v>0.05</v>
      </c>
      <c r="O7" s="23">
        <f>IF(AND(K7&lt;&gt;"",K7&lt;&gt;" "),K7,$B$18)</f>
        <v>0</v>
      </c>
      <c r="P7" s="23">
        <f>IF(AND(L7&lt;&gt;"",L7&lt;&gt;" "),L7,$B$19)</f>
        <v>0.4</v>
      </c>
      <c r="Q7" s="4">
        <f t="shared" ref="Q7:Q38" si="0">G7*$AX7*$HW$12</f>
        <v>0</v>
      </c>
      <c r="R7" s="4">
        <f>G7*$AX7*(1+$HW$12)</f>
        <v>0</v>
      </c>
      <c r="S7" s="4">
        <f t="shared" ref="S7:S38" si="1">R7*$HW$13</f>
        <v>0</v>
      </c>
      <c r="T7" s="4">
        <f t="shared" ref="T7:T38" ca="1" si="2">R7*$HW$24</f>
        <v>0</v>
      </c>
      <c r="V7" s="18" t="e">
        <f t="shared" ref="V7:V38" ca="1" si="3">CJ7*$FV7/1000</f>
        <v>#NAME?</v>
      </c>
      <c r="W7" s="18" t="e">
        <f t="shared" ref="W7:W38" ca="1" si="4">(CH7+CI7)*$FV7/1000</f>
        <v>#NAME?</v>
      </c>
      <c r="X7" s="18">
        <f t="shared" ref="X7:X38" si="5">CN7*$FV7/1000</f>
        <v>0</v>
      </c>
      <c r="Y7" s="18">
        <f t="shared" ref="Y7:Y38" ca="1" si="6">(DE7-BW7)*$FV7/1000</f>
        <v>4.8</v>
      </c>
      <c r="Z7" s="18">
        <f t="shared" ref="Z7:Z38" ca="1" si="7">(CX7-BX7)*$FV7/1000</f>
        <v>2.4</v>
      </c>
      <c r="AA7" s="18">
        <f t="shared" ref="AA7:AA38" ca="1" si="8">(DN7-BZ7)*$FV7/1000</f>
        <v>1.3701874999999999</v>
      </c>
      <c r="AB7" s="18">
        <f t="shared" ref="AB7:AB38" ca="1" si="9">(DQ7-BY7)*$FV7/1000</f>
        <v>0</v>
      </c>
      <c r="AC7" s="18">
        <f t="shared" ref="AC7:AC38" si="10">DW7*$FW7/1000</f>
        <v>0</v>
      </c>
      <c r="AD7" s="18">
        <f t="shared" ref="AD7:AD38" si="11">EE7*$FW7/1000</f>
        <v>0</v>
      </c>
      <c r="AE7" s="18">
        <f t="shared" ref="AE7:AE38" si="12">EN7*$FW7/1000</f>
        <v>0</v>
      </c>
      <c r="AF7" s="18">
        <f t="shared" ref="AF7:AF38" si="13">EU7*$FW7/1000</f>
        <v>0</v>
      </c>
      <c r="AG7" s="18">
        <f t="shared" ref="AG7:AG38" si="14">CP7*$FW7/1000</f>
        <v>0</v>
      </c>
      <c r="AI7">
        <f>Person1!E7</f>
        <v>22</v>
      </c>
      <c r="AJ7">
        <f>Person1!AZ7</f>
        <v>1</v>
      </c>
      <c r="AK7">
        <f>IF($AZ7&lt;&gt;3,Person1!FM7,0)</f>
        <v>0</v>
      </c>
      <c r="AL7" s="4">
        <f ca="1">IF($AZ7&lt;&gt;3,Person1!FN7+Person1!FT7,0)</f>
        <v>6745.6819766819608</v>
      </c>
      <c r="AM7">
        <f>IF($AZ7&lt;&gt;3,Person1!FO7,0)</f>
        <v>0</v>
      </c>
      <c r="AN7">
        <f>IF($AZ7&lt;&gt;3,Person1!FP7,0)</f>
        <v>0</v>
      </c>
      <c r="AO7">
        <f>IF($AZ7&lt;&gt;3,Person1!FQ7,0)</f>
        <v>0</v>
      </c>
      <c r="AP7">
        <f>IF($AZ7&lt;&gt;3,Person1!FR7,0)</f>
        <v>0</v>
      </c>
      <c r="AQ7" s="4">
        <f t="shared" ref="AQ7:AQ38" si="15">CHOOSE(AZ7,0,IF(AV7&gt;=$B$93,$B$32*$AX7*(1+$B$31)^(AW7-$B$12),0),0,0)</f>
        <v>0</v>
      </c>
      <c r="AR7" s="4">
        <f>Person1!FS7</f>
        <v>0</v>
      </c>
      <c r="AS7" s="4">
        <f>$B$41*MAX(0,CHOOSE($AZ7,0,IF(AND(Person1!AW7&gt;=Person1!$B$36,AV7&gt;=$B$93),Person1!$B$35*(1+Person1!$B$37)^(Person1!$B$36-Person1!$B$11)*(1+Person1!$B$38)^(Person1!AW7-Person1!$B$36)-CHOOSE(Person1!$B$39+1,0,BD7,BE7,BD7+BE7),0),0,0))</f>
        <v>0</v>
      </c>
      <c r="AT7" s="4">
        <f t="shared" ref="AT7:AT38" si="16">CHOOSE($AZ7,0,IF(AND(AW7&gt;=$B$42,AV7&gt;=$B$93),$B$44*AX7,0),0,0)</f>
        <v>0</v>
      </c>
      <c r="AV7" s="10">
        <f>B7</f>
        <v>2017</v>
      </c>
      <c r="AW7" s="10">
        <f>B11</f>
        <v>22</v>
      </c>
      <c r="AX7">
        <v>1</v>
      </c>
      <c r="AY7">
        <f>1/AX7</f>
        <v>1</v>
      </c>
      <c r="AZ7">
        <f>IF(AW7=$B$13,4,IF(AW7&gt;$B$13,3,IF(AW7&lt;$B$12,1,2)))</f>
        <v>1</v>
      </c>
      <c r="BB7" s="4">
        <f t="shared" ref="BB7:BB38" si="17">CHOOSE($AZ7,$B$21*(1+$B$16)^(D7-$B$7),0,0,0)</f>
        <v>40000</v>
      </c>
      <c r="BC7">
        <f t="shared" ref="BC7:BC38" si="18">(F7+G7)*AX7</f>
        <v>0</v>
      </c>
      <c r="BD7" s="4">
        <f t="shared" ref="BD7:BD38" si="19">CHOOSE($AZ7,0,IF(AW7&gt;=$B$42,$B$80*AX7,0),0,0)+AT7</f>
        <v>0</v>
      </c>
      <c r="BE7" s="4">
        <f>CHOOSE($AZ7,0,MAX(0,IF(AW7&gt;=$B$45,$B$81*AX7-$HQ$64*MAX(0,(CE6-$HR$63*AX7))),0),0,0)</f>
        <v>0</v>
      </c>
      <c r="BF7" s="4">
        <f>(1-$B$40)*MAX(0,CHOOSE($AZ7,0,IF(AW7&gt;=$B$36,$B$35*(1+$B$37)^($B$36-$B$11)*(1+$B$38)^(AW7-$B$36)-$B$39*BD7,0),0,0))</f>
        <v>0</v>
      </c>
      <c r="BG7" s="4">
        <f>AR7+AS7</f>
        <v>0</v>
      </c>
      <c r="BH7" s="4">
        <f t="shared" ref="BH7:BH38" si="20">H7*AX7+AK7</f>
        <v>0</v>
      </c>
      <c r="BI7" s="4">
        <f>SUM(BB7:BH7)</f>
        <v>40000</v>
      </c>
      <c r="BJ7" s="4"/>
      <c r="BK7" s="4">
        <f t="shared" ref="BK7:BK38" si="21">CHOOSE(AZ7,$B$28*$AX7*(1+$B$29)^(AW7-$B$11),$B$30*$AX7*(1+$B$31)^(AW7-$B$12),0,0)</f>
        <v>25000</v>
      </c>
      <c r="BL7" s="4">
        <f>CHOOSE(AZ7,I7*AX7,I7*AX7,0,0)</f>
        <v>0</v>
      </c>
      <c r="BM7" s="4">
        <f>BK7+BL7+AQ7</f>
        <v>25000</v>
      </c>
      <c r="BN7" s="4">
        <v>6429.8125</v>
      </c>
      <c r="BO7" s="4">
        <f>IF(ISERROR(BN7),BM7,BM7+BN7)</f>
        <v>31429.8125</v>
      </c>
      <c r="BP7" s="4">
        <f>CHOOSE(AZ7,BI7-BO7,BI7-BO7,0,0)</f>
        <v>8570.1875</v>
      </c>
      <c r="BQ7" s="4"/>
      <c r="BR7" s="4">
        <v>0</v>
      </c>
      <c r="BS7" s="4">
        <f t="shared" ref="BS7:BS38" ca="1" si="22">IF(AND($B$56=1,$B$62=1),CT7-DB7+DF6,0)</f>
        <v>7200</v>
      </c>
      <c r="BT7" s="4">
        <f t="shared" ref="BT7:BT38" ca="1" si="23">IF(AND($B$57=1,$B$60=1),DM7,0)</f>
        <v>10500</v>
      </c>
      <c r="BU7" s="4">
        <f t="shared" ref="BU7:BU38" si="24">MAX(0,-BP7)</f>
        <v>0</v>
      </c>
      <c r="BV7" s="4">
        <f t="shared" ref="BV7:BV38" si="25">CHOOSE(AZ7,1,1,0,0)</f>
        <v>1</v>
      </c>
      <c r="BW7" s="4">
        <f t="shared" ref="BW7:BW38" si="26">IF(AND(AZ7=4,$B$79=2),DW7,MAX(EA7,MIN(EB7,$BU7*GU7+BR7+IF(AND($B$61=1,AZ7=2),(BT7-MAX(0,BP7)))))*$BV7)</f>
        <v>0</v>
      </c>
      <c r="BX7" s="4">
        <f t="shared" ref="BX7:BX38" si="27">IF(AND(AZ7=4,$B$79=2),EE7,MAX(EI7,MIN(EJ7,$BU7*GV7))*$BV7)</f>
        <v>0</v>
      </c>
      <c r="BY7" s="4">
        <f t="shared" ref="BY7:BY38" ca="1" si="28">IF(AND(AZ7=4,$B$79=2),EU7,MAX(EY7,MIN(EZ7,$BU7-SUM(BW7,BX7)+(BS7+BT7-MAX(0,BP7))-MAX(0,BW7+BX7-BU7)))*$BV7)</f>
        <v>0</v>
      </c>
      <c r="BZ7" s="4">
        <f t="shared" ref="BZ7:BZ38" ca="1" si="29">IF(AND(AZ7=4,$B$79=2),EN7,MAX(ER7,MIN(ES7,$BU7-SUM(BW7,BX7,BY7)))*$BV7)</f>
        <v>0</v>
      </c>
      <c r="CA7" s="4">
        <f t="shared" ref="CA7:CA70" ca="1" si="30">SUM(BW7,BX7,BY7,BZ7)</f>
        <v>0</v>
      </c>
      <c r="CB7" s="4">
        <f ca="1">MAX(0,BW7+BX7+BY7-BU7)*$BV7</f>
        <v>0</v>
      </c>
      <c r="CC7" s="4"/>
      <c r="CD7" s="4">
        <f t="shared" ref="CD7:CD38" ca="1" si="31">BI7+CA7</f>
        <v>40000</v>
      </c>
      <c r="CE7" s="4">
        <f ca="1">IF($AZ7=3,0,BI7-BH7+BW7+BX7+FD7+FE7+FI7-DE7-CX7+Q7-CG7)</f>
        <v>30341.25</v>
      </c>
      <c r="CF7" s="16">
        <f t="shared" ref="CF7:CF38" si="32">IF($E7&gt;=$HQ$49,MAX(0,MIN(1,1-(CE7-AX7*$HR$50)*$HQ$51/$HW$9)),0)</f>
        <v>0</v>
      </c>
      <c r="CG7" s="4">
        <f t="shared" ref="CG7:CG38" si="33">IF(E7&gt;$HQ$73,0,MAX(0,MIN($HR$72*AX7,(BB7-$HR$71)*$HQ$70)))+MAX(0,MIN($HQ$69*AX7,BB7*$HQ$68))</f>
        <v>2458.75</v>
      </c>
      <c r="CH7" s="4" t="e">
        <f t="shared" ref="CH7:CH38" ca="1" si="34">MAX(0,interpolate($CE7/$AX7,$HP$7:$HP$13,$HR$7:$HR$13,7)*$AX7-($B$25+$HW$8+CF7*$HW$9)*$AX7*$HV$7-FF7-S7)</f>
        <v>#NAME?</v>
      </c>
      <c r="CI7" s="4" t="e">
        <f t="shared" ref="CI7:CI38" ca="1" si="35">MAX(0,interpolate($CE7/$AX7,$HP$18:$HP$24,$HR$18:$HR$24,7)*$AX7-($B$26+$HW$19+CF7*$HW$20)*$AX7*$HV$18-FG7-T7)</f>
        <v>#NAME?</v>
      </c>
      <c r="CJ7" s="4" t="e">
        <f ca="1">CD7-(CG7+CH7+CI7)-CR7</f>
        <v>#NAME?</v>
      </c>
      <c r="CK7" s="4" t="e">
        <f ca="1">CJ7/AX7</f>
        <v>#NAME?</v>
      </c>
      <c r="CL7" s="4" t="e">
        <f t="shared" ref="CL7:CL38" ca="1" si="36">IF(OR(CD7=0,ISERROR(BN7),(CD7-CR7)=0),0.15*CD7,MAX(0,$B$71*(CG7+CH7+CI7)+(1-$B$71)*(BN7)))</f>
        <v>#NAME?</v>
      </c>
      <c r="CM7" s="16"/>
      <c r="CN7" s="4">
        <f t="shared" ref="CN7:CN38" si="37">CHOOSE($AZ7,0,BM7-CJ7,0,0)</f>
        <v>0</v>
      </c>
      <c r="CO7" s="4">
        <f t="shared" ref="CO7:CO38" si="38">CHOOSE(AZ7,0,IF(CN7&gt;100,1,0),0,0)</f>
        <v>0</v>
      </c>
      <c r="CP7" s="4">
        <f t="shared" ref="CP7:CP40" si="39">DW7+EE7+EN7+EU7</f>
        <v>0</v>
      </c>
      <c r="CQ7" s="4"/>
      <c r="CR7" s="4">
        <f t="shared" ref="CR7:CR38" ca="1" si="40">MAX(0,BP7)+CB7</f>
        <v>8570.1875</v>
      </c>
      <c r="CS7" s="4">
        <f t="shared" ref="CS7:CS38" ca="1" si="41">OFFSET($HK$7,$D7-$HJ$7,0)</f>
        <v>26010</v>
      </c>
      <c r="CT7" s="4">
        <f t="shared" ref="CT7:CT38" ca="1" si="42">MAX(0,MIN($HQ$66*BB7,CS7))</f>
        <v>7200</v>
      </c>
      <c r="CU7" s="4"/>
      <c r="CV7" s="4">
        <f ca="1">CR7</f>
        <v>8570.1875</v>
      </c>
      <c r="CW7" s="4">
        <f t="shared" ref="CW7:CW38" ca="1" si="43">MIN(CT7,$B$22*BB7)</f>
        <v>2400</v>
      </c>
      <c r="CX7" s="4">
        <f t="shared" ref="CX7:CX38" ca="1" si="44">IF(E7&gt;=72,0,MIN(CV7,CW7))</f>
        <v>2400</v>
      </c>
      <c r="CY7" s="4">
        <f ca="1">MAX(0,CR7-CX7)</f>
        <v>6170.1875</v>
      </c>
      <c r="CZ7" s="4"/>
      <c r="DA7" s="4">
        <f t="shared" ref="DA7:DA38" ca="1" si="45">CHOOSE($B$58+1,CY7-DN7,CY7)</f>
        <v>6170.1875</v>
      </c>
      <c r="DB7" s="4">
        <f t="shared" ref="DB7:DB38" si="46">CHOOSE(AZ7,$B$23*(1+$B$16)^(D7-$B$7),0,0,0)</f>
        <v>0</v>
      </c>
      <c r="DC7" s="4">
        <f ca="1">CX7</f>
        <v>2400</v>
      </c>
      <c r="DD7" s="4">
        <f t="shared" ref="DD7:DD38" ca="1" si="47">IF(E7&gt;=72,0,MAX(0,CT7-DB7-DC7+DF6))</f>
        <v>4800</v>
      </c>
      <c r="DE7" s="4">
        <f t="shared" ref="DE7:DE38" ca="1" si="48">MIN(DA7,DD7*$B$56)</f>
        <v>4800</v>
      </c>
      <c r="DF7" s="4">
        <f ca="1">DD7-DE7</f>
        <v>0</v>
      </c>
      <c r="DG7" s="4">
        <f ca="1">DE7-DH7</f>
        <v>4800</v>
      </c>
      <c r="DH7" s="4">
        <f t="shared" ref="DH7:DH38" ca="1" si="49">IF(AND(AI7&lt;=70,AJ7&lt;=2),DE7*$B$24,0)</f>
        <v>0</v>
      </c>
      <c r="DI7" s="4"/>
      <c r="DJ7" s="4">
        <f t="shared" ref="DJ7:DJ38" ca="1" si="50">CHOOSE($B$58+1,CY7,CY7-DE7)</f>
        <v>1370.1875</v>
      </c>
      <c r="DK7" s="4">
        <f t="shared" ref="DK7:DK38" ca="1" si="51">OFFSET($HL$7,$D7-$HJ$7,0)</f>
        <v>5500</v>
      </c>
      <c r="DL7" s="4">
        <f t="shared" ref="DL7:DL38" ca="1" si="52">IF(E7&lt;18,0,DK7)</f>
        <v>5500</v>
      </c>
      <c r="DM7" s="4">
        <f t="shared" ref="DM7:DM38" ca="1" si="53">CHOOSE(AZ7,DL7+DO6+EQ6,DL7+DO6+EQ6,0,0)</f>
        <v>10500</v>
      </c>
      <c r="DN7" s="4">
        <f t="shared" ref="DN7:DN38" ca="1" si="54">MIN(DJ7,DM7*CHOOSE(AZ7,$B$57,$B$57,0,0))</f>
        <v>1370.1875</v>
      </c>
      <c r="DO7" s="4">
        <f t="shared" ref="DO7:DO70" ca="1" si="55">DM7-DN7</f>
        <v>9129.8125</v>
      </c>
      <c r="DP7" s="4"/>
      <c r="DQ7" s="4">
        <f t="shared" ref="DQ7:DQ70" ca="1" si="56">MAX(0,CY7-DE7-DN7)</f>
        <v>0</v>
      </c>
      <c r="DR7" s="4"/>
      <c r="DS7" s="4">
        <f>IF($B$74=1,$B$83*AX7,0)</f>
        <v>0</v>
      </c>
      <c r="DT7" s="4">
        <f t="shared" ref="DT7:DT44" si="57">IF(AZ7=2,MAX(0,MIN(EB7,DS7-CE7+BR7)),0)</f>
        <v>0</v>
      </c>
      <c r="DU7" s="4">
        <f t="shared" ref="DU7:DU38" si="58">IF($B$74=1,IF(ISERROR(DT7),0,DT7),0)</f>
        <v>0</v>
      </c>
      <c r="DV7" s="4"/>
      <c r="DW7" s="12">
        <f>B86</f>
        <v>0</v>
      </c>
      <c r="DX7" s="4">
        <f t="shared" ref="DX7:DX38" ca="1" si="59">DG7+AL7</f>
        <v>11545.681976681961</v>
      </c>
      <c r="DY7" s="4">
        <f>IF($AZ7&gt;=3,0,DW7*$N7)</f>
        <v>0</v>
      </c>
      <c r="DZ7" s="4">
        <f t="shared" ref="DZ7:DZ38" si="60">BW7</f>
        <v>0</v>
      </c>
      <c r="EA7" s="4">
        <f t="shared" ref="EA7:EA38" si="61">CHOOSE($EC7,0,interpolate($AW7,$HG$7:$HG$60,$HH$7:$HH$60,54))*$DW7</f>
        <v>0</v>
      </c>
      <c r="EB7" s="4">
        <f t="shared" ref="EB7:EB38" si="62">IF(AND($B$63=1,E7&lt;$B$49),0,MAX(0,DW7+DY7))</f>
        <v>0</v>
      </c>
      <c r="EC7" s="4">
        <f t="shared" ref="EC7:EC38" si="63">IF($AW7&lt;$B$49,1,2)</f>
        <v>1</v>
      </c>
      <c r="ED7" s="4"/>
      <c r="EE7" s="12">
        <f>B87</f>
        <v>0</v>
      </c>
      <c r="EF7" s="4">
        <f t="shared" ref="EF7:EF38" ca="1" si="64">CX7+AM7</f>
        <v>2400</v>
      </c>
      <c r="EG7" s="4">
        <f>IF($AZ7&gt;=3,0,EE7*$N7)</f>
        <v>0</v>
      </c>
      <c r="EH7" s="4">
        <f t="shared" ref="EH7:EH38" si="65">BX7</f>
        <v>0</v>
      </c>
      <c r="EI7" s="4">
        <f t="shared" ref="EI7:EI38" si="66">CHOOSE($EK7,0,interpolate($AW7,$GZ$7:$GZ$58,$HA$7:$HA$58,52))*$EE7</f>
        <v>0</v>
      </c>
      <c r="EJ7" s="4">
        <f t="shared" ref="EJ7:EJ38" si="67">CHOOSE($EK7,0,interpolate($AW7,$GZ$7:$GZ$58,$HB$7:$HB$58,52))*$EE7</f>
        <v>0</v>
      </c>
      <c r="EK7" s="4">
        <f t="shared" ref="EK7:EK38" si="68">IF($AW7&lt;$B$48,1,2)</f>
        <v>1</v>
      </c>
      <c r="EL7" s="4">
        <f t="shared" ref="EL7:EL38" si="69">IF(AND($B$59=1,AW7=MAX($B$12,$B$48,IF($B$8="Alberta",50,55))),0.5*EE7,0)</f>
        <v>0</v>
      </c>
      <c r="EM7" s="4"/>
      <c r="EN7" s="12">
        <f>B88</f>
        <v>0</v>
      </c>
      <c r="EO7" s="4">
        <f t="shared" ref="EO7:EO38" ca="1" si="70">DN7+AN7</f>
        <v>1370.1875</v>
      </c>
      <c r="EP7" s="4">
        <f>IF($AZ7&gt;=3,0,EN7*$N7)</f>
        <v>0</v>
      </c>
      <c r="EQ7" s="4">
        <f t="shared" ref="EQ7:EQ38" ca="1" si="71">BZ7</f>
        <v>0</v>
      </c>
      <c r="ER7" s="4">
        <v>0</v>
      </c>
      <c r="ES7" s="4">
        <f>EN7+EP7</f>
        <v>0</v>
      </c>
      <c r="ET7" s="4"/>
      <c r="EU7" s="12">
        <f>B89</f>
        <v>0</v>
      </c>
      <c r="EV7" s="4">
        <f t="shared" ref="EV7:EV38" ca="1" si="72">DQ7+AO7</f>
        <v>0</v>
      </c>
      <c r="EW7" s="4">
        <f>IF($AZ7&gt;=3,0,EU7*$N7)</f>
        <v>0</v>
      </c>
      <c r="EX7" s="4">
        <f t="shared" ref="EX7:EX38" ca="1" si="73">BY7</f>
        <v>0</v>
      </c>
      <c r="EY7" s="4">
        <v>0</v>
      </c>
      <c r="EZ7" s="4">
        <f>EU7+EW7</f>
        <v>0</v>
      </c>
      <c r="FA7" s="12">
        <f>B90</f>
        <v>0</v>
      </c>
      <c r="FB7" s="1">
        <f t="shared" ref="FB7:FB70" si="74">IF(EU7=0,0,FA7/EU7)</f>
        <v>0</v>
      </c>
      <c r="FC7" s="4">
        <f>EW7*$O7</f>
        <v>0</v>
      </c>
      <c r="FD7" s="4">
        <f>EW7*(1-$O7-$P7)</f>
        <v>0</v>
      </c>
      <c r="FE7" s="4">
        <f t="shared" ref="FE7:FE38" si="75">EW7*$P7*(1+$HQ$59)</f>
        <v>0</v>
      </c>
      <c r="FF7" s="4">
        <f t="shared" ref="FF7:FF38" si="76">FE7*$HV$13</f>
        <v>0</v>
      </c>
      <c r="FG7" s="4">
        <f t="shared" ref="FG7:FG38" ca="1" si="77">FE7*$HV$24</f>
        <v>0</v>
      </c>
      <c r="FH7" s="17">
        <f t="shared" ref="FH7:FH38" ca="1" si="78">MAX(0,EX7*FB7)</f>
        <v>0</v>
      </c>
      <c r="FI7" s="4">
        <f t="shared" ref="FI7:FI38" ca="1" si="79">FH7*$HQ$61</f>
        <v>0</v>
      </c>
      <c r="FJ7" s="4"/>
      <c r="FK7" s="4">
        <f t="shared" ref="FK7:FK38" si="80">EB7+(EE7+EG7)*(EK7-1)+ES7+EZ7</f>
        <v>0</v>
      </c>
      <c r="FL7" s="4"/>
      <c r="FM7" s="4">
        <v>0</v>
      </c>
      <c r="FN7" s="4">
        <v>0</v>
      </c>
      <c r="FO7" s="4">
        <v>0</v>
      </c>
      <c r="FP7" s="4">
        <v>0</v>
      </c>
      <c r="FQ7" s="4">
        <v>0</v>
      </c>
      <c r="FR7" s="4">
        <v>0</v>
      </c>
      <c r="FS7" s="4">
        <f t="shared" ref="FS7:FS38" si="81">$B$40/(1-$B$40)*BF7</f>
        <v>0</v>
      </c>
      <c r="FT7" s="4">
        <f t="shared" ref="FT7:FT38" ca="1" si="82">DH7</f>
        <v>0</v>
      </c>
      <c r="FU7" s="4"/>
      <c r="FV7" s="3">
        <f t="shared" ref="FV7:FV38" si="83">IF(AZ7&gt;=3,0,IF($B$9=1,1/$AX7,1))</f>
        <v>1</v>
      </c>
      <c r="FW7" s="3">
        <f t="shared" ref="FW7:FW38" si="84">IF(AZ7=3,0,IF($B$9=1,1/$AX7,1))</f>
        <v>1</v>
      </c>
      <c r="FX7" s="4">
        <f>IF($B$70=1,AW7,AV7)</f>
        <v>2017</v>
      </c>
      <c r="FY7" s="4">
        <f t="shared" ref="FY7:FY38" si="85">(BB7+BC7+BH7)*$FV7/1000</f>
        <v>40</v>
      </c>
      <c r="FZ7" s="4">
        <f t="shared" ref="FZ7:FZ38" si="86">BD7*$FV7/1000</f>
        <v>0</v>
      </c>
      <c r="GA7" s="4">
        <f t="shared" ref="GA7:GA38" si="87">BE7*$FV7/1000</f>
        <v>0</v>
      </c>
      <c r="GB7" s="4">
        <f t="shared" ref="GB7:GB38" si="88">(BF7+BG7)*$FV7/1000</f>
        <v>0</v>
      </c>
      <c r="GC7" s="4">
        <f t="shared" ref="GC7:GC38" si="89">BW7*$FV7/1000</f>
        <v>0</v>
      </c>
      <c r="GD7" s="4">
        <f t="shared" ref="GD7:GD38" si="90">BX7*$FV7/1000</f>
        <v>0</v>
      </c>
      <c r="GE7" s="4">
        <f t="shared" ref="GE7:GE38" ca="1" si="91">BY7*$FV7/1000</f>
        <v>0</v>
      </c>
      <c r="GF7" s="4">
        <f t="shared" ref="GF7:GF38" ca="1" si="92">BZ7*$FV7/1000</f>
        <v>0</v>
      </c>
      <c r="GG7" s="18" t="e">
        <f t="shared" ref="GG7:GG38" ca="1" si="93">(CJ7+CR7)*$FV7/1000</f>
        <v>#NAME?</v>
      </c>
      <c r="GH7" s="18" t="e">
        <f t="shared" ref="GH7:GH38" ca="1" si="94">CJ7*$FV7/1000</f>
        <v>#NAME?</v>
      </c>
      <c r="GI7" s="4"/>
      <c r="GJ7" s="4">
        <f t="shared" ref="GJ7:GJ38" si="95">FX7</f>
        <v>2017</v>
      </c>
      <c r="GK7" s="4">
        <f t="shared" ref="GK7:GK38" si="96">DW7*$FW7/1000</f>
        <v>0</v>
      </c>
      <c r="GL7" s="4">
        <f t="shared" ref="GL7:GL38" si="97">EE7*$FW7/1000</f>
        <v>0</v>
      </c>
      <c r="GM7" s="4">
        <f t="shared" ref="GM7:GM38" si="98">EN7*$FW7/1000</f>
        <v>0</v>
      </c>
      <c r="GN7" s="4">
        <f t="shared" ref="GN7:GN38" si="99">EU7*$FW7/1000</f>
        <v>0</v>
      </c>
      <c r="GO7" s="4"/>
      <c r="GP7" s="3">
        <f>IF(FK7=0,0.1,EB7/FK7)</f>
        <v>0.1</v>
      </c>
      <c r="GQ7" s="3">
        <f t="shared" ref="GQ7:GQ38" si="100">IF(FK7=0,0.1,(EE7+EG7)*(EK7-1)/FK7)</f>
        <v>0.1</v>
      </c>
      <c r="GR7" s="3">
        <f t="shared" ref="GR7:GR38" si="101">IF(FK7=0,0.1,EZ7/FK7)</f>
        <v>0.1</v>
      </c>
      <c r="GS7" s="3">
        <f t="shared" ref="GS7:GS38" si="102">IF(FK7=0,0.1,ES7/FK7)</f>
        <v>0.1</v>
      </c>
      <c r="GT7" s="3">
        <f t="array" ref="GT7">SUM(GP7:GS7*$GU$6:$GX$6)</f>
        <v>0.4</v>
      </c>
      <c r="GU7" s="3">
        <f>IF($GT7=0,0.25,MIN(1,MAX(0,GP7*GU$6/$GT7)))</f>
        <v>0.25</v>
      </c>
      <c r="GV7" s="3">
        <f>IF($GT7=0,0.25,MIN(1,MAX(0,GQ7*GV$6/$GT7)))</f>
        <v>0.25</v>
      </c>
      <c r="GW7" s="3">
        <f>IF($GT7=0,0.25,MIN(1,MAX(0,GR7*GW$6/$GT7)))</f>
        <v>0.25</v>
      </c>
      <c r="GX7" s="3">
        <f>IF($GT7=0,0.25,MIN(1,MAX(0,GS7*GX$6/$GT7)))</f>
        <v>0.25</v>
      </c>
      <c r="GY7" s="11"/>
      <c r="GZ7" s="27">
        <v>0</v>
      </c>
      <c r="HA7" s="29">
        <v>2.5000000000000001E-2</v>
      </c>
      <c r="HB7" s="29">
        <f ca="1">OFFSET(HC7,0,$HB$3-1)</f>
        <v>6.2700000000000006E-2</v>
      </c>
      <c r="HC7" s="29">
        <v>6.2700000000000006E-2</v>
      </c>
      <c r="HD7" s="29">
        <v>6.0999999999999999E-2</v>
      </c>
      <c r="HE7" s="29">
        <v>4.3900000000000002E-2</v>
      </c>
      <c r="HG7" s="27">
        <v>0</v>
      </c>
      <c r="HH7" s="30">
        <v>2.3799999999999998E-2</v>
      </c>
      <c r="HJ7">
        <v>2010</v>
      </c>
      <c r="HK7" s="27">
        <v>22000</v>
      </c>
      <c r="HL7" s="27">
        <v>5000</v>
      </c>
      <c r="HM7" s="27"/>
      <c r="HO7">
        <f t="shared" ref="HO7:HO13" si="103">HQ29</f>
        <v>0</v>
      </c>
      <c r="HP7" s="4">
        <f t="shared" ref="HP7:HP13" si="104">HO7*(1+$B$15)^($B$7-$HP$26)</f>
        <v>0</v>
      </c>
      <c r="HQ7" s="3">
        <f t="shared" ref="HQ7:HQ13" ca="1" si="105">HQ37*$HV$21</f>
        <v>0</v>
      </c>
      <c r="HR7">
        <v>0</v>
      </c>
      <c r="HS7" s="4"/>
      <c r="HT7" t="s">
        <v>178</v>
      </c>
      <c r="HU7" s="4"/>
      <c r="HV7" s="3">
        <f ca="1">HQ45*$HV$21</f>
        <v>0.15</v>
      </c>
    </row>
    <row r="8" spans="1:232" x14ac:dyDescent="0.25">
      <c r="A8" t="s">
        <v>160</v>
      </c>
      <c r="B8" t="str">
        <f>Inputs_Summary!AJ5</f>
        <v>Alberta</v>
      </c>
      <c r="D8">
        <f t="shared" ref="D8:E71" si="106">AV8</f>
        <v>2018</v>
      </c>
      <c r="E8">
        <f t="shared" si="106"/>
        <v>23</v>
      </c>
      <c r="F8" s="8"/>
      <c r="G8" s="8"/>
      <c r="H8" s="9"/>
      <c r="I8" s="9"/>
      <c r="J8" s="92"/>
      <c r="K8" s="91"/>
      <c r="L8" s="91"/>
      <c r="N8" s="93">
        <f t="shared" ref="N8:N71" si="107">IF(AND(J8&lt;&gt;"",J8&lt;&gt;" "),J8,$B$17)</f>
        <v>0.05</v>
      </c>
      <c r="O8" s="23">
        <f t="shared" ref="O8:O71" si="108">IF(AND(K8&lt;&gt;"",K8&lt;&gt;" "),K8,$B$18)</f>
        <v>0</v>
      </c>
      <c r="P8" s="23">
        <f t="shared" ref="P8:P71" si="109">IF(AND(L8&lt;&gt;"",L8&lt;&gt;" "),L8,$B$19)</f>
        <v>0.4</v>
      </c>
      <c r="Q8" s="4">
        <f t="shared" si="0"/>
        <v>0</v>
      </c>
      <c r="R8" s="4">
        <f t="shared" ref="R8:R39" si="110">G8*AX8*(1+$HW$12)</f>
        <v>0</v>
      </c>
      <c r="S8" s="4">
        <f t="shared" si="1"/>
        <v>0</v>
      </c>
      <c r="T8" s="4">
        <f t="shared" ca="1" si="2"/>
        <v>0</v>
      </c>
      <c r="V8" s="18" t="e">
        <f t="shared" ca="1" si="3"/>
        <v>#NAME?</v>
      </c>
      <c r="W8" s="18" t="e">
        <f t="shared" ca="1" si="4"/>
        <v>#NAME?</v>
      </c>
      <c r="X8" s="18">
        <f t="shared" si="5"/>
        <v>0</v>
      </c>
      <c r="Y8" s="18">
        <f t="shared" ca="1" si="6"/>
        <v>4.8235294117647056</v>
      </c>
      <c r="Z8" s="18">
        <f t="shared" ca="1" si="7"/>
        <v>2.4117647058823528</v>
      </c>
      <c r="AA8" s="18">
        <f t="shared" ca="1" si="8"/>
        <v>1.4785514705882328</v>
      </c>
      <c r="AB8" s="18">
        <f t="shared" ca="1" si="9"/>
        <v>0</v>
      </c>
      <c r="AC8" s="18">
        <f t="shared" ca="1" si="10"/>
        <v>11.319296055570549</v>
      </c>
      <c r="AD8" s="18">
        <f t="shared" ca="1" si="11"/>
        <v>2.3529411764705883</v>
      </c>
      <c r="AE8" s="18">
        <f t="shared" ca="1" si="12"/>
        <v>1.3433210784313725</v>
      </c>
      <c r="AF8" s="18">
        <f t="shared" ca="1" si="13"/>
        <v>0</v>
      </c>
      <c r="AG8" s="18">
        <f t="shared" ca="1" si="14"/>
        <v>15.01555831047251</v>
      </c>
      <c r="AI8">
        <f>Person1!E8</f>
        <v>23</v>
      </c>
      <c r="AJ8">
        <f>Person1!AZ8</f>
        <v>1</v>
      </c>
      <c r="AK8">
        <f>IF(AZ8&lt;&gt;3,Person1!FM8,0)</f>
        <v>0</v>
      </c>
      <c r="AL8" s="4">
        <f ca="1">IF($AZ8&lt;&gt;3,Person1!FN8+Person1!FT8,0)</f>
        <v>7280.5956162155999</v>
      </c>
      <c r="AM8">
        <f>IF($AZ8&lt;&gt;3,Person1!FO8,0)</f>
        <v>0</v>
      </c>
      <c r="AN8">
        <f>IF($AZ8&lt;&gt;3,Person1!FP8,0)</f>
        <v>0</v>
      </c>
      <c r="AO8">
        <f>IF($AZ8&lt;&gt;3,Person1!FQ8,0)</f>
        <v>0</v>
      </c>
      <c r="AP8">
        <f>IF($AZ8&lt;&gt;3,Person1!FR8,0)</f>
        <v>0</v>
      </c>
      <c r="AQ8" s="4">
        <f t="shared" si="15"/>
        <v>0</v>
      </c>
      <c r="AR8" s="4">
        <f>Person1!FS8</f>
        <v>0</v>
      </c>
      <c r="AS8" s="4">
        <f>$B$41*MAX(0,CHOOSE($AZ8,0,IF(AND(Person1!AW8&gt;=Person1!$B$36,AV8&gt;=$B$93),Person1!$B$35*(1+Person1!$B$37)^(Person1!$B$36-Person1!$B$11)*(1+Person1!$B$38)^(Person1!AW8-Person1!$B$36)-CHOOSE(Person1!$B$39+1,0,BD8,BE8,BD8+BE8),0),0,0))</f>
        <v>0</v>
      </c>
      <c r="AT8" s="4">
        <f t="shared" si="16"/>
        <v>0</v>
      </c>
      <c r="AV8">
        <f t="shared" ref="AV8:AW23" si="111">AV7+1</f>
        <v>2018</v>
      </c>
      <c r="AW8">
        <f t="shared" si="111"/>
        <v>23</v>
      </c>
      <c r="AX8">
        <f t="shared" ref="AX8:AX71" si="112">AX7*(1+$B$15)</f>
        <v>1.02</v>
      </c>
      <c r="AY8">
        <f t="shared" ref="AY8:AY71" si="113">1/AX8</f>
        <v>0.98039215686274506</v>
      </c>
      <c r="AZ8">
        <f t="shared" ref="AZ8:AZ71" si="114">IF(AW8=$B$13,4,IF(AW8&gt;$B$13,3,IF(AW8&lt;$B$12,1,2)))</f>
        <v>1</v>
      </c>
      <c r="BB8" s="4">
        <f t="shared" si="17"/>
        <v>41000</v>
      </c>
      <c r="BC8">
        <f t="shared" si="18"/>
        <v>0</v>
      </c>
      <c r="BD8" s="4">
        <f t="shared" si="19"/>
        <v>0</v>
      </c>
      <c r="BE8" s="4">
        <f t="shared" ref="BE8:BE71" si="115">CHOOSE($AZ8,0,MAX(0,IF(AW8&gt;=$B$45,$B$81*AX8-$HQ$64*MAX(0,(CE7-$HR$63*AX8))),0),0,0)</f>
        <v>0</v>
      </c>
      <c r="BF8" s="4">
        <f t="shared" ref="BF8:BF71" si="116">(1-$B$40)*MAX(0,CHOOSE($AZ8,0,IF(AW8&gt;=$B$36,$B$35*(1+$B$37)^($B$36-$B$11)*(1+$B$38)^(AW8-$B$36)-$B$39*BD8,0),0,0))</f>
        <v>0</v>
      </c>
      <c r="BG8" s="4">
        <f t="shared" ref="BG8:BG71" si="117">AR8+AS8</f>
        <v>0</v>
      </c>
      <c r="BH8" s="4">
        <f t="shared" si="20"/>
        <v>0</v>
      </c>
      <c r="BI8" s="4">
        <f t="shared" ref="BI8:BI71" si="118">SUM(BB8:BH8)</f>
        <v>41000</v>
      </c>
      <c r="BJ8" s="4"/>
      <c r="BK8" s="4">
        <f t="shared" si="21"/>
        <v>25500</v>
      </c>
      <c r="BL8" s="4">
        <f t="shared" ref="BL8:BL71" si="119">CHOOSE(AZ8,I8*AX8,I8*AX8,0,0)</f>
        <v>0</v>
      </c>
      <c r="BM8" s="4">
        <f t="shared" ref="BM8:BM71" si="120">BK8+BL8+AQ8</f>
        <v>25500</v>
      </c>
      <c r="BN8" s="4">
        <v>6611.8775000000005</v>
      </c>
      <c r="BO8" s="4">
        <f t="shared" ref="BO8:BO71" si="121">IF(ISERROR(BN8),BM8,BM8+BN8)</f>
        <v>32111.877500000002</v>
      </c>
      <c r="BP8" s="4">
        <f t="shared" ref="BP8:BP71" si="122">CHOOSE(AZ8,BI8-BO8,BI8-BO8,0,0)</f>
        <v>8888.1224999999977</v>
      </c>
      <c r="BQ8" s="4"/>
      <c r="BR8" s="4">
        <v>0</v>
      </c>
      <c r="BS8" s="4">
        <f t="shared" ca="1" si="22"/>
        <v>7380</v>
      </c>
      <c r="BT8" s="4">
        <f t="shared" ca="1" si="23"/>
        <v>14629.8125</v>
      </c>
      <c r="BU8" s="4">
        <f t="shared" si="24"/>
        <v>0</v>
      </c>
      <c r="BV8" s="4">
        <f t="shared" si="25"/>
        <v>1</v>
      </c>
      <c r="BW8" s="4">
        <f t="shared" ca="1" si="26"/>
        <v>0</v>
      </c>
      <c r="BX8" s="4">
        <f t="shared" ca="1" si="27"/>
        <v>0</v>
      </c>
      <c r="BY8" s="4">
        <f t="shared" ca="1" si="28"/>
        <v>0</v>
      </c>
      <c r="BZ8" s="4">
        <f t="shared" ca="1" si="29"/>
        <v>0</v>
      </c>
      <c r="CA8" s="4">
        <f t="shared" ca="1" si="30"/>
        <v>0</v>
      </c>
      <c r="CB8" s="4">
        <f ca="1">MAX(0,BW8+BX8+BY8-BU8)*$BV8</f>
        <v>0</v>
      </c>
      <c r="CC8" s="4"/>
      <c r="CD8" s="4">
        <f t="shared" ca="1" si="31"/>
        <v>41000</v>
      </c>
      <c r="CE8" s="4">
        <f t="shared" ref="CE8:CE71" ca="1" si="123">IF($AZ8=3,0,BI8-BH8+BW8+BX8+FD8+FE8+FI8-DE8-CX8+Q8-CG8)</f>
        <v>31095.45</v>
      </c>
      <c r="CF8" s="16">
        <f t="shared" si="32"/>
        <v>0</v>
      </c>
      <c r="CG8" s="4">
        <f t="shared" si="33"/>
        <v>2524.5500000000002</v>
      </c>
      <c r="CH8" s="4" t="e">
        <f t="shared" ca="1" si="34"/>
        <v>#NAME?</v>
      </c>
      <c r="CI8" s="4" t="e">
        <f t="shared" ca="1" si="35"/>
        <v>#NAME?</v>
      </c>
      <c r="CJ8" s="4" t="e">
        <f t="shared" ref="CJ8:CJ71" ca="1" si="124">CD8-(CG8+CH8+CI8)-CR8</f>
        <v>#NAME?</v>
      </c>
      <c r="CK8" s="4" t="e">
        <f t="shared" ref="CK8:CK38" ca="1" si="125">CJ8/AX8</f>
        <v>#NAME?</v>
      </c>
      <c r="CL8" s="4" t="e">
        <f t="shared" ca="1" si="36"/>
        <v>#NAME?</v>
      </c>
      <c r="CM8" s="16"/>
      <c r="CN8" s="4">
        <f t="shared" si="37"/>
        <v>0</v>
      </c>
      <c r="CO8" s="4">
        <f t="shared" si="38"/>
        <v>0</v>
      </c>
      <c r="CP8" s="4">
        <f t="shared" ca="1" si="39"/>
        <v>15315.869476681961</v>
      </c>
      <c r="CQ8" s="4"/>
      <c r="CR8" s="4">
        <f t="shared" ca="1" si="40"/>
        <v>8888.1224999999977</v>
      </c>
      <c r="CS8" s="4">
        <f t="shared" ca="1" si="41"/>
        <v>23230</v>
      </c>
      <c r="CT8" s="4">
        <f t="shared" ca="1" si="42"/>
        <v>7380</v>
      </c>
      <c r="CU8" s="4"/>
      <c r="CV8" s="4">
        <f t="shared" ref="CV8:CV71" ca="1" si="126">CR8</f>
        <v>8888.1224999999977</v>
      </c>
      <c r="CW8" s="4">
        <f t="shared" ca="1" si="43"/>
        <v>2460</v>
      </c>
      <c r="CX8" s="4">
        <f t="shared" ca="1" si="44"/>
        <v>2460</v>
      </c>
      <c r="CY8" s="4">
        <f t="shared" ref="CY8:CY71" ca="1" si="127">MAX(0,CR8-CX8)</f>
        <v>6428.1224999999977</v>
      </c>
      <c r="CZ8" s="4"/>
      <c r="DA8" s="4">
        <f t="shared" ca="1" si="45"/>
        <v>6428.1224999999977</v>
      </c>
      <c r="DB8" s="4">
        <f t="shared" si="46"/>
        <v>0</v>
      </c>
      <c r="DC8" s="4">
        <f t="shared" ref="DC8:DC71" ca="1" si="128">CX8</f>
        <v>2460</v>
      </c>
      <c r="DD8" s="4">
        <f t="shared" ca="1" si="47"/>
        <v>4920</v>
      </c>
      <c r="DE8" s="4">
        <f t="shared" ca="1" si="48"/>
        <v>4920</v>
      </c>
      <c r="DF8" s="4">
        <f t="shared" ref="DF8:DF71" ca="1" si="129">DD8-DE8</f>
        <v>0</v>
      </c>
      <c r="DG8" s="4">
        <f t="shared" ref="DG8:DG71" ca="1" si="130">DE8-DH8</f>
        <v>4920</v>
      </c>
      <c r="DH8" s="4">
        <f t="shared" ca="1" si="49"/>
        <v>0</v>
      </c>
      <c r="DI8" s="4"/>
      <c r="DJ8" s="4">
        <f t="shared" ca="1" si="50"/>
        <v>1508.1224999999977</v>
      </c>
      <c r="DK8" s="4">
        <f t="shared" ca="1" si="51"/>
        <v>5500</v>
      </c>
      <c r="DL8" s="4">
        <f t="shared" ca="1" si="52"/>
        <v>5500</v>
      </c>
      <c r="DM8" s="4">
        <f t="shared" ca="1" si="53"/>
        <v>14629.8125</v>
      </c>
      <c r="DN8" s="4">
        <f t="shared" ca="1" si="54"/>
        <v>1508.1224999999977</v>
      </c>
      <c r="DO8" s="4">
        <f t="shared" ca="1" si="55"/>
        <v>13121.690000000002</v>
      </c>
      <c r="DP8" s="4"/>
      <c r="DQ8" s="4">
        <f t="shared" ca="1" si="56"/>
        <v>0</v>
      </c>
      <c r="DR8" s="4"/>
      <c r="DS8" s="4">
        <f t="shared" ref="DS8:DS71" si="131">IF($B$74=1,$B$83*AX8,0)</f>
        <v>0</v>
      </c>
      <c r="DT8" s="4">
        <f t="shared" si="57"/>
        <v>0</v>
      </c>
      <c r="DU8" s="4">
        <f t="shared" si="58"/>
        <v>0</v>
      </c>
      <c r="DV8" s="4"/>
      <c r="DW8" s="4">
        <f t="shared" ref="DW8:DW39" ca="1" si="132">DW7+DY7+DX7-DZ7+EL7-FN7</f>
        <v>11545.681976681961</v>
      </c>
      <c r="DX8" s="4">
        <f t="shared" ca="1" si="59"/>
        <v>12200.5956162156</v>
      </c>
      <c r="DY8" s="4">
        <f t="shared" ref="DY8:DY71" ca="1" si="133">IF($AZ8&gt;=3,0,DW8*$N8)</f>
        <v>577.28409883409802</v>
      </c>
      <c r="DZ8" s="4">
        <f t="shared" ca="1" si="60"/>
        <v>0</v>
      </c>
      <c r="EA8" s="4">
        <f t="shared" ca="1" si="61"/>
        <v>0</v>
      </c>
      <c r="EB8" s="4">
        <f t="shared" ca="1" si="62"/>
        <v>12122.966075516058</v>
      </c>
      <c r="EC8" s="4">
        <f t="shared" si="63"/>
        <v>1</v>
      </c>
      <c r="ED8" s="4"/>
      <c r="EE8" s="4">
        <f t="shared" ref="EE8:EE39" ca="1" si="134">EE7+EG7+EF7-EH7-EL7-FO7</f>
        <v>2400</v>
      </c>
      <c r="EF8" s="4">
        <f t="shared" ca="1" si="64"/>
        <v>2460</v>
      </c>
      <c r="EG8" s="4">
        <f t="shared" ref="EG8:EG71" ca="1" si="135">IF($AZ8&gt;=3,0,EE8*$N8)</f>
        <v>120</v>
      </c>
      <c r="EH8" s="4">
        <f t="shared" ca="1" si="65"/>
        <v>0</v>
      </c>
      <c r="EI8" s="4">
        <f t="shared" ca="1" si="66"/>
        <v>0</v>
      </c>
      <c r="EJ8" s="4">
        <f t="shared" ca="1" si="67"/>
        <v>0</v>
      </c>
      <c r="EK8" s="4">
        <f t="shared" si="68"/>
        <v>1</v>
      </c>
      <c r="EL8" s="4">
        <f t="shared" si="69"/>
        <v>0</v>
      </c>
      <c r="EM8" s="4"/>
      <c r="EN8" s="4">
        <f t="shared" ref="EN8:EN39" ca="1" si="136">EN7+EP7+EO7-EQ7-FP7</f>
        <v>1370.1875</v>
      </c>
      <c r="EO8" s="4">
        <f t="shared" ca="1" si="70"/>
        <v>1508.1224999999977</v>
      </c>
      <c r="EP8" s="4">
        <f t="shared" ref="EP8:EP71" ca="1" si="137">IF($AZ8&gt;=3,0,EN8*$N8)</f>
        <v>68.509375000000006</v>
      </c>
      <c r="EQ8" s="4">
        <f t="shared" ca="1" si="71"/>
        <v>0</v>
      </c>
      <c r="ER8" s="4">
        <v>0</v>
      </c>
      <c r="ES8" s="4">
        <f t="shared" ref="ES8:ES71" ca="1" si="138">EN8+EP8</f>
        <v>1438.6968750000001</v>
      </c>
      <c r="ET8" s="4"/>
      <c r="EU8" s="4">
        <f t="shared" ref="EU8:EU39" ca="1" si="139">EU7+EW7+EV7-EX7-FQ7</f>
        <v>0</v>
      </c>
      <c r="EV8" s="4">
        <f t="shared" ca="1" si="72"/>
        <v>0</v>
      </c>
      <c r="EW8" s="4">
        <f t="shared" ref="EW8:EW71" ca="1" si="140">IF($AZ8&gt;=3,0,EU8*$N8)</f>
        <v>0</v>
      </c>
      <c r="EX8" s="4">
        <f t="shared" ca="1" si="73"/>
        <v>0</v>
      </c>
      <c r="EY8" s="4">
        <v>0</v>
      </c>
      <c r="EZ8" s="4">
        <f t="shared" ref="EZ8:EZ71" ca="1" si="141">EU8+EW8</f>
        <v>0</v>
      </c>
      <c r="FA8" s="4">
        <f t="shared" ref="FA8:FA39" ca="1" si="142">FA7+FC7-FH7-FR7+AP7</f>
        <v>0</v>
      </c>
      <c r="FB8" s="1">
        <f t="shared" ca="1" si="74"/>
        <v>0</v>
      </c>
      <c r="FC8" s="4">
        <f t="shared" ref="FC8:FC71" ca="1" si="143">EW8*$O8</f>
        <v>0</v>
      </c>
      <c r="FD8" s="4">
        <f t="shared" ref="FD8:FD71" ca="1" si="144">EW8*(1-$O8-$P8)</f>
        <v>0</v>
      </c>
      <c r="FE8" s="4">
        <f t="shared" ca="1" si="75"/>
        <v>0</v>
      </c>
      <c r="FF8" s="4">
        <f t="shared" ca="1" si="76"/>
        <v>0</v>
      </c>
      <c r="FG8" s="4">
        <f t="shared" ca="1" si="77"/>
        <v>0</v>
      </c>
      <c r="FH8" s="17">
        <f t="shared" ca="1" si="78"/>
        <v>0</v>
      </c>
      <c r="FI8" s="4">
        <f t="shared" ca="1" si="79"/>
        <v>0</v>
      </c>
      <c r="FJ8" s="4"/>
      <c r="FK8" s="4">
        <f t="shared" ca="1" si="80"/>
        <v>13561.662950516058</v>
      </c>
      <c r="FL8" s="4"/>
      <c r="FM8" s="4">
        <v>0</v>
      </c>
      <c r="FN8" s="4">
        <v>0</v>
      </c>
      <c r="FO8" s="4">
        <v>0</v>
      </c>
      <c r="FP8" s="4">
        <v>0</v>
      </c>
      <c r="FQ8" s="4">
        <v>0</v>
      </c>
      <c r="FR8" s="4">
        <v>0</v>
      </c>
      <c r="FS8" s="4">
        <f t="shared" si="81"/>
        <v>0</v>
      </c>
      <c r="FT8" s="4">
        <f t="shared" ca="1" si="82"/>
        <v>0</v>
      </c>
      <c r="FU8" s="4"/>
      <c r="FV8" s="3">
        <f t="shared" si="83"/>
        <v>0.98039215686274506</v>
      </c>
      <c r="FW8" s="3">
        <f t="shared" si="84"/>
        <v>0.98039215686274506</v>
      </c>
      <c r="FX8" s="4">
        <f t="shared" ref="FX8:FX71" si="145">IF($B$70=1,AW8,AV8)</f>
        <v>2018</v>
      </c>
      <c r="FY8" s="4">
        <f t="shared" si="85"/>
        <v>40.196078431372548</v>
      </c>
      <c r="FZ8" s="4">
        <f t="shared" si="86"/>
        <v>0</v>
      </c>
      <c r="GA8" s="4">
        <f t="shared" si="87"/>
        <v>0</v>
      </c>
      <c r="GB8" s="4">
        <f t="shared" si="88"/>
        <v>0</v>
      </c>
      <c r="GC8" s="4">
        <f t="shared" ca="1" si="89"/>
        <v>0</v>
      </c>
      <c r="GD8" s="4">
        <f t="shared" ca="1" si="90"/>
        <v>0</v>
      </c>
      <c r="GE8" s="4">
        <f t="shared" ca="1" si="91"/>
        <v>0</v>
      </c>
      <c r="GF8" s="4">
        <f t="shared" ca="1" si="92"/>
        <v>0</v>
      </c>
      <c r="GG8" s="18" t="e">
        <f t="shared" ca="1" si="93"/>
        <v>#NAME?</v>
      </c>
      <c r="GH8" s="18" t="e">
        <f t="shared" ca="1" si="94"/>
        <v>#NAME?</v>
      </c>
      <c r="GI8" s="4"/>
      <c r="GJ8" s="4">
        <f t="shared" si="95"/>
        <v>2018</v>
      </c>
      <c r="GK8" s="4">
        <f t="shared" ca="1" si="96"/>
        <v>11.319296055570549</v>
      </c>
      <c r="GL8" s="4">
        <f t="shared" ca="1" si="97"/>
        <v>2.3529411764705883</v>
      </c>
      <c r="GM8" s="4">
        <f t="shared" ca="1" si="98"/>
        <v>1.3433210784313725</v>
      </c>
      <c r="GN8" s="4">
        <f t="shared" ca="1" si="99"/>
        <v>0</v>
      </c>
      <c r="GO8" s="4"/>
      <c r="GP8" s="3">
        <f t="shared" ref="GP8:GP71" ca="1" si="146">IF(FK8=0,0.1,EB8/FK8)</f>
        <v>0.89391442035910107</v>
      </c>
      <c r="GQ8" s="3">
        <f t="shared" ca="1" si="100"/>
        <v>0</v>
      </c>
      <c r="GR8" s="3">
        <f t="shared" ca="1" si="101"/>
        <v>0</v>
      </c>
      <c r="GS8" s="3">
        <f t="shared" ca="1" si="102"/>
        <v>0.10608557964089896</v>
      </c>
      <c r="GT8" s="3">
        <f t="array" aca="1" ref="GT8" ca="1">SUM(GP8:GS8*$GU$6:$GX$6)</f>
        <v>1</v>
      </c>
      <c r="GU8" s="3">
        <f t="shared" ref="GU8:GU71" ca="1" si="147">IF($GT8=0,0.25,MIN(1,MAX(0,GP8*GU$6/$GT8)))</f>
        <v>0.89391442035910107</v>
      </c>
      <c r="GV8" s="3">
        <f t="shared" ref="GV8:GV71" ca="1" si="148">IF($GT8=0,0.25,MIN(1,MAX(0,GQ8*GV$6/$GT8)))</f>
        <v>0</v>
      </c>
      <c r="GW8" s="3">
        <f t="shared" ref="GW8:GW71" ca="1" si="149">IF($GT8=0,0.25,MIN(1,MAX(0,GR8*GW$6/$GT8)))</f>
        <v>0</v>
      </c>
      <c r="GX8" s="3">
        <f t="shared" ref="GX8:GX71" ca="1" si="150">IF($GT8=0,0.25,MIN(1,MAX(0,GS8*GX$6/$GT8)))</f>
        <v>0.10608557964089896</v>
      </c>
      <c r="GY8" s="11"/>
      <c r="GZ8" s="27">
        <v>50</v>
      </c>
      <c r="HA8" s="29">
        <v>2.5000000000000001E-2</v>
      </c>
      <c r="HB8" s="29">
        <f t="shared" ref="HB8:HB58" ca="1" si="151">OFFSET(HC8,0,$HB$3-1)</f>
        <v>6.3100000000000003E-2</v>
      </c>
      <c r="HC8" s="29">
        <v>6.3100000000000003E-2</v>
      </c>
      <c r="HD8" s="29">
        <v>6.0999999999999999E-2</v>
      </c>
      <c r="HE8" s="29">
        <v>4.4200000000000003E-2</v>
      </c>
      <c r="HG8" s="27">
        <v>48</v>
      </c>
      <c r="HH8" s="30">
        <v>2.3799999999999998E-2</v>
      </c>
      <c r="HJ8">
        <f>HJ7+1</f>
        <v>2011</v>
      </c>
      <c r="HK8" s="27">
        <v>22450</v>
      </c>
      <c r="HL8" s="27">
        <v>5000</v>
      </c>
      <c r="HM8" s="27"/>
      <c r="HO8">
        <f t="shared" si="103"/>
        <v>45916</v>
      </c>
      <c r="HP8" s="4">
        <f t="shared" si="104"/>
        <v>45916</v>
      </c>
      <c r="HQ8" s="3">
        <f t="shared" ca="1" si="105"/>
        <v>0.15</v>
      </c>
      <c r="HR8" s="4">
        <f t="shared" ref="HR8:HR13" ca="1" si="152">HQ8*(HP8-HP7)+HR7</f>
        <v>6887.4</v>
      </c>
      <c r="HS8" s="4"/>
      <c r="HT8" t="s">
        <v>171</v>
      </c>
      <c r="HU8" s="4"/>
      <c r="HV8" s="4">
        <f>HQ47</f>
        <v>11635</v>
      </c>
      <c r="HW8" s="4">
        <f>HV8*(1+$B$15)^($B$7-$HP$26)</f>
        <v>11635</v>
      </c>
    </row>
    <row r="9" spans="1:232" x14ac:dyDescent="0.25">
      <c r="A9" t="s">
        <v>164</v>
      </c>
      <c r="B9">
        <f>Inputs_Summary!AJ6</f>
        <v>1</v>
      </c>
      <c r="D9">
        <f t="shared" si="106"/>
        <v>2019</v>
      </c>
      <c r="E9">
        <f t="shared" si="106"/>
        <v>24</v>
      </c>
      <c r="F9" s="8"/>
      <c r="G9" s="8"/>
      <c r="H9" s="9"/>
      <c r="I9" s="9"/>
      <c r="J9" s="92"/>
      <c r="K9" s="91"/>
      <c r="L9" s="91"/>
      <c r="N9" s="93">
        <f t="shared" si="107"/>
        <v>0.05</v>
      </c>
      <c r="O9" s="23">
        <f t="shared" si="108"/>
        <v>0</v>
      </c>
      <c r="P9" s="23">
        <f t="shared" si="109"/>
        <v>0.4</v>
      </c>
      <c r="Q9" s="4">
        <f t="shared" si="0"/>
        <v>0</v>
      </c>
      <c r="R9" s="4">
        <f t="shared" si="110"/>
        <v>0</v>
      </c>
      <c r="S9" s="4">
        <f t="shared" si="1"/>
        <v>0</v>
      </c>
      <c r="T9" s="4">
        <f t="shared" ca="1" si="2"/>
        <v>0</v>
      </c>
      <c r="V9" s="18" t="e">
        <f t="shared" ca="1" si="3"/>
        <v>#NAME?</v>
      </c>
      <c r="W9" s="18" t="e">
        <f t="shared" ca="1" si="4"/>
        <v>#NAME?</v>
      </c>
      <c r="X9" s="18">
        <f t="shared" si="5"/>
        <v>0</v>
      </c>
      <c r="Y9" s="18">
        <f t="shared" ca="1" si="6"/>
        <v>4.8471741637831602</v>
      </c>
      <c r="Z9" s="18">
        <f t="shared" ca="1" si="7"/>
        <v>2.4235870818915801</v>
      </c>
      <c r="AA9" s="18">
        <f t="shared" ca="1" si="8"/>
        <v>1.5875090830449827</v>
      </c>
      <c r="AB9" s="18">
        <f t="shared" ca="1" si="9"/>
        <v>0</v>
      </c>
      <c r="AC9" s="18">
        <f t="shared" ca="1" si="10"/>
        <v>23.379048146608667</v>
      </c>
      <c r="AD9" s="18">
        <f t="shared" ca="1" si="11"/>
        <v>4.786620530565167</v>
      </c>
      <c r="AE9" s="18">
        <f t="shared" ca="1" si="12"/>
        <v>2.8323907871972298</v>
      </c>
      <c r="AF9" s="18">
        <f t="shared" ca="1" si="13"/>
        <v>0</v>
      </c>
      <c r="AG9" s="18">
        <f t="shared" ca="1" si="14"/>
        <v>30.998059464371067</v>
      </c>
      <c r="AI9">
        <f>Person1!E9</f>
        <v>24</v>
      </c>
      <c r="AJ9">
        <f>Person1!AZ9</f>
        <v>1</v>
      </c>
      <c r="AK9">
        <f>IF(AZ9&lt;&gt;3,Person1!FM9,0)</f>
        <v>0</v>
      </c>
      <c r="AL9" s="4">
        <f ca="1">IF($AZ9&lt;&gt;3,Person1!FN9+Person1!FT9,0)</f>
        <v>5500.9524071024389</v>
      </c>
      <c r="AM9">
        <f>IF($AZ9&lt;&gt;3,Person1!FO9,0)</f>
        <v>0</v>
      </c>
      <c r="AN9">
        <f>IF($AZ9&lt;&gt;3,Person1!FP9,0)</f>
        <v>0</v>
      </c>
      <c r="AO9">
        <f>IF($AZ9&lt;&gt;3,Person1!FQ9,0)</f>
        <v>0</v>
      </c>
      <c r="AP9">
        <f>IF($AZ9&lt;&gt;3,Person1!FR9,0)</f>
        <v>0</v>
      </c>
      <c r="AQ9" s="4">
        <f t="shared" si="15"/>
        <v>0</v>
      </c>
      <c r="AR9" s="4">
        <f>Person1!FS9</f>
        <v>0</v>
      </c>
      <c r="AS9" s="4">
        <f>$B$41*MAX(0,CHOOSE($AZ9,0,IF(AND(Person1!AW9&gt;=Person1!$B$36,AV9&gt;=$B$93),Person1!$B$35*(1+Person1!$B$37)^(Person1!$B$36-Person1!$B$11)*(1+Person1!$B$38)^(Person1!AW9-Person1!$B$36)-CHOOSE(Person1!$B$39+1,0,BD9,BE9,BD9+BE9),0),0,0))</f>
        <v>0</v>
      </c>
      <c r="AT9" s="4">
        <f t="shared" si="16"/>
        <v>0</v>
      </c>
      <c r="AV9">
        <f t="shared" si="111"/>
        <v>2019</v>
      </c>
      <c r="AW9">
        <f t="shared" si="111"/>
        <v>24</v>
      </c>
      <c r="AX9">
        <f t="shared" si="112"/>
        <v>1.0404</v>
      </c>
      <c r="AY9">
        <f t="shared" si="113"/>
        <v>0.96116878123798544</v>
      </c>
      <c r="AZ9">
        <f t="shared" si="114"/>
        <v>1</v>
      </c>
      <c r="BB9" s="4">
        <f t="shared" si="17"/>
        <v>42025</v>
      </c>
      <c r="BC9">
        <f t="shared" si="18"/>
        <v>0</v>
      </c>
      <c r="BD9" s="4">
        <f t="shared" si="19"/>
        <v>0</v>
      </c>
      <c r="BE9" s="4">
        <f t="shared" si="115"/>
        <v>0</v>
      </c>
      <c r="BF9" s="4">
        <f t="shared" si="116"/>
        <v>0</v>
      </c>
      <c r="BG9" s="4">
        <f t="shared" si="117"/>
        <v>0</v>
      </c>
      <c r="BH9" s="4">
        <f t="shared" si="20"/>
        <v>0</v>
      </c>
      <c r="BI9" s="4">
        <f t="shared" si="118"/>
        <v>42025</v>
      </c>
      <c r="BJ9" s="4"/>
      <c r="BK9" s="4">
        <f t="shared" si="21"/>
        <v>26010</v>
      </c>
      <c r="BL9" s="4">
        <f t="shared" si="119"/>
        <v>0</v>
      </c>
      <c r="BM9" s="4">
        <f t="shared" si="120"/>
        <v>26010</v>
      </c>
      <c r="BN9" s="4">
        <v>6798.8555500000002</v>
      </c>
      <c r="BO9" s="4">
        <f t="shared" si="121"/>
        <v>32808.85555</v>
      </c>
      <c r="BP9" s="4">
        <f t="shared" si="122"/>
        <v>9216.1444499999998</v>
      </c>
      <c r="BQ9" s="4"/>
      <c r="BR9" s="4">
        <v>0</v>
      </c>
      <c r="BS9" s="4">
        <f t="shared" ca="1" si="22"/>
        <v>7564.5</v>
      </c>
      <c r="BT9" s="4">
        <f t="shared" ca="1" si="23"/>
        <v>19121.690000000002</v>
      </c>
      <c r="BU9" s="4">
        <f t="shared" si="24"/>
        <v>0</v>
      </c>
      <c r="BV9" s="4">
        <f t="shared" si="25"/>
        <v>1</v>
      </c>
      <c r="BW9" s="4">
        <f t="shared" ca="1" si="26"/>
        <v>0</v>
      </c>
      <c r="BX9" s="4">
        <f t="shared" ca="1" si="27"/>
        <v>0</v>
      </c>
      <c r="BY9" s="4">
        <f t="shared" ca="1" si="28"/>
        <v>0</v>
      </c>
      <c r="BZ9" s="4">
        <f t="shared" ca="1" si="29"/>
        <v>0</v>
      </c>
      <c r="CA9" s="4">
        <f t="shared" ca="1" si="30"/>
        <v>0</v>
      </c>
      <c r="CB9" s="4">
        <f ca="1">MAX(0,BW9+BX9+BY9-BU9)*$BV9</f>
        <v>0</v>
      </c>
      <c r="CC9" s="4"/>
      <c r="CD9" s="4">
        <f t="shared" ca="1" si="31"/>
        <v>42025</v>
      </c>
      <c r="CE9" s="4">
        <f t="shared" ca="1" si="123"/>
        <v>31868.505000000001</v>
      </c>
      <c r="CF9" s="16">
        <f t="shared" si="32"/>
        <v>0</v>
      </c>
      <c r="CG9" s="4">
        <f t="shared" si="33"/>
        <v>2591.9949999999999</v>
      </c>
      <c r="CH9" s="4" t="e">
        <f t="shared" ca="1" si="34"/>
        <v>#NAME?</v>
      </c>
      <c r="CI9" s="4" t="e">
        <f t="shared" ca="1" si="35"/>
        <v>#NAME?</v>
      </c>
      <c r="CJ9" s="4" t="e">
        <f t="shared" ca="1" si="124"/>
        <v>#NAME?</v>
      </c>
      <c r="CK9" s="4" t="e">
        <f t="shared" ca="1" si="125"/>
        <v>#NAME?</v>
      </c>
      <c r="CL9" s="4" t="e">
        <f t="shared" ca="1" si="36"/>
        <v>#NAME?</v>
      </c>
      <c r="CM9" s="16"/>
      <c r="CN9" s="4">
        <f t="shared" si="37"/>
        <v>0</v>
      </c>
      <c r="CO9" s="4">
        <f t="shared" si="38"/>
        <v>0</v>
      </c>
      <c r="CP9" s="4">
        <f t="shared" ca="1" si="39"/>
        <v>32250.381066731657</v>
      </c>
      <c r="CQ9" s="4"/>
      <c r="CR9" s="4">
        <f t="shared" ca="1" si="40"/>
        <v>9216.1444499999998</v>
      </c>
      <c r="CS9" s="4">
        <f t="shared" ca="1" si="41"/>
        <v>23690</v>
      </c>
      <c r="CT9" s="4">
        <f t="shared" ca="1" si="42"/>
        <v>7564.5</v>
      </c>
      <c r="CU9" s="4"/>
      <c r="CV9" s="4">
        <f t="shared" ca="1" si="126"/>
        <v>9216.1444499999998</v>
      </c>
      <c r="CW9" s="4">
        <f t="shared" ca="1" si="43"/>
        <v>2521.5</v>
      </c>
      <c r="CX9" s="4">
        <f t="shared" ca="1" si="44"/>
        <v>2521.5</v>
      </c>
      <c r="CY9" s="4">
        <f t="shared" ca="1" si="127"/>
        <v>6694.6444499999998</v>
      </c>
      <c r="CZ9" s="4"/>
      <c r="DA9" s="4">
        <f t="shared" ca="1" si="45"/>
        <v>6694.6444499999998</v>
      </c>
      <c r="DB9" s="4">
        <f t="shared" si="46"/>
        <v>0</v>
      </c>
      <c r="DC9" s="4">
        <f t="shared" ca="1" si="128"/>
        <v>2521.5</v>
      </c>
      <c r="DD9" s="4">
        <f t="shared" ca="1" si="47"/>
        <v>5043</v>
      </c>
      <c r="DE9" s="4">
        <f t="shared" ca="1" si="48"/>
        <v>5043</v>
      </c>
      <c r="DF9" s="4">
        <f t="shared" ca="1" si="129"/>
        <v>0</v>
      </c>
      <c r="DG9" s="4">
        <f t="shared" ca="1" si="130"/>
        <v>5043</v>
      </c>
      <c r="DH9" s="4">
        <f t="shared" ca="1" si="49"/>
        <v>0</v>
      </c>
      <c r="DI9" s="4"/>
      <c r="DJ9" s="4">
        <f t="shared" ca="1" si="50"/>
        <v>1651.6444499999998</v>
      </c>
      <c r="DK9" s="4">
        <f t="shared" ca="1" si="51"/>
        <v>6000</v>
      </c>
      <c r="DL9" s="4">
        <f t="shared" ca="1" si="52"/>
        <v>6000</v>
      </c>
      <c r="DM9" s="4">
        <f t="shared" ca="1" si="53"/>
        <v>19121.690000000002</v>
      </c>
      <c r="DN9" s="4">
        <f t="shared" ca="1" si="54"/>
        <v>1651.6444499999998</v>
      </c>
      <c r="DO9" s="4">
        <f t="shared" ca="1" si="55"/>
        <v>17470.045550000003</v>
      </c>
      <c r="DP9" s="4"/>
      <c r="DQ9" s="4">
        <f t="shared" ca="1" si="56"/>
        <v>0</v>
      </c>
      <c r="DR9" s="4"/>
      <c r="DS9" s="4">
        <f t="shared" si="131"/>
        <v>0</v>
      </c>
      <c r="DT9" s="4">
        <f t="shared" si="57"/>
        <v>0</v>
      </c>
      <c r="DU9" s="4">
        <f t="shared" si="58"/>
        <v>0</v>
      </c>
      <c r="DV9" s="4"/>
      <c r="DW9" s="4">
        <f t="shared" ca="1" si="132"/>
        <v>24323.561691731658</v>
      </c>
      <c r="DX9" s="4">
        <f t="shared" ca="1" si="59"/>
        <v>10543.952407102439</v>
      </c>
      <c r="DY9" s="4">
        <f t="shared" ca="1" si="133"/>
        <v>1216.1780845865831</v>
      </c>
      <c r="DZ9" s="4">
        <f t="shared" ca="1" si="60"/>
        <v>0</v>
      </c>
      <c r="EA9" s="4">
        <f t="shared" ca="1" si="61"/>
        <v>0</v>
      </c>
      <c r="EB9" s="4">
        <f t="shared" ca="1" si="62"/>
        <v>25539.739776318242</v>
      </c>
      <c r="EC9" s="4">
        <f t="shared" si="63"/>
        <v>1</v>
      </c>
      <c r="ED9" s="4"/>
      <c r="EE9" s="4">
        <f t="shared" ca="1" si="134"/>
        <v>4980</v>
      </c>
      <c r="EF9" s="4">
        <f t="shared" ca="1" si="64"/>
        <v>2521.5</v>
      </c>
      <c r="EG9" s="4">
        <f t="shared" ca="1" si="135"/>
        <v>249</v>
      </c>
      <c r="EH9" s="4">
        <f t="shared" ca="1" si="65"/>
        <v>0</v>
      </c>
      <c r="EI9" s="4">
        <f t="shared" ca="1" si="66"/>
        <v>0</v>
      </c>
      <c r="EJ9" s="4">
        <f t="shared" ca="1" si="67"/>
        <v>0</v>
      </c>
      <c r="EK9" s="4">
        <f t="shared" si="68"/>
        <v>1</v>
      </c>
      <c r="EL9" s="4">
        <f t="shared" si="69"/>
        <v>0</v>
      </c>
      <c r="EM9" s="4"/>
      <c r="EN9" s="4">
        <f t="shared" ca="1" si="136"/>
        <v>2946.8193749999978</v>
      </c>
      <c r="EO9" s="4">
        <f t="shared" ca="1" si="70"/>
        <v>1651.6444499999998</v>
      </c>
      <c r="EP9" s="4">
        <f t="shared" ca="1" si="137"/>
        <v>147.34096874999989</v>
      </c>
      <c r="EQ9" s="4">
        <f t="shared" ca="1" si="71"/>
        <v>0</v>
      </c>
      <c r="ER9" s="4">
        <v>0</v>
      </c>
      <c r="ES9" s="4">
        <f t="shared" ca="1" si="138"/>
        <v>3094.1603437499975</v>
      </c>
      <c r="ET9" s="4"/>
      <c r="EU9" s="4">
        <f t="shared" ca="1" si="139"/>
        <v>0</v>
      </c>
      <c r="EV9" s="4">
        <f t="shared" ca="1" si="72"/>
        <v>0</v>
      </c>
      <c r="EW9" s="4">
        <f t="shared" ca="1" si="140"/>
        <v>0</v>
      </c>
      <c r="EX9" s="4">
        <f t="shared" ca="1" si="73"/>
        <v>0</v>
      </c>
      <c r="EY9" s="4">
        <v>0</v>
      </c>
      <c r="EZ9" s="4">
        <f t="shared" ca="1" si="141"/>
        <v>0</v>
      </c>
      <c r="FA9" s="4">
        <f t="shared" ca="1" si="142"/>
        <v>0</v>
      </c>
      <c r="FB9" s="1">
        <f t="shared" ca="1" si="74"/>
        <v>0</v>
      </c>
      <c r="FC9" s="4">
        <f t="shared" ca="1" si="143"/>
        <v>0</v>
      </c>
      <c r="FD9" s="4">
        <f t="shared" ca="1" si="144"/>
        <v>0</v>
      </c>
      <c r="FE9" s="4">
        <f t="shared" ca="1" si="75"/>
        <v>0</v>
      </c>
      <c r="FF9" s="4">
        <f t="shared" ca="1" si="76"/>
        <v>0</v>
      </c>
      <c r="FG9" s="4">
        <f t="shared" ca="1" si="77"/>
        <v>0</v>
      </c>
      <c r="FH9" s="17">
        <f t="shared" ca="1" si="78"/>
        <v>0</v>
      </c>
      <c r="FI9" s="4">
        <f t="shared" ca="1" si="79"/>
        <v>0</v>
      </c>
      <c r="FJ9" s="4"/>
      <c r="FK9" s="4">
        <f t="shared" ca="1" si="80"/>
        <v>28633.90012006824</v>
      </c>
      <c r="FL9" s="4"/>
      <c r="FM9" s="4">
        <v>0</v>
      </c>
      <c r="FN9" s="4">
        <v>0</v>
      </c>
      <c r="FO9" s="4">
        <v>0</v>
      </c>
      <c r="FP9" s="4">
        <v>0</v>
      </c>
      <c r="FQ9" s="4">
        <v>0</v>
      </c>
      <c r="FR9" s="4">
        <v>0</v>
      </c>
      <c r="FS9" s="4">
        <f t="shared" si="81"/>
        <v>0</v>
      </c>
      <c r="FT9" s="4">
        <f t="shared" ca="1" si="82"/>
        <v>0</v>
      </c>
      <c r="FU9" s="4"/>
      <c r="FV9" s="3">
        <f t="shared" si="83"/>
        <v>0.96116878123798544</v>
      </c>
      <c r="FW9" s="3">
        <f t="shared" si="84"/>
        <v>0.96116878123798544</v>
      </c>
      <c r="FX9" s="4">
        <f t="shared" si="145"/>
        <v>2019</v>
      </c>
      <c r="FY9" s="4">
        <f t="shared" si="85"/>
        <v>40.393118031526342</v>
      </c>
      <c r="FZ9" s="4">
        <f t="shared" si="86"/>
        <v>0</v>
      </c>
      <c r="GA9" s="4">
        <f t="shared" si="87"/>
        <v>0</v>
      </c>
      <c r="GB9" s="4">
        <f t="shared" si="88"/>
        <v>0</v>
      </c>
      <c r="GC9" s="4">
        <f t="shared" ca="1" si="89"/>
        <v>0</v>
      </c>
      <c r="GD9" s="4">
        <f t="shared" ca="1" si="90"/>
        <v>0</v>
      </c>
      <c r="GE9" s="4">
        <f t="shared" ca="1" si="91"/>
        <v>0</v>
      </c>
      <c r="GF9" s="4">
        <f t="shared" ca="1" si="92"/>
        <v>0</v>
      </c>
      <c r="GG9" s="18" t="e">
        <f t="shared" ca="1" si="93"/>
        <v>#NAME?</v>
      </c>
      <c r="GH9" s="18" t="e">
        <f t="shared" ca="1" si="94"/>
        <v>#NAME?</v>
      </c>
      <c r="GI9" s="4"/>
      <c r="GJ9" s="4">
        <f t="shared" si="95"/>
        <v>2019</v>
      </c>
      <c r="GK9" s="4">
        <f t="shared" ca="1" si="96"/>
        <v>23.379048146608667</v>
      </c>
      <c r="GL9" s="4">
        <f t="shared" ca="1" si="97"/>
        <v>4.786620530565167</v>
      </c>
      <c r="GM9" s="4">
        <f t="shared" ca="1" si="98"/>
        <v>2.8323907871972298</v>
      </c>
      <c r="GN9" s="4">
        <f t="shared" ca="1" si="99"/>
        <v>0</v>
      </c>
      <c r="GO9" s="4"/>
      <c r="GP9" s="3">
        <f t="shared" ca="1" si="146"/>
        <v>0.89194066016939699</v>
      </c>
      <c r="GQ9" s="3">
        <f t="shared" ca="1" si="100"/>
        <v>0</v>
      </c>
      <c r="GR9" s="3">
        <f t="shared" ca="1" si="101"/>
        <v>0</v>
      </c>
      <c r="GS9" s="3">
        <f t="shared" ca="1" si="102"/>
        <v>0.10805933983060298</v>
      </c>
      <c r="GT9" s="3">
        <f t="array" aca="1" ref="GT9" ca="1">SUM(GP9:GS9*$GU$6:$GX$6)</f>
        <v>1</v>
      </c>
      <c r="GU9" s="3">
        <f t="shared" ca="1" si="147"/>
        <v>0.89194066016939699</v>
      </c>
      <c r="GV9" s="3">
        <f t="shared" ca="1" si="148"/>
        <v>0</v>
      </c>
      <c r="GW9" s="3">
        <f t="shared" ca="1" si="149"/>
        <v>0</v>
      </c>
      <c r="GX9" s="3">
        <f t="shared" ca="1" si="150"/>
        <v>0.10805933983060298</v>
      </c>
      <c r="GY9" s="11"/>
      <c r="GZ9" s="27">
        <v>51</v>
      </c>
      <c r="HA9" s="29">
        <v>2.5600000000000001E-2</v>
      </c>
      <c r="HB9" s="29">
        <f t="shared" ca="1" si="151"/>
        <v>6.3500000000000001E-2</v>
      </c>
      <c r="HC9" s="29">
        <v>6.3500000000000001E-2</v>
      </c>
      <c r="HD9" s="29">
        <v>6.0999999999999999E-2</v>
      </c>
      <c r="HE9" s="29">
        <v>4.4600000000000001E-2</v>
      </c>
      <c r="HG9" s="27">
        <v>49</v>
      </c>
      <c r="HH9" s="30">
        <v>2.4300000000000002E-2</v>
      </c>
      <c r="HJ9">
        <f t="shared" ref="HJ9:HJ72" si="153">HJ8+1</f>
        <v>2012</v>
      </c>
      <c r="HK9" s="27">
        <v>22970</v>
      </c>
      <c r="HL9" s="27">
        <v>5000</v>
      </c>
      <c r="HM9" s="27"/>
      <c r="HO9">
        <f t="shared" si="103"/>
        <v>91831</v>
      </c>
      <c r="HP9" s="4">
        <f t="shared" si="104"/>
        <v>91831</v>
      </c>
      <c r="HQ9" s="3">
        <f t="shared" ca="1" si="105"/>
        <v>0.20499999999999999</v>
      </c>
      <c r="HR9" s="4">
        <f t="shared" ca="1" si="152"/>
        <v>16299.974999999999</v>
      </c>
      <c r="HS9" s="4"/>
      <c r="HT9" t="s">
        <v>172</v>
      </c>
      <c r="HU9" s="4"/>
      <c r="HV9" s="4">
        <f>HQ48</f>
        <v>7225</v>
      </c>
      <c r="HW9" s="4">
        <f>HV9*(1+$B$15)^($B$7-$HP$26)</f>
        <v>7225</v>
      </c>
    </row>
    <row r="10" spans="1:232" x14ac:dyDescent="0.25">
      <c r="A10" t="s">
        <v>144</v>
      </c>
      <c r="B10" s="62" t="str">
        <f>Inputs_Summary!AK7</f>
        <v>22 year old #2</v>
      </c>
      <c r="D10">
        <f t="shared" si="106"/>
        <v>2020</v>
      </c>
      <c r="E10">
        <f t="shared" si="106"/>
        <v>25</v>
      </c>
      <c r="F10" s="8"/>
      <c r="G10" s="8"/>
      <c r="H10" s="9"/>
      <c r="I10" s="9"/>
      <c r="J10" s="92"/>
      <c r="K10" s="91"/>
      <c r="L10" s="91"/>
      <c r="N10" s="93">
        <f t="shared" si="107"/>
        <v>0.05</v>
      </c>
      <c r="O10" s="23">
        <f t="shared" si="108"/>
        <v>0</v>
      </c>
      <c r="P10" s="23">
        <f t="shared" si="109"/>
        <v>0.4</v>
      </c>
      <c r="Q10" s="4">
        <f t="shared" si="0"/>
        <v>0</v>
      </c>
      <c r="R10" s="4">
        <f t="shared" si="110"/>
        <v>0</v>
      </c>
      <c r="S10" s="4">
        <f t="shared" si="1"/>
        <v>0</v>
      </c>
      <c r="T10" s="4">
        <f t="shared" ca="1" si="2"/>
        <v>0</v>
      </c>
      <c r="V10" s="18" t="e">
        <f t="shared" ca="1" si="3"/>
        <v>#NAME?</v>
      </c>
      <c r="W10" s="18" t="e">
        <f t="shared" ca="1" si="4"/>
        <v>#NAME?</v>
      </c>
      <c r="X10" s="18">
        <f t="shared" si="5"/>
        <v>0</v>
      </c>
      <c r="Y10" s="18">
        <f t="shared" ca="1" si="6"/>
        <v>4.8709348214487633</v>
      </c>
      <c r="Z10" s="18">
        <f t="shared" ca="1" si="7"/>
        <v>2.4354674107243817</v>
      </c>
      <c r="AA10" s="18">
        <f t="shared" ca="1" si="8"/>
        <v>1.6970620229493154</v>
      </c>
      <c r="AB10" s="18">
        <f t="shared" ca="1" si="9"/>
        <v>0</v>
      </c>
      <c r="AC10" s="18">
        <f t="shared" ca="1" si="10"/>
        <v>34.002469057357921</v>
      </c>
      <c r="AD10" s="18">
        <f t="shared" ca="1" si="11"/>
        <v>7.3034692539068695</v>
      </c>
      <c r="AE10" s="18">
        <f t="shared" ca="1" si="12"/>
        <v>4.4720778525510534</v>
      </c>
      <c r="AF10" s="18">
        <f t="shared" ca="1" si="13"/>
        <v>0</v>
      </c>
      <c r="AG10" s="18">
        <f t="shared" ca="1" si="14"/>
        <v>45.778016163815849</v>
      </c>
      <c r="AI10">
        <f>Person1!E10</f>
        <v>25</v>
      </c>
      <c r="AJ10">
        <f>Person1!AZ10</f>
        <v>1</v>
      </c>
      <c r="AK10">
        <f>IF(AZ10&lt;&gt;3,Person1!FM10,0)</f>
        <v>0</v>
      </c>
      <c r="AL10" s="4">
        <f ca="1">IF($AZ10&lt;&gt;3,Person1!FN10+Person1!FT10,0)</f>
        <v>5135.8168999999998</v>
      </c>
      <c r="AM10">
        <f>IF($AZ10&lt;&gt;3,Person1!FO10,0)</f>
        <v>0</v>
      </c>
      <c r="AN10">
        <f>IF($AZ10&lt;&gt;3,Person1!FP10,0)</f>
        <v>0</v>
      </c>
      <c r="AO10">
        <f>IF($AZ10&lt;&gt;3,Person1!FQ10,0)</f>
        <v>0</v>
      </c>
      <c r="AP10">
        <f>IF($AZ10&lt;&gt;3,Person1!FR10,0)</f>
        <v>0</v>
      </c>
      <c r="AQ10" s="4">
        <f t="shared" si="15"/>
        <v>0</v>
      </c>
      <c r="AR10" s="4">
        <f>Person1!FS10</f>
        <v>0</v>
      </c>
      <c r="AS10" s="4">
        <f>$B$41*MAX(0,CHOOSE($AZ10,0,IF(AND(Person1!AW10&gt;=Person1!$B$36,AV10&gt;=$B$93),Person1!$B$35*(1+Person1!$B$37)^(Person1!$B$36-Person1!$B$11)*(1+Person1!$B$38)^(Person1!AW10-Person1!$B$36)-CHOOSE(Person1!$B$39+1,0,BD10,BE10,BD10+BE10),0),0,0))</f>
        <v>0</v>
      </c>
      <c r="AT10" s="4">
        <f t="shared" si="16"/>
        <v>0</v>
      </c>
      <c r="AV10">
        <f t="shared" si="111"/>
        <v>2020</v>
      </c>
      <c r="AW10">
        <f t="shared" si="111"/>
        <v>25</v>
      </c>
      <c r="AX10">
        <f t="shared" si="112"/>
        <v>1.0612079999999999</v>
      </c>
      <c r="AY10">
        <f t="shared" si="113"/>
        <v>0.94232233454704462</v>
      </c>
      <c r="AZ10">
        <f t="shared" si="114"/>
        <v>1</v>
      </c>
      <c r="BB10" s="4">
        <f t="shared" si="17"/>
        <v>43075.624999999993</v>
      </c>
      <c r="BC10">
        <f t="shared" si="18"/>
        <v>0</v>
      </c>
      <c r="BD10" s="4">
        <f t="shared" si="19"/>
        <v>0</v>
      </c>
      <c r="BE10" s="4">
        <f t="shared" si="115"/>
        <v>0</v>
      </c>
      <c r="BF10" s="4">
        <f t="shared" si="116"/>
        <v>0</v>
      </c>
      <c r="BG10" s="4">
        <f t="shared" si="117"/>
        <v>0</v>
      </c>
      <c r="BH10" s="4">
        <f t="shared" si="20"/>
        <v>0</v>
      </c>
      <c r="BI10" s="4">
        <f t="shared" si="118"/>
        <v>43075.624999999993</v>
      </c>
      <c r="BJ10" s="4"/>
      <c r="BK10" s="4">
        <f t="shared" si="21"/>
        <v>26530.199999999997</v>
      </c>
      <c r="BL10" s="4">
        <f t="shared" si="119"/>
        <v>0</v>
      </c>
      <c r="BM10" s="4">
        <f t="shared" si="120"/>
        <v>26530.199999999997</v>
      </c>
      <c r="BN10" s="4">
        <v>6990.8767047499987</v>
      </c>
      <c r="BO10" s="4">
        <f t="shared" si="121"/>
        <v>33521.076704749998</v>
      </c>
      <c r="BP10" s="4">
        <f t="shared" si="122"/>
        <v>9554.5482952499951</v>
      </c>
      <c r="BQ10" s="4"/>
      <c r="BR10" s="4">
        <v>0</v>
      </c>
      <c r="BS10" s="4">
        <f t="shared" ca="1" si="22"/>
        <v>7753.6124999999984</v>
      </c>
      <c r="BT10" s="4">
        <f t="shared" ca="1" si="23"/>
        <v>23470.045550000003</v>
      </c>
      <c r="BU10" s="4">
        <f t="shared" si="24"/>
        <v>0</v>
      </c>
      <c r="BV10" s="4">
        <f t="shared" si="25"/>
        <v>1</v>
      </c>
      <c r="BW10" s="4">
        <f t="shared" ca="1" si="26"/>
        <v>0</v>
      </c>
      <c r="BX10" s="4">
        <f t="shared" ca="1" si="27"/>
        <v>0</v>
      </c>
      <c r="BY10" s="4">
        <f t="shared" ca="1" si="28"/>
        <v>0</v>
      </c>
      <c r="BZ10" s="4">
        <f t="shared" ca="1" si="29"/>
        <v>0</v>
      </c>
      <c r="CA10" s="4">
        <f t="shared" ca="1" si="30"/>
        <v>0</v>
      </c>
      <c r="CB10" s="4">
        <f ca="1">MAX(0,BW10+BX10+BY10-BU10)*$BV10</f>
        <v>0</v>
      </c>
      <c r="CC10" s="4"/>
      <c r="CD10" s="4">
        <f t="shared" ca="1" si="31"/>
        <v>43075.624999999993</v>
      </c>
      <c r="CE10" s="4">
        <f t="shared" ca="1" si="123"/>
        <v>32660.886374999998</v>
      </c>
      <c r="CF10" s="16">
        <f t="shared" si="32"/>
        <v>0</v>
      </c>
      <c r="CG10" s="4">
        <f t="shared" si="33"/>
        <v>2661.1261249999998</v>
      </c>
      <c r="CH10" s="4" t="e">
        <f t="shared" ca="1" si="34"/>
        <v>#NAME?</v>
      </c>
      <c r="CI10" s="4" t="e">
        <f t="shared" ca="1" si="35"/>
        <v>#NAME?</v>
      </c>
      <c r="CJ10" s="4" t="e">
        <f t="shared" ca="1" si="124"/>
        <v>#NAME?</v>
      </c>
      <c r="CK10" s="4" t="e">
        <f t="shared" ca="1" si="125"/>
        <v>#NAME?</v>
      </c>
      <c r="CL10" s="4" t="e">
        <f t="shared" ca="1" si="36"/>
        <v>#NAME?</v>
      </c>
      <c r="CM10" s="16"/>
      <c r="CN10" s="4">
        <f t="shared" si="37"/>
        <v>0</v>
      </c>
      <c r="CO10" s="4">
        <f t="shared" si="38"/>
        <v>0</v>
      </c>
      <c r="CP10" s="4">
        <f t="shared" ca="1" si="39"/>
        <v>48579.996977170682</v>
      </c>
      <c r="CQ10" s="4"/>
      <c r="CR10" s="4">
        <f t="shared" ca="1" si="40"/>
        <v>9554.5482952499951</v>
      </c>
      <c r="CS10" s="4">
        <f t="shared" ca="1" si="41"/>
        <v>24170</v>
      </c>
      <c r="CT10" s="4">
        <f t="shared" ca="1" si="42"/>
        <v>7753.6124999999984</v>
      </c>
      <c r="CU10" s="4"/>
      <c r="CV10" s="4">
        <f t="shared" ca="1" si="126"/>
        <v>9554.5482952499951</v>
      </c>
      <c r="CW10" s="4">
        <f t="shared" ca="1" si="43"/>
        <v>2584.5374999999995</v>
      </c>
      <c r="CX10" s="4">
        <f t="shared" ca="1" si="44"/>
        <v>2584.5374999999995</v>
      </c>
      <c r="CY10" s="4">
        <f t="shared" ca="1" si="127"/>
        <v>6970.0107952499957</v>
      </c>
      <c r="CZ10" s="4"/>
      <c r="DA10" s="4">
        <f t="shared" ca="1" si="45"/>
        <v>6970.0107952499957</v>
      </c>
      <c r="DB10" s="4">
        <f t="shared" si="46"/>
        <v>0</v>
      </c>
      <c r="DC10" s="4">
        <f t="shared" ca="1" si="128"/>
        <v>2584.5374999999995</v>
      </c>
      <c r="DD10" s="4">
        <f t="shared" ca="1" si="47"/>
        <v>5169.0749999999989</v>
      </c>
      <c r="DE10" s="4">
        <f t="shared" ca="1" si="48"/>
        <v>5169.0749999999989</v>
      </c>
      <c r="DF10" s="4">
        <f t="shared" ca="1" si="129"/>
        <v>0</v>
      </c>
      <c r="DG10" s="4">
        <f t="shared" ca="1" si="130"/>
        <v>5169.0749999999989</v>
      </c>
      <c r="DH10" s="4">
        <f t="shared" ca="1" si="49"/>
        <v>0</v>
      </c>
      <c r="DI10" s="4"/>
      <c r="DJ10" s="4">
        <f t="shared" ca="1" si="50"/>
        <v>1800.9357952499968</v>
      </c>
      <c r="DK10" s="4">
        <f t="shared" ca="1" si="51"/>
        <v>6000</v>
      </c>
      <c r="DL10" s="4">
        <f t="shared" ca="1" si="52"/>
        <v>6000</v>
      </c>
      <c r="DM10" s="4">
        <f t="shared" ca="1" si="53"/>
        <v>23470.045550000003</v>
      </c>
      <c r="DN10" s="4">
        <f t="shared" ca="1" si="54"/>
        <v>1800.9357952499968</v>
      </c>
      <c r="DO10" s="4">
        <f t="shared" ca="1" si="55"/>
        <v>21669.109754750007</v>
      </c>
      <c r="DP10" s="4"/>
      <c r="DQ10" s="4">
        <f t="shared" ca="1" si="56"/>
        <v>0</v>
      </c>
      <c r="DR10" s="4"/>
      <c r="DS10" s="4">
        <f t="shared" si="131"/>
        <v>0</v>
      </c>
      <c r="DT10" s="4">
        <f t="shared" si="57"/>
        <v>0</v>
      </c>
      <c r="DU10" s="4">
        <f t="shared" si="58"/>
        <v>0</v>
      </c>
      <c r="DV10" s="4"/>
      <c r="DW10" s="4">
        <f t="shared" ca="1" si="132"/>
        <v>36083.692183420681</v>
      </c>
      <c r="DX10" s="4">
        <f t="shared" ca="1" si="59"/>
        <v>10304.891899999999</v>
      </c>
      <c r="DY10" s="4">
        <f t="shared" ca="1" si="133"/>
        <v>1804.184609171034</v>
      </c>
      <c r="DZ10" s="4">
        <f t="shared" ca="1" si="60"/>
        <v>0</v>
      </c>
      <c r="EA10" s="4">
        <f t="shared" ca="1" si="61"/>
        <v>0</v>
      </c>
      <c r="EB10" s="4">
        <f t="shared" ca="1" si="62"/>
        <v>37887.876792591713</v>
      </c>
      <c r="EC10" s="4">
        <f t="shared" si="63"/>
        <v>1</v>
      </c>
      <c r="ED10" s="4"/>
      <c r="EE10" s="4">
        <f t="shared" ca="1" si="134"/>
        <v>7750.5</v>
      </c>
      <c r="EF10" s="4">
        <f t="shared" ca="1" si="64"/>
        <v>2584.5374999999995</v>
      </c>
      <c r="EG10" s="4">
        <f t="shared" ca="1" si="135"/>
        <v>387.52500000000003</v>
      </c>
      <c r="EH10" s="4">
        <f t="shared" ca="1" si="65"/>
        <v>0</v>
      </c>
      <c r="EI10" s="4">
        <f t="shared" ca="1" si="66"/>
        <v>0</v>
      </c>
      <c r="EJ10" s="4">
        <f t="shared" ca="1" si="67"/>
        <v>0</v>
      </c>
      <c r="EK10" s="4">
        <f t="shared" si="68"/>
        <v>1</v>
      </c>
      <c r="EL10" s="4">
        <f t="shared" si="69"/>
        <v>0</v>
      </c>
      <c r="EM10" s="4"/>
      <c r="EN10" s="4">
        <f t="shared" ca="1" si="136"/>
        <v>4745.8047937499978</v>
      </c>
      <c r="EO10" s="4">
        <f t="shared" ca="1" si="70"/>
        <v>1800.9357952499968</v>
      </c>
      <c r="EP10" s="4">
        <f t="shared" ca="1" si="137"/>
        <v>237.29023968749991</v>
      </c>
      <c r="EQ10" s="4">
        <f t="shared" ca="1" si="71"/>
        <v>0</v>
      </c>
      <c r="ER10" s="4">
        <v>0</v>
      </c>
      <c r="ES10" s="4">
        <f t="shared" ca="1" si="138"/>
        <v>4983.0950334374975</v>
      </c>
      <c r="ET10" s="4"/>
      <c r="EU10" s="4">
        <f t="shared" ca="1" si="139"/>
        <v>0</v>
      </c>
      <c r="EV10" s="4">
        <f t="shared" ca="1" si="72"/>
        <v>0</v>
      </c>
      <c r="EW10" s="4">
        <f t="shared" ca="1" si="140"/>
        <v>0</v>
      </c>
      <c r="EX10" s="4">
        <f t="shared" ca="1" si="73"/>
        <v>0</v>
      </c>
      <c r="EY10" s="4">
        <v>0</v>
      </c>
      <c r="EZ10" s="4">
        <f t="shared" ca="1" si="141"/>
        <v>0</v>
      </c>
      <c r="FA10" s="4">
        <f t="shared" ca="1" si="142"/>
        <v>0</v>
      </c>
      <c r="FB10" s="1">
        <f t="shared" ca="1" si="74"/>
        <v>0</v>
      </c>
      <c r="FC10" s="4">
        <f t="shared" ca="1" si="143"/>
        <v>0</v>
      </c>
      <c r="FD10" s="4">
        <f t="shared" ca="1" si="144"/>
        <v>0</v>
      </c>
      <c r="FE10" s="4">
        <f t="shared" ca="1" si="75"/>
        <v>0</v>
      </c>
      <c r="FF10" s="4">
        <f t="shared" ca="1" si="76"/>
        <v>0</v>
      </c>
      <c r="FG10" s="4">
        <f t="shared" ca="1" si="77"/>
        <v>0</v>
      </c>
      <c r="FH10" s="17">
        <f t="shared" ca="1" si="78"/>
        <v>0</v>
      </c>
      <c r="FI10" s="4">
        <f t="shared" ca="1" si="79"/>
        <v>0</v>
      </c>
      <c r="FJ10" s="4"/>
      <c r="FK10" s="4">
        <f t="shared" ca="1" si="80"/>
        <v>42870.971826029214</v>
      </c>
      <c r="FL10" s="4"/>
      <c r="FM10" s="4">
        <v>0</v>
      </c>
      <c r="FN10" s="4">
        <v>0</v>
      </c>
      <c r="FO10" s="4">
        <v>0</v>
      </c>
      <c r="FP10" s="4">
        <v>0</v>
      </c>
      <c r="FQ10" s="4">
        <v>0</v>
      </c>
      <c r="FR10" s="4">
        <v>0</v>
      </c>
      <c r="FS10" s="4">
        <f t="shared" si="81"/>
        <v>0</v>
      </c>
      <c r="FT10" s="4">
        <f t="shared" ca="1" si="82"/>
        <v>0</v>
      </c>
      <c r="FU10" s="4"/>
      <c r="FV10" s="3">
        <f t="shared" si="83"/>
        <v>0.94232233454704462</v>
      </c>
      <c r="FW10" s="3">
        <f t="shared" si="84"/>
        <v>0.94232233454704462</v>
      </c>
      <c r="FX10" s="4">
        <f t="shared" si="145"/>
        <v>2020</v>
      </c>
      <c r="FY10" s="4">
        <f t="shared" si="85"/>
        <v>40.591123512073032</v>
      </c>
      <c r="FZ10" s="4">
        <f t="shared" si="86"/>
        <v>0</v>
      </c>
      <c r="GA10" s="4">
        <f t="shared" si="87"/>
        <v>0</v>
      </c>
      <c r="GB10" s="4">
        <f t="shared" si="88"/>
        <v>0</v>
      </c>
      <c r="GC10" s="4">
        <f t="shared" ca="1" si="89"/>
        <v>0</v>
      </c>
      <c r="GD10" s="4">
        <f t="shared" ca="1" si="90"/>
        <v>0</v>
      </c>
      <c r="GE10" s="4">
        <f t="shared" ca="1" si="91"/>
        <v>0</v>
      </c>
      <c r="GF10" s="4">
        <f t="shared" ca="1" si="92"/>
        <v>0</v>
      </c>
      <c r="GG10" s="18" t="e">
        <f t="shared" ca="1" si="93"/>
        <v>#NAME?</v>
      </c>
      <c r="GH10" s="18" t="e">
        <f t="shared" ca="1" si="94"/>
        <v>#NAME?</v>
      </c>
      <c r="GI10" s="4"/>
      <c r="GJ10" s="4">
        <f t="shared" si="95"/>
        <v>2020</v>
      </c>
      <c r="GK10" s="4">
        <f t="shared" ca="1" si="96"/>
        <v>34.002469057357921</v>
      </c>
      <c r="GL10" s="4">
        <f t="shared" ca="1" si="97"/>
        <v>7.3034692539068695</v>
      </c>
      <c r="GM10" s="4">
        <f t="shared" ca="1" si="98"/>
        <v>4.4720778525510534</v>
      </c>
      <c r="GN10" s="4">
        <f t="shared" ca="1" si="99"/>
        <v>0</v>
      </c>
      <c r="GO10" s="4"/>
      <c r="GP10" s="3">
        <f t="shared" ca="1" si="146"/>
        <v>0.88376528869793425</v>
      </c>
      <c r="GQ10" s="3">
        <f t="shared" ca="1" si="100"/>
        <v>0</v>
      </c>
      <c r="GR10" s="3">
        <f t="shared" ca="1" si="101"/>
        <v>0</v>
      </c>
      <c r="GS10" s="3">
        <f t="shared" ca="1" si="102"/>
        <v>0.11623471130206568</v>
      </c>
      <c r="GT10" s="3">
        <f t="array" aca="1" ref="GT10" ca="1">SUM(GP10:GS10*$GU$6:$GX$6)</f>
        <v>0.99999999999999989</v>
      </c>
      <c r="GU10" s="3">
        <f t="shared" ca="1" si="147"/>
        <v>0.88376528869793436</v>
      </c>
      <c r="GV10" s="3">
        <f t="shared" ca="1" si="148"/>
        <v>0</v>
      </c>
      <c r="GW10" s="3">
        <f t="shared" ca="1" si="149"/>
        <v>0</v>
      </c>
      <c r="GX10" s="3">
        <f t="shared" ca="1" si="150"/>
        <v>0.1162347113020657</v>
      </c>
      <c r="GY10" s="11"/>
      <c r="GZ10" s="27">
        <v>52</v>
      </c>
      <c r="HA10" s="29">
        <v>2.63E-2</v>
      </c>
      <c r="HB10" s="29">
        <f t="shared" ca="1" si="151"/>
        <v>6.4000000000000001E-2</v>
      </c>
      <c r="HC10" s="29">
        <v>6.4000000000000001E-2</v>
      </c>
      <c r="HD10" s="29">
        <v>6.0999999999999999E-2</v>
      </c>
      <c r="HE10" s="29">
        <v>4.4999999999999998E-2</v>
      </c>
      <c r="HG10" s="27">
        <v>50</v>
      </c>
      <c r="HH10" s="30">
        <v>2.5000000000000001E-2</v>
      </c>
      <c r="HJ10">
        <f t="shared" si="153"/>
        <v>2013</v>
      </c>
      <c r="HK10" s="27">
        <v>23820</v>
      </c>
      <c r="HL10" s="27">
        <v>5500</v>
      </c>
      <c r="HM10" s="27"/>
      <c r="HO10">
        <f t="shared" si="103"/>
        <v>142363</v>
      </c>
      <c r="HP10" s="4">
        <f t="shared" si="104"/>
        <v>142363</v>
      </c>
      <c r="HQ10" s="3">
        <f t="shared" ca="1" si="105"/>
        <v>0.26</v>
      </c>
      <c r="HR10" s="4">
        <f t="shared" ca="1" si="152"/>
        <v>29438.294999999998</v>
      </c>
      <c r="HS10" s="4"/>
    </row>
    <row r="11" spans="1:232" x14ac:dyDescent="0.25">
      <c r="A11" t="s">
        <v>78</v>
      </c>
      <c r="B11" s="62">
        <f>Inputs_Summary!AK8</f>
        <v>22</v>
      </c>
      <c r="D11">
        <f t="shared" si="106"/>
        <v>2021</v>
      </c>
      <c r="E11">
        <f t="shared" si="106"/>
        <v>26</v>
      </c>
      <c r="F11" s="8"/>
      <c r="G11" s="8"/>
      <c r="H11" s="9"/>
      <c r="I11" s="9"/>
      <c r="J11" s="92"/>
      <c r="K11" s="91"/>
      <c r="L11" s="91"/>
      <c r="N11" s="93">
        <f t="shared" si="107"/>
        <v>0.05</v>
      </c>
      <c r="O11" s="23">
        <f t="shared" si="108"/>
        <v>0</v>
      </c>
      <c r="P11" s="23">
        <f t="shared" si="109"/>
        <v>0.4</v>
      </c>
      <c r="Q11" s="4">
        <f t="shared" si="0"/>
        <v>0</v>
      </c>
      <c r="R11" s="4">
        <f t="shared" si="110"/>
        <v>0</v>
      </c>
      <c r="S11" s="4">
        <f t="shared" si="1"/>
        <v>0</v>
      </c>
      <c r="T11" s="4">
        <f t="shared" ca="1" si="2"/>
        <v>0</v>
      </c>
      <c r="V11" s="18" t="e">
        <f t="shared" ca="1" si="3"/>
        <v>#NAME?</v>
      </c>
      <c r="W11" s="18" t="e">
        <f t="shared" ca="1" si="4"/>
        <v>#NAME?</v>
      </c>
      <c r="X11" s="18">
        <f t="shared" si="5"/>
        <v>0</v>
      </c>
      <c r="Y11" s="18">
        <f t="shared" ca="1" si="6"/>
        <v>4.8948119529264531</v>
      </c>
      <c r="Z11" s="18">
        <f t="shared" ca="1" si="7"/>
        <v>2.4474059764632266</v>
      </c>
      <c r="AA11" s="18">
        <f t="shared" ca="1" si="8"/>
        <v>1.8072120081513872</v>
      </c>
      <c r="AB11" s="18">
        <f t="shared" ca="1" si="9"/>
        <v>0</v>
      </c>
      <c r="AC11" s="18">
        <f t="shared" ca="1" si="10"/>
        <v>44.522668924204645</v>
      </c>
      <c r="AD11" s="18">
        <f t="shared" ca="1" si="11"/>
        <v>9.9059903209084261</v>
      </c>
      <c r="AE11" s="18">
        <f t="shared" ca="1" si="12"/>
        <v>6.2673958511058041</v>
      </c>
      <c r="AF11" s="18">
        <f t="shared" ca="1" si="13"/>
        <v>0</v>
      </c>
      <c r="AG11" s="18">
        <f t="shared" ca="1" si="14"/>
        <v>60.696055096218871</v>
      </c>
      <c r="AI11">
        <f>Person1!E11</f>
        <v>26</v>
      </c>
      <c r="AJ11">
        <f>Person1!AZ11</f>
        <v>1</v>
      </c>
      <c r="AK11">
        <f>IF(AZ11&lt;&gt;3,Person1!FM11,0)</f>
        <v>0</v>
      </c>
      <c r="AL11" s="4">
        <f ca="1">IF($AZ11&lt;&gt;3,Person1!FN11+Person1!FT11,0)</f>
        <v>5289.8914069999992</v>
      </c>
      <c r="AM11">
        <f>IF($AZ11&lt;&gt;3,Person1!FO11,0)</f>
        <v>0</v>
      </c>
      <c r="AN11">
        <f>IF($AZ11&lt;&gt;3,Person1!FP11,0)</f>
        <v>0</v>
      </c>
      <c r="AO11">
        <f>IF($AZ11&lt;&gt;3,Person1!FQ11,0)</f>
        <v>0</v>
      </c>
      <c r="AP11">
        <f>IF($AZ11&lt;&gt;3,Person1!FR11,0)</f>
        <v>0</v>
      </c>
      <c r="AQ11" s="4">
        <f t="shared" si="15"/>
        <v>0</v>
      </c>
      <c r="AR11" s="4">
        <f>Person1!FS11</f>
        <v>0</v>
      </c>
      <c r="AS11" s="4">
        <f>$B$41*MAX(0,CHOOSE($AZ11,0,IF(AND(Person1!AW11&gt;=Person1!$B$36,AV11&gt;=$B$93),Person1!$B$35*(1+Person1!$B$37)^(Person1!$B$36-Person1!$B$11)*(1+Person1!$B$38)^(Person1!AW11-Person1!$B$36)-CHOOSE(Person1!$B$39+1,0,BD11,BE11,BD11+BE11),0),0,0))</f>
        <v>0</v>
      </c>
      <c r="AT11" s="4">
        <f t="shared" si="16"/>
        <v>0</v>
      </c>
      <c r="AV11">
        <f t="shared" si="111"/>
        <v>2021</v>
      </c>
      <c r="AW11">
        <f t="shared" si="111"/>
        <v>26</v>
      </c>
      <c r="AX11">
        <f t="shared" si="112"/>
        <v>1.08243216</v>
      </c>
      <c r="AY11">
        <f t="shared" si="113"/>
        <v>0.9238454260265142</v>
      </c>
      <c r="AZ11">
        <f t="shared" si="114"/>
        <v>1</v>
      </c>
      <c r="BB11" s="4">
        <f t="shared" si="17"/>
        <v>44152.515624999993</v>
      </c>
      <c r="BC11">
        <f t="shared" si="18"/>
        <v>0</v>
      </c>
      <c r="BD11" s="4">
        <f t="shared" si="19"/>
        <v>0</v>
      </c>
      <c r="BE11" s="4">
        <f t="shared" si="115"/>
        <v>0</v>
      </c>
      <c r="BF11" s="4">
        <f t="shared" si="116"/>
        <v>0</v>
      </c>
      <c r="BG11" s="4">
        <f t="shared" si="117"/>
        <v>0</v>
      </c>
      <c r="BH11" s="4">
        <f t="shared" si="20"/>
        <v>0</v>
      </c>
      <c r="BI11" s="4">
        <f t="shared" si="118"/>
        <v>44152.515624999993</v>
      </c>
      <c r="BJ11" s="4"/>
      <c r="BK11" s="4">
        <f t="shared" si="21"/>
        <v>27060.804</v>
      </c>
      <c r="BL11" s="4">
        <f t="shared" si="119"/>
        <v>0</v>
      </c>
      <c r="BM11" s="4">
        <f t="shared" si="120"/>
        <v>27060.804</v>
      </c>
      <c r="BN11" s="4">
        <v>7188.0744149387483</v>
      </c>
      <c r="BO11" s="4">
        <f t="shared" si="121"/>
        <v>34248.87841493875</v>
      </c>
      <c r="BP11" s="4">
        <f t="shared" si="122"/>
        <v>9903.6372100612425</v>
      </c>
      <c r="BQ11" s="4"/>
      <c r="BR11" s="4">
        <v>0</v>
      </c>
      <c r="BS11" s="4">
        <f t="shared" ca="1" si="22"/>
        <v>7947.4528124999988</v>
      </c>
      <c r="BT11" s="4">
        <f t="shared" ca="1" si="23"/>
        <v>27669.109754750007</v>
      </c>
      <c r="BU11" s="4">
        <f t="shared" si="24"/>
        <v>0</v>
      </c>
      <c r="BV11" s="4">
        <f t="shared" si="25"/>
        <v>1</v>
      </c>
      <c r="BW11" s="4">
        <f t="shared" ca="1" si="26"/>
        <v>0</v>
      </c>
      <c r="BX11" s="4">
        <f t="shared" ca="1" si="27"/>
        <v>0</v>
      </c>
      <c r="BY11" s="4">
        <f t="shared" ca="1" si="28"/>
        <v>0</v>
      </c>
      <c r="BZ11" s="4">
        <f t="shared" ca="1" si="29"/>
        <v>0</v>
      </c>
      <c r="CA11" s="4">
        <f t="shared" ca="1" si="30"/>
        <v>0</v>
      </c>
      <c r="CB11" s="4">
        <f ca="1">MAX(0,BW11+BX11+BY11-BU11)*$BV11</f>
        <v>0</v>
      </c>
      <c r="CC11" s="4"/>
      <c r="CD11" s="4">
        <f t="shared" ca="1" si="31"/>
        <v>44152.515624999993</v>
      </c>
      <c r="CE11" s="4">
        <f t="shared" ca="1" si="123"/>
        <v>33473.077284374995</v>
      </c>
      <c r="CF11" s="16">
        <f t="shared" si="32"/>
        <v>0</v>
      </c>
      <c r="CG11" s="4">
        <f t="shared" si="33"/>
        <v>2731.9855281249997</v>
      </c>
      <c r="CH11" s="4" t="e">
        <f t="shared" ca="1" si="34"/>
        <v>#NAME?</v>
      </c>
      <c r="CI11" s="4" t="e">
        <f t="shared" ca="1" si="35"/>
        <v>#NAME?</v>
      </c>
      <c r="CJ11" s="4" t="e">
        <f t="shared" ca="1" si="124"/>
        <v>#NAME?</v>
      </c>
      <c r="CK11" s="4" t="e">
        <f t="shared" ca="1" si="125"/>
        <v>#NAME?</v>
      </c>
      <c r="CL11" s="4" t="e">
        <f t="shared" ca="1" si="36"/>
        <v>#NAME?</v>
      </c>
      <c r="CM11" s="16"/>
      <c r="CN11" s="4">
        <f t="shared" si="37"/>
        <v>0</v>
      </c>
      <c r="CO11" s="4">
        <f t="shared" si="38"/>
        <v>0</v>
      </c>
      <c r="CP11" s="4">
        <f t="shared" ca="1" si="39"/>
        <v>65699.362021279201</v>
      </c>
      <c r="CQ11" s="4"/>
      <c r="CR11" s="4">
        <f t="shared" ca="1" si="40"/>
        <v>9903.6372100612425</v>
      </c>
      <c r="CS11" s="4">
        <f t="shared" ca="1" si="41"/>
        <v>24650</v>
      </c>
      <c r="CT11" s="4">
        <f t="shared" ca="1" si="42"/>
        <v>7947.4528124999988</v>
      </c>
      <c r="CU11" s="4"/>
      <c r="CV11" s="4">
        <f t="shared" ca="1" si="126"/>
        <v>9903.6372100612425</v>
      </c>
      <c r="CW11" s="4">
        <f t="shared" ca="1" si="43"/>
        <v>2649.1509374999996</v>
      </c>
      <c r="CX11" s="4">
        <f t="shared" ca="1" si="44"/>
        <v>2649.1509374999996</v>
      </c>
      <c r="CY11" s="4">
        <f t="shared" ca="1" si="127"/>
        <v>7254.4862725612429</v>
      </c>
      <c r="CZ11" s="4"/>
      <c r="DA11" s="4">
        <f t="shared" ca="1" si="45"/>
        <v>7254.4862725612429</v>
      </c>
      <c r="DB11" s="4">
        <f t="shared" si="46"/>
        <v>0</v>
      </c>
      <c r="DC11" s="4">
        <f t="shared" ca="1" si="128"/>
        <v>2649.1509374999996</v>
      </c>
      <c r="DD11" s="4">
        <f t="shared" ca="1" si="47"/>
        <v>5298.3018749999992</v>
      </c>
      <c r="DE11" s="4">
        <f t="shared" ca="1" si="48"/>
        <v>5298.3018749999992</v>
      </c>
      <c r="DF11" s="4">
        <f t="shared" ca="1" si="129"/>
        <v>0</v>
      </c>
      <c r="DG11" s="4">
        <f t="shared" ca="1" si="130"/>
        <v>5298.3018749999992</v>
      </c>
      <c r="DH11" s="4">
        <f t="shared" ca="1" si="49"/>
        <v>0</v>
      </c>
      <c r="DI11" s="4"/>
      <c r="DJ11" s="4">
        <f t="shared" ca="1" si="50"/>
        <v>1956.1843975612437</v>
      </c>
      <c r="DK11" s="4">
        <f t="shared" ca="1" si="51"/>
        <v>6000</v>
      </c>
      <c r="DL11" s="4">
        <f t="shared" ca="1" si="52"/>
        <v>6000</v>
      </c>
      <c r="DM11" s="4">
        <f t="shared" ca="1" si="53"/>
        <v>27669.109754750007</v>
      </c>
      <c r="DN11" s="4">
        <f t="shared" ca="1" si="54"/>
        <v>1956.1843975612437</v>
      </c>
      <c r="DO11" s="4">
        <f t="shared" ca="1" si="55"/>
        <v>25712.925357188764</v>
      </c>
      <c r="DP11" s="4"/>
      <c r="DQ11" s="4">
        <f t="shared" ca="1" si="56"/>
        <v>0</v>
      </c>
      <c r="DR11" s="4"/>
      <c r="DS11" s="4">
        <f t="shared" si="131"/>
        <v>0</v>
      </c>
      <c r="DT11" s="4">
        <f t="shared" si="57"/>
        <v>0</v>
      </c>
      <c r="DU11" s="4">
        <f t="shared" si="58"/>
        <v>0</v>
      </c>
      <c r="DV11" s="4"/>
      <c r="DW11" s="4">
        <f t="shared" ca="1" si="132"/>
        <v>48192.768692591708</v>
      </c>
      <c r="DX11" s="4">
        <f t="shared" ca="1" si="59"/>
        <v>10588.193281999998</v>
      </c>
      <c r="DY11" s="4">
        <f t="shared" ca="1" si="133"/>
        <v>2409.6384346295854</v>
      </c>
      <c r="DZ11" s="4">
        <f t="shared" ca="1" si="60"/>
        <v>0</v>
      </c>
      <c r="EA11" s="4">
        <f t="shared" ca="1" si="61"/>
        <v>0</v>
      </c>
      <c r="EB11" s="4">
        <f t="shared" ca="1" si="62"/>
        <v>50602.40712722129</v>
      </c>
      <c r="EC11" s="4">
        <f t="shared" si="63"/>
        <v>1</v>
      </c>
      <c r="ED11" s="4"/>
      <c r="EE11" s="4">
        <f t="shared" ca="1" si="134"/>
        <v>10722.5625</v>
      </c>
      <c r="EF11" s="4">
        <f t="shared" ca="1" si="64"/>
        <v>2649.1509374999996</v>
      </c>
      <c r="EG11" s="4">
        <f t="shared" ca="1" si="135"/>
        <v>536.12812500000007</v>
      </c>
      <c r="EH11" s="4">
        <f t="shared" ca="1" si="65"/>
        <v>0</v>
      </c>
      <c r="EI11" s="4">
        <f t="shared" ca="1" si="66"/>
        <v>0</v>
      </c>
      <c r="EJ11" s="4">
        <f t="shared" ca="1" si="67"/>
        <v>0</v>
      </c>
      <c r="EK11" s="4">
        <f t="shared" si="68"/>
        <v>1</v>
      </c>
      <c r="EL11" s="4">
        <f t="shared" si="69"/>
        <v>0</v>
      </c>
      <c r="EM11" s="4"/>
      <c r="EN11" s="4">
        <f t="shared" ca="1" si="136"/>
        <v>6784.0308286874942</v>
      </c>
      <c r="EO11" s="4">
        <f t="shared" ca="1" si="70"/>
        <v>1956.1843975612437</v>
      </c>
      <c r="EP11" s="4">
        <f t="shared" ca="1" si="137"/>
        <v>339.20154143437475</v>
      </c>
      <c r="EQ11" s="4">
        <f t="shared" ca="1" si="71"/>
        <v>0</v>
      </c>
      <c r="ER11" s="4">
        <v>0</v>
      </c>
      <c r="ES11" s="4">
        <f t="shared" ca="1" si="138"/>
        <v>7123.2323701218693</v>
      </c>
      <c r="ET11" s="4"/>
      <c r="EU11" s="4">
        <f t="shared" ca="1" si="139"/>
        <v>0</v>
      </c>
      <c r="EV11" s="4">
        <f t="shared" ca="1" si="72"/>
        <v>0</v>
      </c>
      <c r="EW11" s="4">
        <f t="shared" ca="1" si="140"/>
        <v>0</v>
      </c>
      <c r="EX11" s="4">
        <f t="shared" ca="1" si="73"/>
        <v>0</v>
      </c>
      <c r="EY11" s="4">
        <v>0</v>
      </c>
      <c r="EZ11" s="4">
        <f t="shared" ca="1" si="141"/>
        <v>0</v>
      </c>
      <c r="FA11" s="4">
        <f t="shared" ca="1" si="142"/>
        <v>0</v>
      </c>
      <c r="FB11" s="1">
        <f t="shared" ca="1" si="74"/>
        <v>0</v>
      </c>
      <c r="FC11" s="4">
        <f t="shared" ca="1" si="143"/>
        <v>0</v>
      </c>
      <c r="FD11" s="4">
        <f t="shared" ca="1" si="144"/>
        <v>0</v>
      </c>
      <c r="FE11" s="4">
        <f t="shared" ca="1" si="75"/>
        <v>0</v>
      </c>
      <c r="FF11" s="4">
        <f t="shared" ca="1" si="76"/>
        <v>0</v>
      </c>
      <c r="FG11" s="4">
        <f t="shared" ca="1" si="77"/>
        <v>0</v>
      </c>
      <c r="FH11" s="17">
        <f t="shared" ca="1" si="78"/>
        <v>0</v>
      </c>
      <c r="FI11" s="4">
        <f t="shared" ca="1" si="79"/>
        <v>0</v>
      </c>
      <c r="FJ11" s="4"/>
      <c r="FK11" s="4">
        <f t="shared" ca="1" si="80"/>
        <v>57725.63949734316</v>
      </c>
      <c r="FL11" s="4"/>
      <c r="FM11" s="4">
        <v>0</v>
      </c>
      <c r="FN11" s="4">
        <v>0</v>
      </c>
      <c r="FO11" s="4">
        <v>0</v>
      </c>
      <c r="FP11" s="4">
        <v>0</v>
      </c>
      <c r="FQ11" s="4">
        <v>0</v>
      </c>
      <c r="FR11" s="4">
        <v>0</v>
      </c>
      <c r="FS11" s="4">
        <f t="shared" si="81"/>
        <v>0</v>
      </c>
      <c r="FT11" s="4">
        <f t="shared" ca="1" si="82"/>
        <v>0</v>
      </c>
      <c r="FU11" s="4"/>
      <c r="FV11" s="3">
        <f t="shared" si="83"/>
        <v>0.9238454260265142</v>
      </c>
      <c r="FW11" s="3">
        <f t="shared" si="84"/>
        <v>0.9238454260265142</v>
      </c>
      <c r="FX11" s="4">
        <f t="shared" si="145"/>
        <v>2021</v>
      </c>
      <c r="FY11" s="4">
        <f t="shared" si="85"/>
        <v>40.790099607720443</v>
      </c>
      <c r="FZ11" s="4">
        <f t="shared" si="86"/>
        <v>0</v>
      </c>
      <c r="GA11" s="4">
        <f t="shared" si="87"/>
        <v>0</v>
      </c>
      <c r="GB11" s="4">
        <f t="shared" si="88"/>
        <v>0</v>
      </c>
      <c r="GC11" s="4">
        <f t="shared" ca="1" si="89"/>
        <v>0</v>
      </c>
      <c r="GD11" s="4">
        <f t="shared" ca="1" si="90"/>
        <v>0</v>
      </c>
      <c r="GE11" s="4">
        <f t="shared" ca="1" si="91"/>
        <v>0</v>
      </c>
      <c r="GF11" s="4">
        <f t="shared" ca="1" si="92"/>
        <v>0</v>
      </c>
      <c r="GG11" s="18" t="e">
        <f t="shared" ca="1" si="93"/>
        <v>#NAME?</v>
      </c>
      <c r="GH11" s="18" t="e">
        <f t="shared" ca="1" si="94"/>
        <v>#NAME?</v>
      </c>
      <c r="GI11" s="4"/>
      <c r="GJ11" s="4">
        <f t="shared" si="95"/>
        <v>2021</v>
      </c>
      <c r="GK11" s="4">
        <f t="shared" ca="1" si="96"/>
        <v>44.522668924204645</v>
      </c>
      <c r="GL11" s="4">
        <f t="shared" ca="1" si="97"/>
        <v>9.9059903209084261</v>
      </c>
      <c r="GM11" s="4">
        <f t="shared" ca="1" si="98"/>
        <v>6.2673958511058041</v>
      </c>
      <c r="GN11" s="4">
        <f t="shared" ca="1" si="99"/>
        <v>0</v>
      </c>
      <c r="GO11" s="4"/>
      <c r="GP11" s="3">
        <f t="shared" ca="1" si="146"/>
        <v>0.87660193231034333</v>
      </c>
      <c r="GQ11" s="3">
        <f t="shared" ca="1" si="100"/>
        <v>0</v>
      </c>
      <c r="GR11" s="3">
        <f t="shared" ca="1" si="101"/>
        <v>0</v>
      </c>
      <c r="GS11" s="3">
        <f t="shared" ca="1" si="102"/>
        <v>0.12339806768965667</v>
      </c>
      <c r="GT11" s="3">
        <f t="array" aca="1" ref="GT11" ca="1">SUM(GP11:GS11*$GU$6:$GX$6)</f>
        <v>1</v>
      </c>
      <c r="GU11" s="3">
        <f t="shared" ca="1" si="147"/>
        <v>0.87660193231034333</v>
      </c>
      <c r="GV11" s="3">
        <f t="shared" ca="1" si="148"/>
        <v>0</v>
      </c>
      <c r="GW11" s="3">
        <f t="shared" ca="1" si="149"/>
        <v>0</v>
      </c>
      <c r="GX11" s="3">
        <f t="shared" ca="1" si="150"/>
        <v>0.12339806768965667</v>
      </c>
      <c r="GY11" s="11"/>
      <c r="GZ11" s="27">
        <v>53</v>
      </c>
      <c r="HA11" s="29">
        <v>2.7E-2</v>
      </c>
      <c r="HB11" s="29">
        <f t="shared" ca="1" si="151"/>
        <v>6.4500000000000002E-2</v>
      </c>
      <c r="HC11" s="29">
        <v>6.4500000000000002E-2</v>
      </c>
      <c r="HD11" s="29">
        <v>6.0999999999999999E-2</v>
      </c>
      <c r="HE11" s="29">
        <v>4.5499999999999999E-2</v>
      </c>
      <c r="HG11" s="27">
        <v>51</v>
      </c>
      <c r="HH11" s="30">
        <v>2.5600000000000001E-2</v>
      </c>
      <c r="HJ11">
        <f t="shared" si="153"/>
        <v>2014</v>
      </c>
      <c r="HK11" s="27">
        <v>24270</v>
      </c>
      <c r="HL11" s="27">
        <v>5500</v>
      </c>
      <c r="HM11" s="27"/>
      <c r="HO11">
        <f t="shared" si="103"/>
        <v>202800</v>
      </c>
      <c r="HP11" s="4">
        <f t="shared" si="104"/>
        <v>202800</v>
      </c>
      <c r="HQ11" s="3">
        <f t="shared" ca="1" si="105"/>
        <v>0.28999999999999998</v>
      </c>
      <c r="HR11" s="4">
        <f t="shared" ca="1" si="152"/>
        <v>46965.024999999994</v>
      </c>
      <c r="HS11" s="4"/>
      <c r="HU11" s="4"/>
      <c r="HV11" s="4"/>
    </row>
    <row r="12" spans="1:232" x14ac:dyDescent="0.25">
      <c r="A12" t="s">
        <v>14</v>
      </c>
      <c r="B12" s="62">
        <f>Inputs_Summary!AK9</f>
        <v>60</v>
      </c>
      <c r="D12">
        <f t="shared" si="106"/>
        <v>2022</v>
      </c>
      <c r="E12">
        <f t="shared" si="106"/>
        <v>27</v>
      </c>
      <c r="F12" s="8"/>
      <c r="G12" s="8"/>
      <c r="H12" s="9"/>
      <c r="I12" s="9"/>
      <c r="J12" s="92"/>
      <c r="K12" s="91"/>
      <c r="L12" s="91"/>
      <c r="N12" s="93">
        <f t="shared" si="107"/>
        <v>0.05</v>
      </c>
      <c r="O12" s="23">
        <f t="shared" si="108"/>
        <v>0</v>
      </c>
      <c r="P12" s="23">
        <f t="shared" si="109"/>
        <v>0.4</v>
      </c>
      <c r="Q12" s="4">
        <f t="shared" si="0"/>
        <v>0</v>
      </c>
      <c r="R12" s="4">
        <f t="shared" si="110"/>
        <v>0</v>
      </c>
      <c r="S12" s="4">
        <f t="shared" si="1"/>
        <v>0</v>
      </c>
      <c r="T12" s="4">
        <f t="shared" ca="1" si="2"/>
        <v>0</v>
      </c>
      <c r="V12" s="18" t="e">
        <f t="shared" ca="1" si="3"/>
        <v>#NAME?</v>
      </c>
      <c r="W12" s="18" t="e">
        <f t="shared" ca="1" si="4"/>
        <v>#NAME?</v>
      </c>
      <c r="X12" s="18">
        <f t="shared" si="5"/>
        <v>0</v>
      </c>
      <c r="Y12" s="18">
        <f t="shared" ca="1" si="6"/>
        <v>4.9188061291662875</v>
      </c>
      <c r="Z12" s="18">
        <f t="shared" ca="1" si="7"/>
        <v>2.4594030645831442</v>
      </c>
      <c r="AA12" s="18">
        <f t="shared" ca="1" si="8"/>
        <v>1.91796078845986</v>
      </c>
      <c r="AB12" s="18">
        <f t="shared" ca="1" si="9"/>
        <v>0</v>
      </c>
      <c r="AC12" s="18">
        <f t="shared" ca="1" si="10"/>
        <v>55.422212062622783</v>
      </c>
      <c r="AD12" s="18">
        <f t="shared" ca="1" si="11"/>
        <v>12.596760601389287</v>
      </c>
      <c r="AE12" s="18">
        <f t="shared" ca="1" si="12"/>
        <v>8.2235075017769432</v>
      </c>
      <c r="AF12" s="18">
        <f t="shared" ca="1" si="13"/>
        <v>0</v>
      </c>
      <c r="AG12" s="18">
        <f t="shared" ca="1" si="14"/>
        <v>76.242480165789019</v>
      </c>
      <c r="AI12">
        <f>Person1!E12</f>
        <v>27</v>
      </c>
      <c r="AJ12">
        <f>Person1!AZ12</f>
        <v>1</v>
      </c>
      <c r="AK12">
        <f>IF(AZ12&lt;&gt;3,Person1!FM12,0)</f>
        <v>0</v>
      </c>
      <c r="AL12" s="4">
        <f ca="1">IF($AZ12&lt;&gt;3,Person1!FN12+Person1!FT12,0)</f>
        <v>5448.5881492099988</v>
      </c>
      <c r="AM12">
        <f>IF($AZ12&lt;&gt;3,Person1!FO12,0)</f>
        <v>0</v>
      </c>
      <c r="AN12">
        <f>IF($AZ12&lt;&gt;3,Person1!FP12,0)</f>
        <v>0</v>
      </c>
      <c r="AO12">
        <f>IF($AZ12&lt;&gt;3,Person1!FQ12,0)</f>
        <v>0</v>
      </c>
      <c r="AP12">
        <f>IF($AZ12&lt;&gt;3,Person1!FR12,0)</f>
        <v>0</v>
      </c>
      <c r="AQ12" s="4">
        <f t="shared" si="15"/>
        <v>0</v>
      </c>
      <c r="AR12" s="4">
        <f>Person1!FS12</f>
        <v>0</v>
      </c>
      <c r="AS12" s="4">
        <f>$B$41*MAX(0,CHOOSE($AZ12,0,IF(AND(Person1!AW12&gt;=Person1!$B$36,AV12&gt;=$B$93),Person1!$B$35*(1+Person1!$B$37)^(Person1!$B$36-Person1!$B$11)*(1+Person1!$B$38)^(Person1!AW12-Person1!$B$36)-CHOOSE(Person1!$B$39+1,0,BD12,BE12,BD12+BE12),0),0,0))</f>
        <v>0</v>
      </c>
      <c r="AT12" s="4">
        <f t="shared" si="16"/>
        <v>0</v>
      </c>
      <c r="AV12">
        <f t="shared" si="111"/>
        <v>2022</v>
      </c>
      <c r="AW12">
        <f t="shared" si="111"/>
        <v>27</v>
      </c>
      <c r="AX12">
        <f t="shared" si="112"/>
        <v>1.1040808032</v>
      </c>
      <c r="AY12">
        <f t="shared" si="113"/>
        <v>0.90573080982991594</v>
      </c>
      <c r="AZ12">
        <f t="shared" si="114"/>
        <v>1</v>
      </c>
      <c r="BB12" s="4">
        <f t="shared" si="17"/>
        <v>45256.328515624984</v>
      </c>
      <c r="BC12">
        <f t="shared" si="18"/>
        <v>0</v>
      </c>
      <c r="BD12" s="4">
        <f t="shared" si="19"/>
        <v>0</v>
      </c>
      <c r="BE12" s="4">
        <f t="shared" si="115"/>
        <v>0</v>
      </c>
      <c r="BF12" s="4">
        <f t="shared" si="116"/>
        <v>0</v>
      </c>
      <c r="BG12" s="4">
        <f t="shared" si="117"/>
        <v>0</v>
      </c>
      <c r="BH12" s="4">
        <f t="shared" si="20"/>
        <v>0</v>
      </c>
      <c r="BI12" s="4">
        <f t="shared" si="118"/>
        <v>45256.328515624984</v>
      </c>
      <c r="BJ12" s="4"/>
      <c r="BK12" s="4">
        <f t="shared" si="21"/>
        <v>27602.020080000002</v>
      </c>
      <c r="BL12" s="4">
        <f t="shared" si="119"/>
        <v>0</v>
      </c>
      <c r="BM12" s="4">
        <f t="shared" si="120"/>
        <v>27602.020080000002</v>
      </c>
      <c r="BN12" s="4">
        <v>7390.5856149836145</v>
      </c>
      <c r="BO12" s="4">
        <f t="shared" si="121"/>
        <v>34992.60569498362</v>
      </c>
      <c r="BP12" s="4">
        <f t="shared" si="122"/>
        <v>10263.722820641364</v>
      </c>
      <c r="BQ12" s="4"/>
      <c r="BR12" s="4">
        <v>0</v>
      </c>
      <c r="BS12" s="4">
        <f t="shared" ca="1" si="22"/>
        <v>8146.1391328124964</v>
      </c>
      <c r="BT12" s="4">
        <f t="shared" ca="1" si="23"/>
        <v>31712.925357188764</v>
      </c>
      <c r="BU12" s="4">
        <f t="shared" si="24"/>
        <v>0</v>
      </c>
      <c r="BV12" s="4">
        <f t="shared" si="25"/>
        <v>1</v>
      </c>
      <c r="BW12" s="4">
        <f t="shared" ca="1" si="26"/>
        <v>0</v>
      </c>
      <c r="BX12" s="4">
        <f t="shared" ca="1" si="27"/>
        <v>0</v>
      </c>
      <c r="BY12" s="4">
        <f t="shared" ca="1" si="28"/>
        <v>0</v>
      </c>
      <c r="BZ12" s="4">
        <f t="shared" ca="1" si="29"/>
        <v>0</v>
      </c>
      <c r="CA12" s="4">
        <f t="shared" ca="1" si="30"/>
        <v>0</v>
      </c>
      <c r="CB12" s="4">
        <f t="shared" ref="CB12:CB75" ca="1" si="154">MAX(0,BW12+BX12+BY12-BU12)*$BV12</f>
        <v>0</v>
      </c>
      <c r="CC12" s="4"/>
      <c r="CD12" s="4">
        <f t="shared" ca="1" si="31"/>
        <v>45256.328515624984</v>
      </c>
      <c r="CE12" s="4">
        <f t="shared" ca="1" si="123"/>
        <v>34305.572966484367</v>
      </c>
      <c r="CF12" s="16">
        <f t="shared" si="32"/>
        <v>0</v>
      </c>
      <c r="CG12" s="4">
        <f t="shared" si="33"/>
        <v>2804.6164163281237</v>
      </c>
      <c r="CH12" s="4" t="e">
        <f t="shared" ca="1" si="34"/>
        <v>#NAME?</v>
      </c>
      <c r="CI12" s="4" t="e">
        <f t="shared" ca="1" si="35"/>
        <v>#NAME?</v>
      </c>
      <c r="CJ12" s="4" t="e">
        <f t="shared" ca="1" si="124"/>
        <v>#NAME?</v>
      </c>
      <c r="CK12" s="4" t="e">
        <f t="shared" ca="1" si="125"/>
        <v>#NAME?</v>
      </c>
      <c r="CL12" s="4" t="e">
        <f t="shared" ca="1" si="36"/>
        <v>#NAME?</v>
      </c>
      <c r="CM12" s="16"/>
      <c r="CN12" s="4">
        <f t="shared" si="37"/>
        <v>0</v>
      </c>
      <c r="CO12" s="4">
        <f t="shared" si="38"/>
        <v>0</v>
      </c>
      <c r="CP12" s="4">
        <f t="shared" ca="1" si="39"/>
        <v>84177.858739404401</v>
      </c>
      <c r="CQ12" s="4"/>
      <c r="CR12" s="4">
        <f t="shared" ca="1" si="40"/>
        <v>10263.722820641364</v>
      </c>
      <c r="CS12" s="4">
        <f t="shared" ca="1" si="41"/>
        <v>25140</v>
      </c>
      <c r="CT12" s="4">
        <f t="shared" ca="1" si="42"/>
        <v>8146.1391328124964</v>
      </c>
      <c r="CU12" s="4"/>
      <c r="CV12" s="4">
        <f t="shared" ca="1" si="126"/>
        <v>10263.722820641364</v>
      </c>
      <c r="CW12" s="4">
        <f t="shared" ca="1" si="43"/>
        <v>2715.3797109374991</v>
      </c>
      <c r="CX12" s="4">
        <f t="shared" ca="1" si="44"/>
        <v>2715.3797109374991</v>
      </c>
      <c r="CY12" s="4">
        <f t="shared" ca="1" si="127"/>
        <v>7548.3431097038647</v>
      </c>
      <c r="CZ12" s="4"/>
      <c r="DA12" s="4">
        <f t="shared" ca="1" si="45"/>
        <v>7548.3431097038647</v>
      </c>
      <c r="DB12" s="4">
        <f t="shared" si="46"/>
        <v>0</v>
      </c>
      <c r="DC12" s="4">
        <f t="shared" ca="1" si="128"/>
        <v>2715.3797109374991</v>
      </c>
      <c r="DD12" s="4">
        <f t="shared" ca="1" si="47"/>
        <v>5430.7594218749973</v>
      </c>
      <c r="DE12" s="4">
        <f t="shared" ca="1" si="48"/>
        <v>5430.7594218749973</v>
      </c>
      <c r="DF12" s="4">
        <f t="shared" ca="1" si="129"/>
        <v>0</v>
      </c>
      <c r="DG12" s="4">
        <f t="shared" ca="1" si="130"/>
        <v>5430.7594218749973</v>
      </c>
      <c r="DH12" s="4">
        <f t="shared" ca="1" si="49"/>
        <v>0</v>
      </c>
      <c r="DI12" s="4"/>
      <c r="DJ12" s="4">
        <f t="shared" ca="1" si="50"/>
        <v>2117.5836878288674</v>
      </c>
      <c r="DK12" s="4">
        <f t="shared" ca="1" si="51"/>
        <v>6000</v>
      </c>
      <c r="DL12" s="4">
        <f t="shared" ca="1" si="52"/>
        <v>6000</v>
      </c>
      <c r="DM12" s="4">
        <f t="shared" ca="1" si="53"/>
        <v>31712.925357188764</v>
      </c>
      <c r="DN12" s="4">
        <f t="shared" ca="1" si="54"/>
        <v>2117.5836878288674</v>
      </c>
      <c r="DO12" s="4">
        <f t="shared" ca="1" si="55"/>
        <v>29595.341669359896</v>
      </c>
      <c r="DP12" s="4"/>
      <c r="DQ12" s="4">
        <f t="shared" ca="1" si="56"/>
        <v>0</v>
      </c>
      <c r="DR12" s="4"/>
      <c r="DS12" s="4">
        <f t="shared" si="131"/>
        <v>0</v>
      </c>
      <c r="DT12" s="4">
        <f t="shared" si="57"/>
        <v>0</v>
      </c>
      <c r="DU12" s="4">
        <f t="shared" si="58"/>
        <v>0</v>
      </c>
      <c r="DV12" s="4"/>
      <c r="DW12" s="4">
        <f t="shared" ca="1" si="132"/>
        <v>61190.60040922129</v>
      </c>
      <c r="DX12" s="4">
        <f t="shared" ca="1" si="59"/>
        <v>10879.347571084996</v>
      </c>
      <c r="DY12" s="4">
        <f t="shared" ca="1" si="133"/>
        <v>3059.5300204610649</v>
      </c>
      <c r="DZ12" s="4">
        <f t="shared" ca="1" si="60"/>
        <v>0</v>
      </c>
      <c r="EA12" s="4">
        <f t="shared" ca="1" si="61"/>
        <v>0</v>
      </c>
      <c r="EB12" s="4">
        <f t="shared" ca="1" si="62"/>
        <v>64250.130429682351</v>
      </c>
      <c r="EC12" s="4">
        <f t="shared" si="63"/>
        <v>1</v>
      </c>
      <c r="ED12" s="4"/>
      <c r="EE12" s="4">
        <f t="shared" ca="1" si="134"/>
        <v>13907.841562499998</v>
      </c>
      <c r="EF12" s="4">
        <f t="shared" ca="1" si="64"/>
        <v>2715.3797109374991</v>
      </c>
      <c r="EG12" s="4">
        <f t="shared" ca="1" si="135"/>
        <v>695.3920781249999</v>
      </c>
      <c r="EH12" s="4">
        <f t="shared" ca="1" si="65"/>
        <v>0</v>
      </c>
      <c r="EI12" s="4">
        <f t="shared" ca="1" si="66"/>
        <v>0</v>
      </c>
      <c r="EJ12" s="4">
        <f t="shared" ca="1" si="67"/>
        <v>0</v>
      </c>
      <c r="EK12" s="4">
        <f t="shared" si="68"/>
        <v>1</v>
      </c>
      <c r="EL12" s="4">
        <f t="shared" si="69"/>
        <v>0</v>
      </c>
      <c r="EM12" s="4"/>
      <c r="EN12" s="4">
        <f t="shared" ca="1" si="136"/>
        <v>9079.416767683113</v>
      </c>
      <c r="EO12" s="4">
        <f t="shared" ca="1" si="70"/>
        <v>2117.5836878288674</v>
      </c>
      <c r="EP12" s="4">
        <f t="shared" ca="1" si="137"/>
        <v>453.97083838415568</v>
      </c>
      <c r="EQ12" s="4">
        <f t="shared" ca="1" si="71"/>
        <v>0</v>
      </c>
      <c r="ER12" s="4">
        <v>0</v>
      </c>
      <c r="ES12" s="4">
        <f t="shared" ca="1" si="138"/>
        <v>9533.3876060672683</v>
      </c>
      <c r="ET12" s="4"/>
      <c r="EU12" s="4">
        <f t="shared" ca="1" si="139"/>
        <v>0</v>
      </c>
      <c r="EV12" s="4">
        <f t="shared" ca="1" si="72"/>
        <v>0</v>
      </c>
      <c r="EW12" s="4">
        <f t="shared" ca="1" si="140"/>
        <v>0</v>
      </c>
      <c r="EX12" s="4">
        <f t="shared" ca="1" si="73"/>
        <v>0</v>
      </c>
      <c r="EY12" s="4">
        <v>0</v>
      </c>
      <c r="EZ12" s="4">
        <f t="shared" ca="1" si="141"/>
        <v>0</v>
      </c>
      <c r="FA12" s="4">
        <f t="shared" ca="1" si="142"/>
        <v>0</v>
      </c>
      <c r="FB12" s="1">
        <f t="shared" ca="1" si="74"/>
        <v>0</v>
      </c>
      <c r="FC12" s="4">
        <f t="shared" ca="1" si="143"/>
        <v>0</v>
      </c>
      <c r="FD12" s="4">
        <f t="shared" ca="1" si="144"/>
        <v>0</v>
      </c>
      <c r="FE12" s="4">
        <f t="shared" ca="1" si="75"/>
        <v>0</v>
      </c>
      <c r="FF12" s="4">
        <f t="shared" ca="1" si="76"/>
        <v>0</v>
      </c>
      <c r="FG12" s="4">
        <f t="shared" ca="1" si="77"/>
        <v>0</v>
      </c>
      <c r="FH12" s="17">
        <f t="shared" ca="1" si="78"/>
        <v>0</v>
      </c>
      <c r="FI12" s="4">
        <f t="shared" ca="1" si="79"/>
        <v>0</v>
      </c>
      <c r="FJ12" s="4"/>
      <c r="FK12" s="4">
        <f t="shared" ca="1" si="80"/>
        <v>73783.518035749614</v>
      </c>
      <c r="FL12" s="4"/>
      <c r="FM12" s="4">
        <v>0</v>
      </c>
      <c r="FN12" s="4">
        <v>0</v>
      </c>
      <c r="FO12" s="4">
        <v>0</v>
      </c>
      <c r="FP12" s="4">
        <v>0</v>
      </c>
      <c r="FQ12" s="4">
        <v>0</v>
      </c>
      <c r="FR12" s="4">
        <v>0</v>
      </c>
      <c r="FS12" s="4">
        <f t="shared" si="81"/>
        <v>0</v>
      </c>
      <c r="FT12" s="4">
        <f t="shared" ca="1" si="82"/>
        <v>0</v>
      </c>
      <c r="FU12" s="4"/>
      <c r="FV12" s="3">
        <f t="shared" si="83"/>
        <v>0.90573080982991594</v>
      </c>
      <c r="FW12" s="3">
        <f t="shared" si="84"/>
        <v>0.90573080982991594</v>
      </c>
      <c r="FX12" s="4">
        <f t="shared" si="145"/>
        <v>2022</v>
      </c>
      <c r="FY12" s="4">
        <f t="shared" si="85"/>
        <v>40.990051076385733</v>
      </c>
      <c r="FZ12" s="4">
        <f t="shared" si="86"/>
        <v>0</v>
      </c>
      <c r="GA12" s="4">
        <f t="shared" si="87"/>
        <v>0</v>
      </c>
      <c r="GB12" s="4">
        <f t="shared" si="88"/>
        <v>0</v>
      </c>
      <c r="GC12" s="4">
        <f t="shared" ca="1" si="89"/>
        <v>0</v>
      </c>
      <c r="GD12" s="4">
        <f t="shared" ca="1" si="90"/>
        <v>0</v>
      </c>
      <c r="GE12" s="4">
        <f t="shared" ca="1" si="91"/>
        <v>0</v>
      </c>
      <c r="GF12" s="4">
        <f t="shared" ca="1" si="92"/>
        <v>0</v>
      </c>
      <c r="GG12" s="18" t="e">
        <f t="shared" ca="1" si="93"/>
        <v>#NAME?</v>
      </c>
      <c r="GH12" s="18" t="e">
        <f t="shared" ca="1" si="94"/>
        <v>#NAME?</v>
      </c>
      <c r="GI12" s="4"/>
      <c r="GJ12" s="4">
        <f t="shared" si="95"/>
        <v>2022</v>
      </c>
      <c r="GK12" s="4">
        <f t="shared" ca="1" si="96"/>
        <v>55.422212062622783</v>
      </c>
      <c r="GL12" s="4">
        <f t="shared" ca="1" si="97"/>
        <v>12.596760601389287</v>
      </c>
      <c r="GM12" s="4">
        <f t="shared" ca="1" si="98"/>
        <v>8.2235075017769432</v>
      </c>
      <c r="GN12" s="4">
        <f t="shared" ca="1" si="99"/>
        <v>0</v>
      </c>
      <c r="GO12" s="4"/>
      <c r="GP12" s="3">
        <f t="shared" ca="1" si="146"/>
        <v>0.87079244986057536</v>
      </c>
      <c r="GQ12" s="3">
        <f t="shared" ca="1" si="100"/>
        <v>0</v>
      </c>
      <c r="GR12" s="3">
        <f t="shared" ca="1" si="101"/>
        <v>0</v>
      </c>
      <c r="GS12" s="3">
        <f t="shared" ca="1" si="102"/>
        <v>0.12920755013942475</v>
      </c>
      <c r="GT12" s="3">
        <f t="array" aca="1" ref="GT12" ca="1">SUM(GP12:GS12*$GU$6:$GX$6)</f>
        <v>1</v>
      </c>
      <c r="GU12" s="3">
        <f t="shared" ca="1" si="147"/>
        <v>0.87079244986057536</v>
      </c>
      <c r="GV12" s="3">
        <f t="shared" ca="1" si="148"/>
        <v>0</v>
      </c>
      <c r="GW12" s="3">
        <f t="shared" ca="1" si="149"/>
        <v>0</v>
      </c>
      <c r="GX12" s="3">
        <f t="shared" ca="1" si="150"/>
        <v>0.12920755013942475</v>
      </c>
      <c r="GY12" s="11"/>
      <c r="GZ12" s="27">
        <v>54</v>
      </c>
      <c r="HA12" s="29">
        <v>2.7799999999999998E-2</v>
      </c>
      <c r="HB12" s="29">
        <f t="shared" ca="1" si="151"/>
        <v>6.5100000000000005E-2</v>
      </c>
      <c r="HC12" s="29">
        <v>6.5100000000000005E-2</v>
      </c>
      <c r="HD12" s="29">
        <v>6.4000000000000001E-2</v>
      </c>
      <c r="HE12" s="29">
        <v>4.5900000000000003E-2</v>
      </c>
      <c r="HG12" s="27">
        <v>52</v>
      </c>
      <c r="HH12" s="30">
        <v>2.63E-2</v>
      </c>
      <c r="HJ12">
        <f t="shared" si="153"/>
        <v>2015</v>
      </c>
      <c r="HK12" s="27">
        <v>24930</v>
      </c>
      <c r="HL12" s="27">
        <v>10000</v>
      </c>
      <c r="HM12" s="27"/>
      <c r="HO12">
        <f t="shared" si="103"/>
        <v>900000</v>
      </c>
      <c r="HP12" s="4">
        <f t="shared" si="104"/>
        <v>900000</v>
      </c>
      <c r="HQ12" s="3">
        <f t="shared" ca="1" si="105"/>
        <v>0.33</v>
      </c>
      <c r="HR12" s="4">
        <f t="shared" ca="1" si="152"/>
        <v>277041.02500000002</v>
      </c>
      <c r="HS12" s="4"/>
      <c r="HT12" t="s">
        <v>631</v>
      </c>
      <c r="HV12">
        <f>HQ59</f>
        <v>0.38</v>
      </c>
      <c r="HW12" s="3">
        <f>HQ60</f>
        <v>0.17</v>
      </c>
      <c r="HX12" t="s">
        <v>632</v>
      </c>
    </row>
    <row r="13" spans="1:232" x14ac:dyDescent="0.25">
      <c r="A13" t="s">
        <v>15</v>
      </c>
      <c r="B13" s="62">
        <f>Inputs_Summary!AK10</f>
        <v>85</v>
      </c>
      <c r="D13">
        <f t="shared" si="106"/>
        <v>2023</v>
      </c>
      <c r="E13">
        <f t="shared" si="106"/>
        <v>28</v>
      </c>
      <c r="F13" s="8"/>
      <c r="G13" s="8"/>
      <c r="H13" s="9"/>
      <c r="I13" s="9"/>
      <c r="J13" s="92"/>
      <c r="K13" s="91"/>
      <c r="L13" s="91"/>
      <c r="N13" s="93">
        <f t="shared" si="107"/>
        <v>0.05</v>
      </c>
      <c r="O13" s="23">
        <f t="shared" si="108"/>
        <v>0</v>
      </c>
      <c r="P13" s="23">
        <f t="shared" si="109"/>
        <v>0.4</v>
      </c>
      <c r="Q13" s="4">
        <f t="shared" si="0"/>
        <v>0</v>
      </c>
      <c r="R13" s="4">
        <f t="shared" si="110"/>
        <v>0</v>
      </c>
      <c r="S13" s="4">
        <f t="shared" si="1"/>
        <v>0</v>
      </c>
      <c r="T13" s="4">
        <f t="shared" ca="1" si="2"/>
        <v>0</v>
      </c>
      <c r="V13" s="18" t="e">
        <f t="shared" ca="1" si="3"/>
        <v>#NAME?</v>
      </c>
      <c r="W13" s="18" t="e">
        <f t="shared" ca="1" si="4"/>
        <v>#NAME?</v>
      </c>
      <c r="X13" s="18">
        <f t="shared" si="5"/>
        <v>0</v>
      </c>
      <c r="Y13" s="18">
        <f t="shared" ca="1" si="6"/>
        <v>4.9429179239171024</v>
      </c>
      <c r="Z13" s="18">
        <f t="shared" ca="1" si="7"/>
        <v>2.4714589619585512</v>
      </c>
      <c r="AA13" s="18">
        <f t="shared" ca="1" si="8"/>
        <v>2.0293101453370594</v>
      </c>
      <c r="AB13" s="18">
        <f t="shared" ca="1" si="9"/>
        <v>0</v>
      </c>
      <c r="AC13" s="18">
        <f t="shared" ca="1" si="10"/>
        <v>66.712826423268496</v>
      </c>
      <c r="AD13" s="18">
        <f t="shared" ca="1" si="11"/>
        <v>15.378433035335188</v>
      </c>
      <c r="AE13" s="18">
        <f t="shared" ca="1" si="12"/>
        <v>10.345729083652596</v>
      </c>
      <c r="AF13" s="18">
        <f t="shared" ca="1" si="13"/>
        <v>0</v>
      </c>
      <c r="AG13" s="18">
        <f t="shared" ca="1" si="14"/>
        <v>92.436988542256273</v>
      </c>
      <c r="AI13">
        <f>Person1!E13</f>
        <v>28</v>
      </c>
      <c r="AJ13">
        <f>Person1!AZ13</f>
        <v>1</v>
      </c>
      <c r="AK13">
        <f>IF(AZ13&lt;&gt;3,Person1!FM13,0)</f>
        <v>0</v>
      </c>
      <c r="AL13" s="4">
        <f ca="1">IF($AZ13&lt;&gt;3,Person1!FN13+Person1!FT13,0)</f>
        <v>5612.0457936862986</v>
      </c>
      <c r="AM13">
        <f>IF($AZ13&lt;&gt;3,Person1!FO13,0)</f>
        <v>0</v>
      </c>
      <c r="AN13">
        <f>IF($AZ13&lt;&gt;3,Person1!FP13,0)</f>
        <v>0</v>
      </c>
      <c r="AO13">
        <f>IF($AZ13&lt;&gt;3,Person1!FQ13,0)</f>
        <v>0</v>
      </c>
      <c r="AP13">
        <f>IF($AZ13&lt;&gt;3,Person1!FR13,0)</f>
        <v>0</v>
      </c>
      <c r="AQ13" s="4">
        <f t="shared" si="15"/>
        <v>0</v>
      </c>
      <c r="AR13" s="4">
        <f>Person1!FS13</f>
        <v>0</v>
      </c>
      <c r="AS13" s="4">
        <f>$B$41*MAX(0,CHOOSE($AZ13,0,IF(AND(Person1!AW13&gt;=Person1!$B$36,AV13&gt;=$B$93),Person1!$B$35*(1+Person1!$B$37)^(Person1!$B$36-Person1!$B$11)*(1+Person1!$B$38)^(Person1!AW13-Person1!$B$36)-CHOOSE(Person1!$B$39+1,0,BD13,BE13,BD13+BE13),0),0,0))</f>
        <v>0</v>
      </c>
      <c r="AT13" s="4">
        <f t="shared" si="16"/>
        <v>0</v>
      </c>
      <c r="AV13">
        <f t="shared" si="111"/>
        <v>2023</v>
      </c>
      <c r="AW13">
        <f t="shared" si="111"/>
        <v>28</v>
      </c>
      <c r="AX13">
        <f t="shared" si="112"/>
        <v>1.1261624192640001</v>
      </c>
      <c r="AY13">
        <f t="shared" si="113"/>
        <v>0.88797138218619198</v>
      </c>
      <c r="AZ13">
        <f t="shared" si="114"/>
        <v>1</v>
      </c>
      <c r="BB13" s="4">
        <f t="shared" si="17"/>
        <v>46387.736728515607</v>
      </c>
      <c r="BC13">
        <f t="shared" si="18"/>
        <v>0</v>
      </c>
      <c r="BD13" s="4">
        <f t="shared" si="19"/>
        <v>0</v>
      </c>
      <c r="BE13" s="4">
        <f t="shared" si="115"/>
        <v>0</v>
      </c>
      <c r="BF13" s="4">
        <f t="shared" si="116"/>
        <v>0</v>
      </c>
      <c r="BG13" s="4">
        <f t="shared" si="117"/>
        <v>0</v>
      </c>
      <c r="BH13" s="4">
        <f t="shared" si="20"/>
        <v>0</v>
      </c>
      <c r="BI13" s="4">
        <f t="shared" si="118"/>
        <v>46387.736728515607</v>
      </c>
      <c r="BJ13" s="4"/>
      <c r="BK13" s="4">
        <f t="shared" si="21"/>
        <v>28154.060481600001</v>
      </c>
      <c r="BL13" s="4">
        <f t="shared" si="119"/>
        <v>0</v>
      </c>
      <c r="BM13" s="4">
        <f t="shared" si="120"/>
        <v>28154.060481600001</v>
      </c>
      <c r="BN13" s="4">
        <v>7598.5508130730313</v>
      </c>
      <c r="BO13" s="4">
        <f t="shared" si="121"/>
        <v>35752.611294673035</v>
      </c>
      <c r="BP13" s="4">
        <f t="shared" si="122"/>
        <v>10635.125433842572</v>
      </c>
      <c r="BQ13" s="4"/>
      <c r="BR13" s="4">
        <v>0</v>
      </c>
      <c r="BS13" s="4">
        <f t="shared" ca="1" si="22"/>
        <v>8349.7926111328088</v>
      </c>
      <c r="BT13" s="4">
        <f t="shared" ca="1" si="23"/>
        <v>36095.341669359899</v>
      </c>
      <c r="BU13" s="4">
        <f t="shared" si="24"/>
        <v>0</v>
      </c>
      <c r="BV13" s="4">
        <f t="shared" si="25"/>
        <v>1</v>
      </c>
      <c r="BW13" s="4">
        <f t="shared" ca="1" si="26"/>
        <v>0</v>
      </c>
      <c r="BX13" s="4">
        <f t="shared" ca="1" si="27"/>
        <v>0</v>
      </c>
      <c r="BY13" s="4">
        <f t="shared" ca="1" si="28"/>
        <v>0</v>
      </c>
      <c r="BZ13" s="4">
        <f t="shared" ca="1" si="29"/>
        <v>0</v>
      </c>
      <c r="CA13" s="4">
        <f t="shared" ca="1" si="30"/>
        <v>0</v>
      </c>
      <c r="CB13" s="4">
        <f t="shared" ca="1" si="154"/>
        <v>0</v>
      </c>
      <c r="CC13" s="4"/>
      <c r="CD13" s="4">
        <f t="shared" ca="1" si="31"/>
        <v>46387.736728515607</v>
      </c>
      <c r="CE13" s="4">
        <f t="shared" ca="1" si="123"/>
        <v>35158.881040646469</v>
      </c>
      <c r="CF13" s="16">
        <f t="shared" si="32"/>
        <v>0</v>
      </c>
      <c r="CG13" s="4">
        <f t="shared" si="33"/>
        <v>2879.0630767363268</v>
      </c>
      <c r="CH13" s="4" t="e">
        <f t="shared" ca="1" si="34"/>
        <v>#NAME?</v>
      </c>
      <c r="CI13" s="4" t="e">
        <f t="shared" ca="1" si="35"/>
        <v>#NAME?</v>
      </c>
      <c r="CJ13" s="4" t="e">
        <f t="shared" ca="1" si="124"/>
        <v>#NAME?</v>
      </c>
      <c r="CK13" s="4" t="e">
        <f t="shared" ca="1" si="125"/>
        <v>#NAME?</v>
      </c>
      <c r="CL13" s="4" t="e">
        <f t="shared" ca="1" si="36"/>
        <v>#NAME?</v>
      </c>
      <c r="CM13" s="16"/>
      <c r="CN13" s="4">
        <f t="shared" si="37"/>
        <v>0</v>
      </c>
      <c r="CO13" s="4">
        <f t="shared" si="38"/>
        <v>0</v>
      </c>
      <c r="CP13" s="4">
        <f t="shared" ca="1" si="39"/>
        <v>104099.06264622598</v>
      </c>
      <c r="CQ13" s="4"/>
      <c r="CR13" s="4">
        <f t="shared" ca="1" si="40"/>
        <v>10635.125433842572</v>
      </c>
      <c r="CS13" s="4">
        <f t="shared" ca="1" si="41"/>
        <v>25650</v>
      </c>
      <c r="CT13" s="4">
        <f t="shared" ca="1" si="42"/>
        <v>8349.7926111328088</v>
      </c>
      <c r="CU13" s="4"/>
      <c r="CV13" s="4">
        <f t="shared" ca="1" si="126"/>
        <v>10635.125433842572</v>
      </c>
      <c r="CW13" s="4">
        <f t="shared" ca="1" si="43"/>
        <v>2783.2642037109363</v>
      </c>
      <c r="CX13" s="4">
        <f t="shared" ca="1" si="44"/>
        <v>2783.2642037109363</v>
      </c>
      <c r="CY13" s="4">
        <f t="shared" ca="1" si="127"/>
        <v>7851.8612301316352</v>
      </c>
      <c r="CZ13" s="4"/>
      <c r="DA13" s="4">
        <f t="shared" ca="1" si="45"/>
        <v>7851.8612301316352</v>
      </c>
      <c r="DB13" s="4">
        <f t="shared" si="46"/>
        <v>0</v>
      </c>
      <c r="DC13" s="4">
        <f t="shared" ca="1" si="128"/>
        <v>2783.2642037109363</v>
      </c>
      <c r="DD13" s="4">
        <f t="shared" ca="1" si="47"/>
        <v>5566.5284074218725</v>
      </c>
      <c r="DE13" s="4">
        <f t="shared" ca="1" si="48"/>
        <v>5566.5284074218725</v>
      </c>
      <c r="DF13" s="4">
        <f t="shared" ca="1" si="129"/>
        <v>0</v>
      </c>
      <c r="DG13" s="4">
        <f t="shared" ca="1" si="130"/>
        <v>5566.5284074218725</v>
      </c>
      <c r="DH13" s="4">
        <f t="shared" ca="1" si="49"/>
        <v>0</v>
      </c>
      <c r="DI13" s="4"/>
      <c r="DJ13" s="4">
        <f t="shared" ca="1" si="50"/>
        <v>2285.3328227097627</v>
      </c>
      <c r="DK13" s="4">
        <f t="shared" ca="1" si="51"/>
        <v>6500</v>
      </c>
      <c r="DL13" s="4">
        <f t="shared" ca="1" si="52"/>
        <v>6500</v>
      </c>
      <c r="DM13" s="4">
        <f t="shared" ca="1" si="53"/>
        <v>36095.341669359899</v>
      </c>
      <c r="DN13" s="4">
        <f t="shared" ca="1" si="54"/>
        <v>2285.3328227097627</v>
      </c>
      <c r="DO13" s="4">
        <f t="shared" ca="1" si="55"/>
        <v>33810.008846650133</v>
      </c>
      <c r="DP13" s="4"/>
      <c r="DQ13" s="4">
        <f t="shared" ca="1" si="56"/>
        <v>0</v>
      </c>
      <c r="DR13" s="4"/>
      <c r="DS13" s="4">
        <f t="shared" si="131"/>
        <v>0</v>
      </c>
      <c r="DT13" s="4">
        <f t="shared" si="57"/>
        <v>0</v>
      </c>
      <c r="DU13" s="4">
        <f t="shared" si="58"/>
        <v>0</v>
      </c>
      <c r="DV13" s="4"/>
      <c r="DW13" s="4">
        <f t="shared" ca="1" si="132"/>
        <v>75129.478000767354</v>
      </c>
      <c r="DX13" s="4">
        <f t="shared" ca="1" si="59"/>
        <v>11178.574201108171</v>
      </c>
      <c r="DY13" s="4">
        <f t="shared" ca="1" si="133"/>
        <v>3756.4739000383679</v>
      </c>
      <c r="DZ13" s="4">
        <f t="shared" ca="1" si="60"/>
        <v>0</v>
      </c>
      <c r="EA13" s="4">
        <f t="shared" ca="1" si="61"/>
        <v>0</v>
      </c>
      <c r="EB13" s="4">
        <f t="shared" ca="1" si="62"/>
        <v>78885.951900805725</v>
      </c>
      <c r="EC13" s="4">
        <f t="shared" si="63"/>
        <v>1</v>
      </c>
      <c r="ED13" s="4"/>
      <c r="EE13" s="4">
        <f t="shared" ca="1" si="134"/>
        <v>17318.613351562497</v>
      </c>
      <c r="EF13" s="4">
        <f t="shared" ca="1" si="64"/>
        <v>2783.2642037109363</v>
      </c>
      <c r="EG13" s="4">
        <f t="shared" ca="1" si="135"/>
        <v>865.93066757812494</v>
      </c>
      <c r="EH13" s="4">
        <f t="shared" ca="1" si="65"/>
        <v>0</v>
      </c>
      <c r="EI13" s="4">
        <f t="shared" ca="1" si="66"/>
        <v>0</v>
      </c>
      <c r="EJ13" s="4">
        <f t="shared" ca="1" si="67"/>
        <v>0</v>
      </c>
      <c r="EK13" s="4">
        <f t="shared" si="68"/>
        <v>1</v>
      </c>
      <c r="EL13" s="4">
        <f t="shared" si="69"/>
        <v>0</v>
      </c>
      <c r="EM13" s="4"/>
      <c r="EN13" s="4">
        <f t="shared" ca="1" si="136"/>
        <v>11650.971293896135</v>
      </c>
      <c r="EO13" s="4">
        <f t="shared" ca="1" si="70"/>
        <v>2285.3328227097627</v>
      </c>
      <c r="EP13" s="4">
        <f t="shared" ca="1" si="137"/>
        <v>582.54856469480671</v>
      </c>
      <c r="EQ13" s="4">
        <f t="shared" ca="1" si="71"/>
        <v>0</v>
      </c>
      <c r="ER13" s="4">
        <v>0</v>
      </c>
      <c r="ES13" s="4">
        <f t="shared" ca="1" si="138"/>
        <v>12233.519858590942</v>
      </c>
      <c r="ET13" s="4"/>
      <c r="EU13" s="4">
        <f t="shared" ca="1" si="139"/>
        <v>0</v>
      </c>
      <c r="EV13" s="4">
        <f t="shared" ca="1" si="72"/>
        <v>0</v>
      </c>
      <c r="EW13" s="4">
        <f t="shared" ca="1" si="140"/>
        <v>0</v>
      </c>
      <c r="EX13" s="4">
        <f t="shared" ca="1" si="73"/>
        <v>0</v>
      </c>
      <c r="EY13" s="4">
        <v>0</v>
      </c>
      <c r="EZ13" s="4">
        <f t="shared" ca="1" si="141"/>
        <v>0</v>
      </c>
      <c r="FA13" s="4">
        <f t="shared" ca="1" si="142"/>
        <v>0</v>
      </c>
      <c r="FB13" s="1">
        <f t="shared" ca="1" si="74"/>
        <v>0</v>
      </c>
      <c r="FC13" s="4">
        <f t="shared" ca="1" si="143"/>
        <v>0</v>
      </c>
      <c r="FD13" s="4">
        <f t="shared" ca="1" si="144"/>
        <v>0</v>
      </c>
      <c r="FE13" s="4">
        <f t="shared" ca="1" si="75"/>
        <v>0</v>
      </c>
      <c r="FF13" s="4">
        <f t="shared" ca="1" si="76"/>
        <v>0</v>
      </c>
      <c r="FG13" s="4">
        <f t="shared" ca="1" si="77"/>
        <v>0</v>
      </c>
      <c r="FH13" s="17">
        <f t="shared" ca="1" si="78"/>
        <v>0</v>
      </c>
      <c r="FI13" s="4">
        <f t="shared" ca="1" si="79"/>
        <v>0</v>
      </c>
      <c r="FJ13" s="4"/>
      <c r="FK13" s="4">
        <f t="shared" ca="1" si="80"/>
        <v>91119.471759396663</v>
      </c>
      <c r="FL13" s="4"/>
      <c r="FM13" s="4">
        <v>0</v>
      </c>
      <c r="FN13" s="4">
        <v>0</v>
      </c>
      <c r="FO13" s="4">
        <v>0</v>
      </c>
      <c r="FP13" s="4">
        <v>0</v>
      </c>
      <c r="FQ13" s="4">
        <v>0</v>
      </c>
      <c r="FR13" s="4">
        <v>0</v>
      </c>
      <c r="FS13" s="4">
        <f t="shared" si="81"/>
        <v>0</v>
      </c>
      <c r="FT13" s="4">
        <f t="shared" ca="1" si="82"/>
        <v>0</v>
      </c>
      <c r="FU13" s="4"/>
      <c r="FV13" s="3">
        <f t="shared" si="83"/>
        <v>0.88797138218619198</v>
      </c>
      <c r="FW13" s="3">
        <f t="shared" si="84"/>
        <v>0.88797138218619198</v>
      </c>
      <c r="FX13" s="4">
        <f t="shared" si="145"/>
        <v>2023</v>
      </c>
      <c r="FY13" s="4">
        <f t="shared" si="85"/>
        <v>41.190982699309181</v>
      </c>
      <c r="FZ13" s="4">
        <f t="shared" si="86"/>
        <v>0</v>
      </c>
      <c r="GA13" s="4">
        <f t="shared" si="87"/>
        <v>0</v>
      </c>
      <c r="GB13" s="4">
        <f t="shared" si="88"/>
        <v>0</v>
      </c>
      <c r="GC13" s="4">
        <f t="shared" ca="1" si="89"/>
        <v>0</v>
      </c>
      <c r="GD13" s="4">
        <f t="shared" ca="1" si="90"/>
        <v>0</v>
      </c>
      <c r="GE13" s="4">
        <f t="shared" ca="1" si="91"/>
        <v>0</v>
      </c>
      <c r="GF13" s="4">
        <f t="shared" ca="1" si="92"/>
        <v>0</v>
      </c>
      <c r="GG13" s="18" t="e">
        <f t="shared" ca="1" si="93"/>
        <v>#NAME?</v>
      </c>
      <c r="GH13" s="18" t="e">
        <f t="shared" ca="1" si="94"/>
        <v>#NAME?</v>
      </c>
      <c r="GI13" s="4"/>
      <c r="GJ13" s="4">
        <f t="shared" si="95"/>
        <v>2023</v>
      </c>
      <c r="GK13" s="4">
        <f t="shared" ca="1" si="96"/>
        <v>66.712826423268496</v>
      </c>
      <c r="GL13" s="4">
        <f t="shared" ca="1" si="97"/>
        <v>15.378433035335188</v>
      </c>
      <c r="GM13" s="4">
        <f t="shared" ca="1" si="98"/>
        <v>10.345729083652596</v>
      </c>
      <c r="GN13" s="4">
        <f t="shared" ca="1" si="99"/>
        <v>0</v>
      </c>
      <c r="GO13" s="4"/>
      <c r="GP13" s="3">
        <f t="shared" ca="1" si="146"/>
        <v>0.86574198003590419</v>
      </c>
      <c r="GQ13" s="3">
        <f t="shared" ca="1" si="100"/>
        <v>0</v>
      </c>
      <c r="GR13" s="3">
        <f t="shared" ca="1" si="101"/>
        <v>0</v>
      </c>
      <c r="GS13" s="3">
        <f t="shared" ca="1" si="102"/>
        <v>0.13425801996409581</v>
      </c>
      <c r="GT13" s="3">
        <f t="array" aca="1" ref="GT13" ca="1">SUM(GP13:GS13*$GU$6:$GX$6)</f>
        <v>1</v>
      </c>
      <c r="GU13" s="3">
        <f t="shared" ca="1" si="147"/>
        <v>0.86574198003590419</v>
      </c>
      <c r="GV13" s="3">
        <f t="shared" ca="1" si="148"/>
        <v>0</v>
      </c>
      <c r="GW13" s="3">
        <f t="shared" ca="1" si="149"/>
        <v>0</v>
      </c>
      <c r="GX13" s="3">
        <f t="shared" ca="1" si="150"/>
        <v>0.13425801996409581</v>
      </c>
      <c r="GY13" s="11"/>
      <c r="GZ13" s="27">
        <v>55</v>
      </c>
      <c r="HA13" s="29">
        <v>2.86E-2</v>
      </c>
      <c r="HB13" s="29">
        <f t="shared" ca="1" si="151"/>
        <v>6.5699999999999995E-2</v>
      </c>
      <c r="HC13" s="29">
        <v>6.5699999999999995E-2</v>
      </c>
      <c r="HD13" s="29">
        <v>6.5000000000000002E-2</v>
      </c>
      <c r="HE13" s="29">
        <v>4.6399999999999997E-2</v>
      </c>
      <c r="HG13" s="27">
        <v>53</v>
      </c>
      <c r="HH13" s="30">
        <v>2.7000000000000003E-2</v>
      </c>
      <c r="HJ13">
        <f t="shared" si="153"/>
        <v>2016</v>
      </c>
      <c r="HK13" s="27">
        <v>25370</v>
      </c>
      <c r="HL13" s="27">
        <f>ROUND(HM13/500,0)*500</f>
        <v>5500</v>
      </c>
      <c r="HM13" s="27">
        <v>5500</v>
      </c>
      <c r="HO13">
        <f t="shared" si="103"/>
        <v>1000000</v>
      </c>
      <c r="HP13" s="4">
        <f t="shared" si="104"/>
        <v>1000000</v>
      </c>
      <c r="HQ13" s="3">
        <f t="shared" ca="1" si="105"/>
        <v>0.33</v>
      </c>
      <c r="HR13" s="4">
        <f t="shared" ca="1" si="152"/>
        <v>310041.02500000002</v>
      </c>
      <c r="HT13" t="s">
        <v>226</v>
      </c>
      <c r="HU13" s="4"/>
      <c r="HV13">
        <f>HQ56</f>
        <v>0.1502</v>
      </c>
      <c r="HW13">
        <f>HQ57</f>
        <v>0.105217</v>
      </c>
      <c r="HX13" t="s">
        <v>632</v>
      </c>
    </row>
    <row r="14" spans="1:232" x14ac:dyDescent="0.25">
      <c r="A14" s="15" t="s">
        <v>82</v>
      </c>
      <c r="D14">
        <f t="shared" si="106"/>
        <v>2024</v>
      </c>
      <c r="E14">
        <f t="shared" si="106"/>
        <v>29</v>
      </c>
      <c r="F14" s="8"/>
      <c r="G14" s="8"/>
      <c r="H14" s="9"/>
      <c r="I14" s="9"/>
      <c r="J14" s="92"/>
      <c r="K14" s="91"/>
      <c r="L14" s="91"/>
      <c r="N14" s="93">
        <f t="shared" si="107"/>
        <v>0.05</v>
      </c>
      <c r="O14" s="23">
        <f t="shared" si="108"/>
        <v>0</v>
      </c>
      <c r="P14" s="23">
        <f t="shared" si="109"/>
        <v>0.4</v>
      </c>
      <c r="Q14" s="4">
        <f t="shared" si="0"/>
        <v>0</v>
      </c>
      <c r="R14" s="4">
        <f t="shared" si="110"/>
        <v>0</v>
      </c>
      <c r="S14" s="4">
        <f t="shared" si="1"/>
        <v>0</v>
      </c>
      <c r="T14" s="4">
        <f t="shared" ca="1" si="2"/>
        <v>0</v>
      </c>
      <c r="V14" s="18" t="e">
        <f t="shared" ca="1" si="3"/>
        <v>#NAME?</v>
      </c>
      <c r="W14" s="18" t="e">
        <f t="shared" ca="1" si="4"/>
        <v>#NAME?</v>
      </c>
      <c r="X14" s="18">
        <f t="shared" si="5"/>
        <v>0</v>
      </c>
      <c r="Y14" s="18">
        <f t="shared" ca="1" si="6"/>
        <v>4.9671479137402255</v>
      </c>
      <c r="Z14" s="18">
        <f t="shared" ca="1" si="7"/>
        <v>2.4835739568701127</v>
      </c>
      <c r="AA14" s="18">
        <f t="shared" ca="1" si="8"/>
        <v>2.1412618916016295</v>
      </c>
      <c r="AB14" s="18">
        <f t="shared" ca="1" si="9"/>
        <v>0</v>
      </c>
      <c r="AC14" s="18">
        <f t="shared" ca="1" si="10"/>
        <v>78.406589930059667</v>
      </c>
      <c r="AD14" s="18">
        <f t="shared" ca="1" si="11"/>
        <v>18.253738871627942</v>
      </c>
      <c r="AE14" s="18">
        <f t="shared" ca="1" si="12"/>
        <v>12.639534983502243</v>
      </c>
      <c r="AF14" s="18">
        <f t="shared" ca="1" si="13"/>
        <v>0</v>
      </c>
      <c r="AG14" s="18">
        <f t="shared" ca="1" si="14"/>
        <v>109.29986378518986</v>
      </c>
      <c r="AI14">
        <f>Person1!E14</f>
        <v>29</v>
      </c>
      <c r="AJ14">
        <f>Person1!AZ14</f>
        <v>1</v>
      </c>
      <c r="AK14">
        <f>IF(AZ14&lt;&gt;3,Person1!FM14,0)</f>
        <v>0</v>
      </c>
      <c r="AL14" s="4">
        <f ca="1">IF($AZ14&lt;&gt;3,Person1!FN14+Person1!FT14,0)</f>
        <v>5780.4071674968891</v>
      </c>
      <c r="AM14">
        <f>IF($AZ14&lt;&gt;3,Person1!FO14,0)</f>
        <v>0</v>
      </c>
      <c r="AN14">
        <f>IF($AZ14&lt;&gt;3,Person1!FP14,0)</f>
        <v>0</v>
      </c>
      <c r="AO14">
        <f>IF($AZ14&lt;&gt;3,Person1!FQ14,0)</f>
        <v>0</v>
      </c>
      <c r="AP14">
        <f>IF($AZ14&lt;&gt;3,Person1!FR14,0)</f>
        <v>0</v>
      </c>
      <c r="AQ14" s="4">
        <f t="shared" si="15"/>
        <v>0</v>
      </c>
      <c r="AR14" s="4">
        <f>Person1!FS14</f>
        <v>0</v>
      </c>
      <c r="AS14" s="4">
        <f>$B$41*MAX(0,CHOOSE($AZ14,0,IF(AND(Person1!AW14&gt;=Person1!$B$36,AV14&gt;=$B$93),Person1!$B$35*(1+Person1!$B$37)^(Person1!$B$36-Person1!$B$11)*(1+Person1!$B$38)^(Person1!AW14-Person1!$B$36)-CHOOSE(Person1!$B$39+1,0,BD14,BE14,BD14+BE14),0),0,0))</f>
        <v>0</v>
      </c>
      <c r="AT14" s="4">
        <f t="shared" si="16"/>
        <v>0</v>
      </c>
      <c r="AV14">
        <f t="shared" si="111"/>
        <v>2024</v>
      </c>
      <c r="AW14">
        <f t="shared" si="111"/>
        <v>29</v>
      </c>
      <c r="AX14">
        <f t="shared" si="112"/>
        <v>1.14868566764928</v>
      </c>
      <c r="AY14">
        <f t="shared" si="113"/>
        <v>0.87056017861391377</v>
      </c>
      <c r="AZ14">
        <f t="shared" si="114"/>
        <v>1</v>
      </c>
      <c r="BB14" s="4">
        <f t="shared" si="17"/>
        <v>47547.430146728497</v>
      </c>
      <c r="BC14">
        <f t="shared" si="18"/>
        <v>0</v>
      </c>
      <c r="BD14" s="4">
        <f t="shared" si="19"/>
        <v>0</v>
      </c>
      <c r="BE14" s="4">
        <f t="shared" si="115"/>
        <v>0</v>
      </c>
      <c r="BF14" s="4">
        <f t="shared" si="116"/>
        <v>0</v>
      </c>
      <c r="BG14" s="4">
        <f t="shared" si="117"/>
        <v>0</v>
      </c>
      <c r="BH14" s="4">
        <f t="shared" si="20"/>
        <v>0</v>
      </c>
      <c r="BI14" s="4">
        <f t="shared" si="118"/>
        <v>47547.430146728497</v>
      </c>
      <c r="BJ14" s="4"/>
      <c r="BK14" s="4">
        <f t="shared" si="21"/>
        <v>28717.141691232002</v>
      </c>
      <c r="BL14" s="4">
        <f t="shared" si="119"/>
        <v>0</v>
      </c>
      <c r="BM14" s="4">
        <f t="shared" si="120"/>
        <v>28717.141691232002</v>
      </c>
      <c r="BN14" s="4">
        <v>7812.1141835189846</v>
      </c>
      <c r="BO14" s="4">
        <f t="shared" si="121"/>
        <v>36529.25587475099</v>
      </c>
      <c r="BP14" s="4">
        <f t="shared" si="122"/>
        <v>11018.174271977507</v>
      </c>
      <c r="BQ14" s="4"/>
      <c r="BR14" s="4">
        <v>0</v>
      </c>
      <c r="BS14" s="4">
        <f t="shared" ca="1" si="22"/>
        <v>8558.5374264111288</v>
      </c>
      <c r="BT14" s="4">
        <f t="shared" ca="1" si="23"/>
        <v>40310.008846650133</v>
      </c>
      <c r="BU14" s="4">
        <f t="shared" si="24"/>
        <v>0</v>
      </c>
      <c r="BV14" s="4">
        <f t="shared" si="25"/>
        <v>1</v>
      </c>
      <c r="BW14" s="4">
        <f t="shared" ca="1" si="26"/>
        <v>0</v>
      </c>
      <c r="BX14" s="4">
        <f t="shared" ca="1" si="27"/>
        <v>0</v>
      </c>
      <c r="BY14" s="4">
        <f t="shared" ca="1" si="28"/>
        <v>0</v>
      </c>
      <c r="BZ14" s="4">
        <f t="shared" ca="1" si="29"/>
        <v>0</v>
      </c>
      <c r="CA14" s="4">
        <f t="shared" ca="1" si="30"/>
        <v>0</v>
      </c>
      <c r="CB14" s="4">
        <f t="shared" ca="1" si="154"/>
        <v>0</v>
      </c>
      <c r="CC14" s="4"/>
      <c r="CD14" s="4">
        <f t="shared" ca="1" si="31"/>
        <v>47547.430146728497</v>
      </c>
      <c r="CE14" s="4">
        <f t="shared" ca="1" si="123"/>
        <v>36033.521816662636</v>
      </c>
      <c r="CF14" s="16">
        <f t="shared" si="32"/>
        <v>0</v>
      </c>
      <c r="CG14" s="4">
        <f t="shared" si="33"/>
        <v>2955.3709036547352</v>
      </c>
      <c r="CH14" s="4" t="e">
        <f t="shared" ca="1" si="34"/>
        <v>#NAME?</v>
      </c>
      <c r="CI14" s="4" t="e">
        <f t="shared" ca="1" si="35"/>
        <v>#NAME?</v>
      </c>
      <c r="CJ14" s="4" t="e">
        <f t="shared" ca="1" si="124"/>
        <v>#NAME?</v>
      </c>
      <c r="CK14" s="4" t="e">
        <f t="shared" ca="1" si="125"/>
        <v>#NAME?</v>
      </c>
      <c r="CL14" s="4" t="e">
        <f t="shared" ca="1" si="36"/>
        <v>#NAME?</v>
      </c>
      <c r="CM14" s="16"/>
      <c r="CN14" s="4">
        <f t="shared" si="37"/>
        <v>0</v>
      </c>
      <c r="CO14" s="4">
        <f t="shared" si="38"/>
        <v>0</v>
      </c>
      <c r="CP14" s="4">
        <f t="shared" ca="1" si="39"/>
        <v>125551.18700606616</v>
      </c>
      <c r="CQ14" s="4"/>
      <c r="CR14" s="4">
        <f t="shared" ca="1" si="40"/>
        <v>11018.174271977507</v>
      </c>
      <c r="CS14" s="4">
        <f t="shared" ca="1" si="41"/>
        <v>26160</v>
      </c>
      <c r="CT14" s="4">
        <f t="shared" ca="1" si="42"/>
        <v>8558.5374264111288</v>
      </c>
      <c r="CU14" s="4"/>
      <c r="CV14" s="4">
        <f t="shared" ca="1" si="126"/>
        <v>11018.174271977507</v>
      </c>
      <c r="CW14" s="4">
        <f t="shared" ca="1" si="43"/>
        <v>2852.8458088037096</v>
      </c>
      <c r="CX14" s="4">
        <f t="shared" ca="1" si="44"/>
        <v>2852.8458088037096</v>
      </c>
      <c r="CY14" s="4">
        <f t="shared" ca="1" si="127"/>
        <v>8165.328463173797</v>
      </c>
      <c r="CZ14" s="4"/>
      <c r="DA14" s="4">
        <f t="shared" ca="1" si="45"/>
        <v>8165.328463173797</v>
      </c>
      <c r="DB14" s="4">
        <f t="shared" si="46"/>
        <v>0</v>
      </c>
      <c r="DC14" s="4">
        <f t="shared" ca="1" si="128"/>
        <v>2852.8458088037096</v>
      </c>
      <c r="DD14" s="4">
        <f t="shared" ca="1" si="47"/>
        <v>5705.6916176074192</v>
      </c>
      <c r="DE14" s="4">
        <f t="shared" ca="1" si="48"/>
        <v>5705.6916176074192</v>
      </c>
      <c r="DF14" s="4">
        <f t="shared" ca="1" si="129"/>
        <v>0</v>
      </c>
      <c r="DG14" s="4">
        <f t="shared" ca="1" si="130"/>
        <v>5705.6916176074192</v>
      </c>
      <c r="DH14" s="4">
        <f t="shared" ca="1" si="49"/>
        <v>0</v>
      </c>
      <c r="DI14" s="4"/>
      <c r="DJ14" s="4">
        <f t="shared" ca="1" si="50"/>
        <v>2459.6368455663778</v>
      </c>
      <c r="DK14" s="4">
        <f t="shared" ca="1" si="51"/>
        <v>6500</v>
      </c>
      <c r="DL14" s="4">
        <f t="shared" ca="1" si="52"/>
        <v>6500</v>
      </c>
      <c r="DM14" s="4">
        <f t="shared" ca="1" si="53"/>
        <v>40310.008846650133</v>
      </c>
      <c r="DN14" s="4">
        <f t="shared" ca="1" si="54"/>
        <v>2459.6368455663778</v>
      </c>
      <c r="DO14" s="4">
        <f t="shared" ca="1" si="55"/>
        <v>37850.372001083757</v>
      </c>
      <c r="DP14" s="4"/>
      <c r="DQ14" s="4">
        <f t="shared" ca="1" si="56"/>
        <v>0</v>
      </c>
      <c r="DR14" s="4"/>
      <c r="DS14" s="4">
        <f t="shared" si="131"/>
        <v>0</v>
      </c>
      <c r="DT14" s="4">
        <f t="shared" si="57"/>
        <v>0</v>
      </c>
      <c r="DU14" s="4">
        <f t="shared" si="58"/>
        <v>0</v>
      </c>
      <c r="DV14" s="4"/>
      <c r="DW14" s="4">
        <f t="shared" ca="1" si="132"/>
        <v>90064.5261019139</v>
      </c>
      <c r="DX14" s="4">
        <f t="shared" ca="1" si="59"/>
        <v>11486.098785104308</v>
      </c>
      <c r="DY14" s="4">
        <f t="shared" ca="1" si="133"/>
        <v>4503.2263050956954</v>
      </c>
      <c r="DZ14" s="4">
        <f t="shared" ca="1" si="60"/>
        <v>0</v>
      </c>
      <c r="EA14" s="4">
        <f t="shared" ca="1" si="61"/>
        <v>0</v>
      </c>
      <c r="EB14" s="4">
        <f t="shared" ca="1" si="62"/>
        <v>94567.752407009597</v>
      </c>
      <c r="EC14" s="4">
        <f t="shared" si="63"/>
        <v>1</v>
      </c>
      <c r="ED14" s="4"/>
      <c r="EE14" s="4">
        <f t="shared" ca="1" si="134"/>
        <v>20967.80822285156</v>
      </c>
      <c r="EF14" s="4">
        <f t="shared" ca="1" si="64"/>
        <v>2852.8458088037096</v>
      </c>
      <c r="EG14" s="4">
        <f t="shared" ca="1" si="135"/>
        <v>1048.3904111425779</v>
      </c>
      <c r="EH14" s="4">
        <f t="shared" ca="1" si="65"/>
        <v>0</v>
      </c>
      <c r="EI14" s="4">
        <f t="shared" ca="1" si="66"/>
        <v>0</v>
      </c>
      <c r="EJ14" s="4">
        <f t="shared" ca="1" si="67"/>
        <v>0</v>
      </c>
      <c r="EK14" s="4">
        <f t="shared" si="68"/>
        <v>1</v>
      </c>
      <c r="EL14" s="4">
        <f t="shared" si="69"/>
        <v>0</v>
      </c>
      <c r="EM14" s="4"/>
      <c r="EN14" s="4">
        <f t="shared" ca="1" si="136"/>
        <v>14518.852681300705</v>
      </c>
      <c r="EO14" s="4">
        <f t="shared" ca="1" si="70"/>
        <v>2459.6368455663778</v>
      </c>
      <c r="EP14" s="4">
        <f t="shared" ca="1" si="137"/>
        <v>725.94263406503524</v>
      </c>
      <c r="EQ14" s="4">
        <f t="shared" ca="1" si="71"/>
        <v>0</v>
      </c>
      <c r="ER14" s="4">
        <v>0</v>
      </c>
      <c r="ES14" s="4">
        <f t="shared" ca="1" si="138"/>
        <v>15244.79531536574</v>
      </c>
      <c r="ET14" s="4"/>
      <c r="EU14" s="4">
        <f t="shared" ca="1" si="139"/>
        <v>0</v>
      </c>
      <c r="EV14" s="4">
        <f t="shared" ca="1" si="72"/>
        <v>0</v>
      </c>
      <c r="EW14" s="4">
        <f t="shared" ca="1" si="140"/>
        <v>0</v>
      </c>
      <c r="EX14" s="4">
        <f t="shared" ca="1" si="73"/>
        <v>0</v>
      </c>
      <c r="EY14" s="4">
        <v>0</v>
      </c>
      <c r="EZ14" s="4">
        <f t="shared" ca="1" si="141"/>
        <v>0</v>
      </c>
      <c r="FA14" s="4">
        <f t="shared" ca="1" si="142"/>
        <v>0</v>
      </c>
      <c r="FB14" s="1">
        <f t="shared" ca="1" si="74"/>
        <v>0</v>
      </c>
      <c r="FC14" s="4">
        <f t="shared" ca="1" si="143"/>
        <v>0</v>
      </c>
      <c r="FD14" s="4">
        <f t="shared" ca="1" si="144"/>
        <v>0</v>
      </c>
      <c r="FE14" s="4">
        <f t="shared" ca="1" si="75"/>
        <v>0</v>
      </c>
      <c r="FF14" s="4">
        <f t="shared" ca="1" si="76"/>
        <v>0</v>
      </c>
      <c r="FG14" s="4">
        <f t="shared" ca="1" si="77"/>
        <v>0</v>
      </c>
      <c r="FH14" s="17">
        <f t="shared" ca="1" si="78"/>
        <v>0</v>
      </c>
      <c r="FI14" s="4">
        <f t="shared" ca="1" si="79"/>
        <v>0</v>
      </c>
      <c r="FJ14" s="4"/>
      <c r="FK14" s="4">
        <f t="shared" ca="1" si="80"/>
        <v>109812.54772237534</v>
      </c>
      <c r="FL14" s="4"/>
      <c r="FM14" s="4">
        <v>0</v>
      </c>
      <c r="FN14" s="4">
        <v>0</v>
      </c>
      <c r="FO14" s="4">
        <v>0</v>
      </c>
      <c r="FP14" s="4">
        <v>0</v>
      </c>
      <c r="FQ14" s="4">
        <v>0</v>
      </c>
      <c r="FR14" s="4">
        <v>0</v>
      </c>
      <c r="FS14" s="4">
        <f t="shared" si="81"/>
        <v>0</v>
      </c>
      <c r="FT14" s="4">
        <f t="shared" ca="1" si="82"/>
        <v>0</v>
      </c>
      <c r="FU14" s="4"/>
      <c r="FV14" s="3">
        <f t="shared" si="83"/>
        <v>0.87056017861391377</v>
      </c>
      <c r="FW14" s="3">
        <f t="shared" si="84"/>
        <v>0.87056017861391377</v>
      </c>
      <c r="FX14" s="4">
        <f t="shared" si="145"/>
        <v>2024</v>
      </c>
      <c r="FY14" s="4">
        <f t="shared" si="85"/>
        <v>41.392899281168546</v>
      </c>
      <c r="FZ14" s="4">
        <f t="shared" si="86"/>
        <v>0</v>
      </c>
      <c r="GA14" s="4">
        <f t="shared" si="87"/>
        <v>0</v>
      </c>
      <c r="GB14" s="4">
        <f t="shared" si="88"/>
        <v>0</v>
      </c>
      <c r="GC14" s="4">
        <f t="shared" ca="1" si="89"/>
        <v>0</v>
      </c>
      <c r="GD14" s="4">
        <f t="shared" ca="1" si="90"/>
        <v>0</v>
      </c>
      <c r="GE14" s="4">
        <f t="shared" ca="1" si="91"/>
        <v>0</v>
      </c>
      <c r="GF14" s="4">
        <f t="shared" ca="1" si="92"/>
        <v>0</v>
      </c>
      <c r="GG14" s="18" t="e">
        <f t="shared" ca="1" si="93"/>
        <v>#NAME?</v>
      </c>
      <c r="GH14" s="18" t="e">
        <f t="shared" ca="1" si="94"/>
        <v>#NAME?</v>
      </c>
      <c r="GI14" s="4"/>
      <c r="GJ14" s="4">
        <f t="shared" si="95"/>
        <v>2024</v>
      </c>
      <c r="GK14" s="4">
        <f t="shared" ca="1" si="96"/>
        <v>78.406589930059667</v>
      </c>
      <c r="GL14" s="4">
        <f t="shared" ca="1" si="97"/>
        <v>18.253738871627942</v>
      </c>
      <c r="GM14" s="4">
        <f t="shared" ca="1" si="98"/>
        <v>12.639534983502243</v>
      </c>
      <c r="GN14" s="4">
        <f t="shared" ca="1" si="99"/>
        <v>0</v>
      </c>
      <c r="GO14" s="4"/>
      <c r="GP14" s="3">
        <f t="shared" ca="1" si="146"/>
        <v>0.86117437732246083</v>
      </c>
      <c r="GQ14" s="3">
        <f t="shared" ca="1" si="100"/>
        <v>0</v>
      </c>
      <c r="GR14" s="3">
        <f t="shared" ca="1" si="101"/>
        <v>0</v>
      </c>
      <c r="GS14" s="3">
        <f t="shared" ca="1" si="102"/>
        <v>0.13882562267753915</v>
      </c>
      <c r="GT14" s="3">
        <f t="array" aca="1" ref="GT14" ca="1">SUM(GP14:GS14*$GU$6:$GX$6)</f>
        <v>1</v>
      </c>
      <c r="GU14" s="3">
        <f t="shared" ca="1" si="147"/>
        <v>0.86117437732246083</v>
      </c>
      <c r="GV14" s="3">
        <f t="shared" ca="1" si="148"/>
        <v>0</v>
      </c>
      <c r="GW14" s="3">
        <f t="shared" ca="1" si="149"/>
        <v>0</v>
      </c>
      <c r="GX14" s="3">
        <f t="shared" ca="1" si="150"/>
        <v>0.13882562267753915</v>
      </c>
      <c r="GY14" s="11"/>
      <c r="GZ14" s="27">
        <v>56</v>
      </c>
      <c r="HA14" s="29">
        <v>2.9399999999999999E-2</v>
      </c>
      <c r="HB14" s="29">
        <f t="shared" ca="1" si="151"/>
        <v>6.6299999999999998E-2</v>
      </c>
      <c r="HC14" s="29">
        <v>6.6299999999999998E-2</v>
      </c>
      <c r="HD14" s="29">
        <v>6.5000000000000002E-2</v>
      </c>
      <c r="HE14" s="29">
        <v>4.7E-2</v>
      </c>
      <c r="HG14" s="27">
        <v>54</v>
      </c>
      <c r="HH14" s="30">
        <v>2.7700000000000002E-2</v>
      </c>
      <c r="HJ14">
        <f t="shared" si="153"/>
        <v>2017</v>
      </c>
      <c r="HK14" s="27">
        <v>26010</v>
      </c>
      <c r="HL14" s="27">
        <f>ROUND(HM14/500,0)*500</f>
        <v>5500</v>
      </c>
      <c r="HM14" s="28">
        <f>HM13*(1+$B$15)</f>
        <v>5610</v>
      </c>
      <c r="HU14" s="4"/>
    </row>
    <row r="15" spans="1:232" x14ac:dyDescent="0.25">
      <c r="A15" t="s">
        <v>10</v>
      </c>
      <c r="B15" s="63">
        <f>Inputs_Summary!AK12</f>
        <v>0.02</v>
      </c>
      <c r="D15">
        <f t="shared" si="106"/>
        <v>2025</v>
      </c>
      <c r="E15">
        <f t="shared" si="106"/>
        <v>30</v>
      </c>
      <c r="F15" s="8"/>
      <c r="G15" s="8"/>
      <c r="H15" s="9"/>
      <c r="I15" s="9"/>
      <c r="J15" s="92"/>
      <c r="K15" s="91"/>
      <c r="L15" s="91"/>
      <c r="N15" s="93">
        <f t="shared" si="107"/>
        <v>0.05</v>
      </c>
      <c r="O15" s="23">
        <f t="shared" si="108"/>
        <v>0</v>
      </c>
      <c r="P15" s="23">
        <f t="shared" si="109"/>
        <v>0.4</v>
      </c>
      <c r="Q15" s="4">
        <f t="shared" si="0"/>
        <v>0</v>
      </c>
      <c r="R15" s="4">
        <f t="shared" si="110"/>
        <v>0</v>
      </c>
      <c r="S15" s="4">
        <f t="shared" si="1"/>
        <v>0</v>
      </c>
      <c r="T15" s="4">
        <f t="shared" ca="1" si="2"/>
        <v>0</v>
      </c>
      <c r="V15" s="18" t="e">
        <f t="shared" ca="1" si="3"/>
        <v>#NAME?</v>
      </c>
      <c r="W15" s="18" t="e">
        <f t="shared" ca="1" si="4"/>
        <v>#NAME?</v>
      </c>
      <c r="X15" s="18">
        <f t="shared" si="5"/>
        <v>0</v>
      </c>
      <c r="Y15" s="18">
        <f t="shared" ca="1" si="6"/>
        <v>4.9914966780232648</v>
      </c>
      <c r="Z15" s="18">
        <f t="shared" ca="1" si="7"/>
        <v>2.4957483390116328</v>
      </c>
      <c r="AA15" s="18">
        <f t="shared" ca="1" si="8"/>
        <v>2.253817871138688</v>
      </c>
      <c r="AB15" s="18">
        <f t="shared" ca="1" si="9"/>
        <v>0</v>
      </c>
      <c r="AC15" s="18">
        <f t="shared" ca="1" si="10"/>
        <v>90.515940820098123</v>
      </c>
      <c r="AD15" s="18">
        <f t="shared" ca="1" si="11"/>
        <v>21.225489972626907</v>
      </c>
      <c r="AE15" s="18">
        <f t="shared" ca="1" si="12"/>
        <v>15.110562376744101</v>
      </c>
      <c r="AF15" s="18">
        <f t="shared" ca="1" si="13"/>
        <v>0</v>
      </c>
      <c r="AG15" s="18">
        <f t="shared" ca="1" si="14"/>
        <v>126.85199316946917</v>
      </c>
      <c r="AI15">
        <f>Person1!E15</f>
        <v>30</v>
      </c>
      <c r="AJ15">
        <f>Person1!AZ15</f>
        <v>1</v>
      </c>
      <c r="AK15">
        <f>IF(AZ15&lt;&gt;3,Person1!FM15,0)</f>
        <v>0</v>
      </c>
      <c r="AL15" s="4">
        <f ca="1">IF($AZ15&lt;&gt;3,Person1!FN15+Person1!FT15,0)</f>
        <v>5953.819382521795</v>
      </c>
      <c r="AM15">
        <f>IF($AZ15&lt;&gt;3,Person1!FO15,0)</f>
        <v>0</v>
      </c>
      <c r="AN15">
        <f>IF($AZ15&lt;&gt;3,Person1!FP15,0)</f>
        <v>0</v>
      </c>
      <c r="AO15">
        <f>IF($AZ15&lt;&gt;3,Person1!FQ15,0)</f>
        <v>0</v>
      </c>
      <c r="AP15">
        <f>IF($AZ15&lt;&gt;3,Person1!FR15,0)</f>
        <v>0</v>
      </c>
      <c r="AQ15" s="4">
        <f t="shared" si="15"/>
        <v>0</v>
      </c>
      <c r="AR15" s="4">
        <f>Person1!FS15</f>
        <v>0</v>
      </c>
      <c r="AS15" s="4">
        <f>$B$41*MAX(0,CHOOSE($AZ15,0,IF(AND(Person1!AW15&gt;=Person1!$B$36,AV15&gt;=$B$93),Person1!$B$35*(1+Person1!$B$37)^(Person1!$B$36-Person1!$B$11)*(1+Person1!$B$38)^(Person1!AW15-Person1!$B$36)-CHOOSE(Person1!$B$39+1,0,BD15,BE15,BD15+BE15),0),0,0))</f>
        <v>0</v>
      </c>
      <c r="AT15" s="4">
        <f t="shared" si="16"/>
        <v>0</v>
      </c>
      <c r="AV15">
        <f t="shared" si="111"/>
        <v>2025</v>
      </c>
      <c r="AW15">
        <f t="shared" si="111"/>
        <v>30</v>
      </c>
      <c r="AX15">
        <f t="shared" si="112"/>
        <v>1.1716593810022657</v>
      </c>
      <c r="AY15">
        <f t="shared" si="113"/>
        <v>0.8534903711901114</v>
      </c>
      <c r="AZ15">
        <f t="shared" si="114"/>
        <v>1</v>
      </c>
      <c r="BB15" s="4">
        <f t="shared" si="17"/>
        <v>48736.115900396711</v>
      </c>
      <c r="BC15">
        <f t="shared" si="18"/>
        <v>0</v>
      </c>
      <c r="BD15" s="4">
        <f t="shared" si="19"/>
        <v>0</v>
      </c>
      <c r="BE15" s="4">
        <f t="shared" si="115"/>
        <v>0</v>
      </c>
      <c r="BF15" s="4">
        <f t="shared" si="116"/>
        <v>0</v>
      </c>
      <c r="BG15" s="4">
        <f t="shared" si="117"/>
        <v>0</v>
      </c>
      <c r="BH15" s="4">
        <f t="shared" si="20"/>
        <v>0</v>
      </c>
      <c r="BI15" s="4">
        <f t="shared" si="118"/>
        <v>48736.115900396711</v>
      </c>
      <c r="BJ15" s="4"/>
      <c r="BK15" s="4">
        <f t="shared" si="21"/>
        <v>29291.484525056643</v>
      </c>
      <c r="BL15" s="4">
        <f t="shared" si="119"/>
        <v>0</v>
      </c>
      <c r="BM15" s="4">
        <f t="shared" si="120"/>
        <v>29291.484525056643</v>
      </c>
      <c r="BN15" s="4">
        <v>8031.4236614784641</v>
      </c>
      <c r="BO15" s="4">
        <f t="shared" si="121"/>
        <v>37322.908186535104</v>
      </c>
      <c r="BP15" s="4">
        <f t="shared" si="122"/>
        <v>11413.207713861608</v>
      </c>
      <c r="BQ15" s="4"/>
      <c r="BR15" s="4">
        <v>0</v>
      </c>
      <c r="BS15" s="4">
        <f t="shared" ca="1" si="22"/>
        <v>8772.500862071407</v>
      </c>
      <c r="BT15" s="4">
        <f t="shared" ca="1" si="23"/>
        <v>44350.372001083757</v>
      </c>
      <c r="BU15" s="4">
        <f t="shared" si="24"/>
        <v>0</v>
      </c>
      <c r="BV15" s="4">
        <f t="shared" si="25"/>
        <v>1</v>
      </c>
      <c r="BW15" s="4">
        <f t="shared" ca="1" si="26"/>
        <v>0</v>
      </c>
      <c r="BX15" s="4">
        <f t="shared" ca="1" si="27"/>
        <v>0</v>
      </c>
      <c r="BY15" s="4">
        <f t="shared" ca="1" si="28"/>
        <v>0</v>
      </c>
      <c r="BZ15" s="4">
        <f t="shared" ca="1" si="29"/>
        <v>0</v>
      </c>
      <c r="CA15" s="4">
        <f t="shared" ca="1" si="30"/>
        <v>0</v>
      </c>
      <c r="CB15" s="4">
        <f t="shared" ca="1" si="154"/>
        <v>0</v>
      </c>
      <c r="CC15" s="4"/>
      <c r="CD15" s="4">
        <f t="shared" ca="1" si="31"/>
        <v>48736.115900396711</v>
      </c>
      <c r="CE15" s="4">
        <f t="shared" ca="1" si="123"/>
        <v>36930.028612079201</v>
      </c>
      <c r="CF15" s="16">
        <f t="shared" si="32"/>
        <v>0</v>
      </c>
      <c r="CG15" s="4">
        <f t="shared" si="33"/>
        <v>3033.5864262461037</v>
      </c>
      <c r="CH15" s="4" t="e">
        <f t="shared" ca="1" si="34"/>
        <v>#NAME?</v>
      </c>
      <c r="CI15" s="4" t="e">
        <f t="shared" ca="1" si="35"/>
        <v>#NAME?</v>
      </c>
      <c r="CJ15" s="4" t="e">
        <f t="shared" ca="1" si="124"/>
        <v>#NAME?</v>
      </c>
      <c r="CK15" s="4" t="e">
        <f t="shared" ca="1" si="125"/>
        <v>#NAME?</v>
      </c>
      <c r="CL15" s="4" t="e">
        <f t="shared" ca="1" si="36"/>
        <v>#NAME?</v>
      </c>
      <c r="CM15" s="16"/>
      <c r="CN15" s="4">
        <f t="shared" si="37"/>
        <v>0</v>
      </c>
      <c r="CO15" s="4">
        <f t="shared" si="38"/>
        <v>0</v>
      </c>
      <c r="CP15" s="4">
        <f t="shared" ca="1" si="39"/>
        <v>148627.32779584388</v>
      </c>
      <c r="CQ15" s="4"/>
      <c r="CR15" s="4">
        <f t="shared" ca="1" si="40"/>
        <v>11413.207713861608</v>
      </c>
      <c r="CS15" s="4">
        <f t="shared" ca="1" si="41"/>
        <v>26680</v>
      </c>
      <c r="CT15" s="4">
        <f t="shared" ca="1" si="42"/>
        <v>8772.500862071407</v>
      </c>
      <c r="CU15" s="4"/>
      <c r="CV15" s="4">
        <f t="shared" ca="1" si="126"/>
        <v>11413.207713861608</v>
      </c>
      <c r="CW15" s="4">
        <f t="shared" ca="1" si="43"/>
        <v>2924.1669540238026</v>
      </c>
      <c r="CX15" s="4">
        <f t="shared" ca="1" si="44"/>
        <v>2924.1669540238026</v>
      </c>
      <c r="CY15" s="4">
        <f t="shared" ca="1" si="127"/>
        <v>8489.0407598378042</v>
      </c>
      <c r="CZ15" s="4"/>
      <c r="DA15" s="4">
        <f t="shared" ca="1" si="45"/>
        <v>8489.0407598378042</v>
      </c>
      <c r="DB15" s="4">
        <f t="shared" si="46"/>
        <v>0</v>
      </c>
      <c r="DC15" s="4">
        <f t="shared" ca="1" si="128"/>
        <v>2924.1669540238026</v>
      </c>
      <c r="DD15" s="4">
        <f t="shared" ca="1" si="47"/>
        <v>5848.3339080476044</v>
      </c>
      <c r="DE15" s="4">
        <f t="shared" ca="1" si="48"/>
        <v>5848.3339080476044</v>
      </c>
      <c r="DF15" s="4">
        <f t="shared" ca="1" si="129"/>
        <v>0</v>
      </c>
      <c r="DG15" s="4">
        <f t="shared" ca="1" si="130"/>
        <v>5848.3339080476044</v>
      </c>
      <c r="DH15" s="4">
        <f t="shared" ca="1" si="49"/>
        <v>0</v>
      </c>
      <c r="DI15" s="4"/>
      <c r="DJ15" s="4">
        <f t="shared" ca="1" si="50"/>
        <v>2640.7068517901998</v>
      </c>
      <c r="DK15" s="4">
        <f t="shared" ca="1" si="51"/>
        <v>6500</v>
      </c>
      <c r="DL15" s="4">
        <f t="shared" ca="1" si="52"/>
        <v>6500</v>
      </c>
      <c r="DM15" s="4">
        <f t="shared" ca="1" si="53"/>
        <v>44350.372001083757</v>
      </c>
      <c r="DN15" s="4">
        <f t="shared" ca="1" si="54"/>
        <v>2640.7068517901998</v>
      </c>
      <c r="DO15" s="4">
        <f t="shared" ca="1" si="55"/>
        <v>41709.665149293556</v>
      </c>
      <c r="DP15" s="4"/>
      <c r="DQ15" s="4">
        <f t="shared" ca="1" si="56"/>
        <v>0</v>
      </c>
      <c r="DR15" s="4"/>
      <c r="DS15" s="4">
        <f t="shared" si="131"/>
        <v>0</v>
      </c>
      <c r="DT15" s="4">
        <f t="shared" si="57"/>
        <v>0</v>
      </c>
      <c r="DU15" s="4">
        <f t="shared" si="58"/>
        <v>0</v>
      </c>
      <c r="DV15" s="4"/>
      <c r="DW15" s="4">
        <f t="shared" ca="1" si="132"/>
        <v>106053.8511921139</v>
      </c>
      <c r="DX15" s="4">
        <f t="shared" ca="1" si="59"/>
        <v>11802.1532905694</v>
      </c>
      <c r="DY15" s="4">
        <f t="shared" ca="1" si="133"/>
        <v>5302.6925596056954</v>
      </c>
      <c r="DZ15" s="4">
        <f t="shared" ca="1" si="60"/>
        <v>0</v>
      </c>
      <c r="EA15" s="4">
        <f t="shared" ca="1" si="61"/>
        <v>0</v>
      </c>
      <c r="EB15" s="4">
        <f t="shared" ca="1" si="62"/>
        <v>111356.5437517196</v>
      </c>
      <c r="EC15" s="4">
        <f t="shared" si="63"/>
        <v>1</v>
      </c>
      <c r="ED15" s="4"/>
      <c r="EE15" s="4">
        <f t="shared" ca="1" si="134"/>
        <v>24869.044442797844</v>
      </c>
      <c r="EF15" s="4">
        <f t="shared" ca="1" si="64"/>
        <v>2924.1669540238026</v>
      </c>
      <c r="EG15" s="4">
        <f t="shared" ca="1" si="135"/>
        <v>1243.4522221398922</v>
      </c>
      <c r="EH15" s="4">
        <f t="shared" ca="1" si="65"/>
        <v>0</v>
      </c>
      <c r="EI15" s="4">
        <f t="shared" ca="1" si="66"/>
        <v>0</v>
      </c>
      <c r="EJ15" s="4">
        <f t="shared" ca="1" si="67"/>
        <v>0</v>
      </c>
      <c r="EK15" s="4">
        <f t="shared" si="68"/>
        <v>1</v>
      </c>
      <c r="EL15" s="4">
        <f t="shared" si="69"/>
        <v>0</v>
      </c>
      <c r="EM15" s="4"/>
      <c r="EN15" s="4">
        <f t="shared" ca="1" si="136"/>
        <v>17704.43216093212</v>
      </c>
      <c r="EO15" s="4">
        <f t="shared" ca="1" si="70"/>
        <v>2640.7068517901998</v>
      </c>
      <c r="EP15" s="4">
        <f t="shared" ca="1" si="137"/>
        <v>885.22160804660598</v>
      </c>
      <c r="EQ15" s="4">
        <f t="shared" ca="1" si="71"/>
        <v>0</v>
      </c>
      <c r="ER15" s="4">
        <v>0</v>
      </c>
      <c r="ES15" s="4">
        <f t="shared" ca="1" si="138"/>
        <v>18589.653768978726</v>
      </c>
      <c r="ET15" s="4"/>
      <c r="EU15" s="4">
        <f t="shared" ca="1" si="139"/>
        <v>0</v>
      </c>
      <c r="EV15" s="4">
        <f t="shared" ca="1" si="72"/>
        <v>0</v>
      </c>
      <c r="EW15" s="4">
        <f t="shared" ca="1" si="140"/>
        <v>0</v>
      </c>
      <c r="EX15" s="4">
        <f t="shared" ca="1" si="73"/>
        <v>0</v>
      </c>
      <c r="EY15" s="4">
        <v>0</v>
      </c>
      <c r="EZ15" s="4">
        <f t="shared" ca="1" si="141"/>
        <v>0</v>
      </c>
      <c r="FA15" s="4">
        <f t="shared" ca="1" si="142"/>
        <v>0</v>
      </c>
      <c r="FB15" s="1">
        <f t="shared" ca="1" si="74"/>
        <v>0</v>
      </c>
      <c r="FC15" s="4">
        <f t="shared" ca="1" si="143"/>
        <v>0</v>
      </c>
      <c r="FD15" s="4">
        <f t="shared" ca="1" si="144"/>
        <v>0</v>
      </c>
      <c r="FE15" s="4">
        <f t="shared" ca="1" si="75"/>
        <v>0</v>
      </c>
      <c r="FF15" s="4">
        <f t="shared" ca="1" si="76"/>
        <v>0</v>
      </c>
      <c r="FG15" s="4">
        <f t="shared" ca="1" si="77"/>
        <v>0</v>
      </c>
      <c r="FH15" s="17">
        <f t="shared" ca="1" si="78"/>
        <v>0</v>
      </c>
      <c r="FI15" s="4">
        <f t="shared" ca="1" si="79"/>
        <v>0</v>
      </c>
      <c r="FJ15" s="4"/>
      <c r="FK15" s="4">
        <f t="shared" ca="1" si="80"/>
        <v>129946.19752069832</v>
      </c>
      <c r="FL15" s="4"/>
      <c r="FM15" s="4">
        <v>0</v>
      </c>
      <c r="FN15" s="4">
        <v>0</v>
      </c>
      <c r="FO15" s="4">
        <v>0</v>
      </c>
      <c r="FP15" s="4">
        <v>0</v>
      </c>
      <c r="FQ15" s="4">
        <v>0</v>
      </c>
      <c r="FR15" s="4">
        <v>0</v>
      </c>
      <c r="FS15" s="4">
        <f t="shared" si="81"/>
        <v>0</v>
      </c>
      <c r="FT15" s="4">
        <f t="shared" ca="1" si="82"/>
        <v>0</v>
      </c>
      <c r="FU15" s="4"/>
      <c r="FV15" s="3">
        <f t="shared" si="83"/>
        <v>0.8534903711901114</v>
      </c>
      <c r="FW15" s="3">
        <f t="shared" si="84"/>
        <v>0.8534903711901114</v>
      </c>
      <c r="FX15" s="4">
        <f t="shared" si="145"/>
        <v>2025</v>
      </c>
      <c r="FY15" s="4">
        <f t="shared" si="85"/>
        <v>41.595805650193874</v>
      </c>
      <c r="FZ15" s="4">
        <f t="shared" si="86"/>
        <v>0</v>
      </c>
      <c r="GA15" s="4">
        <f t="shared" si="87"/>
        <v>0</v>
      </c>
      <c r="GB15" s="4">
        <f t="shared" si="88"/>
        <v>0</v>
      </c>
      <c r="GC15" s="4">
        <f t="shared" ca="1" si="89"/>
        <v>0</v>
      </c>
      <c r="GD15" s="4">
        <f t="shared" ca="1" si="90"/>
        <v>0</v>
      </c>
      <c r="GE15" s="4">
        <f t="shared" ca="1" si="91"/>
        <v>0</v>
      </c>
      <c r="GF15" s="4">
        <f t="shared" ca="1" si="92"/>
        <v>0</v>
      </c>
      <c r="GG15" s="18" t="e">
        <f t="shared" ca="1" si="93"/>
        <v>#NAME?</v>
      </c>
      <c r="GH15" s="18" t="e">
        <f t="shared" ca="1" si="94"/>
        <v>#NAME?</v>
      </c>
      <c r="GI15" s="4"/>
      <c r="GJ15" s="4">
        <f t="shared" si="95"/>
        <v>2025</v>
      </c>
      <c r="GK15" s="4">
        <f t="shared" ca="1" si="96"/>
        <v>90.515940820098123</v>
      </c>
      <c r="GL15" s="4">
        <f t="shared" ca="1" si="97"/>
        <v>21.225489972626907</v>
      </c>
      <c r="GM15" s="4">
        <f t="shared" ca="1" si="98"/>
        <v>15.110562376744101</v>
      </c>
      <c r="GN15" s="4">
        <f t="shared" ca="1" si="99"/>
        <v>0</v>
      </c>
      <c r="GO15" s="4"/>
      <c r="GP15" s="3">
        <f t="shared" ca="1" si="146"/>
        <v>0.85694345718721243</v>
      </c>
      <c r="GQ15" s="3">
        <f t="shared" ca="1" si="100"/>
        <v>0</v>
      </c>
      <c r="GR15" s="3">
        <f t="shared" ca="1" si="101"/>
        <v>0</v>
      </c>
      <c r="GS15" s="3">
        <f t="shared" ca="1" si="102"/>
        <v>0.14305654281278754</v>
      </c>
      <c r="GT15" s="3">
        <f t="array" aca="1" ref="GT15" ca="1">SUM(GP15:GS15*$GU$6:$GX$6)</f>
        <v>1</v>
      </c>
      <c r="GU15" s="3">
        <f t="shared" ca="1" si="147"/>
        <v>0.85694345718721243</v>
      </c>
      <c r="GV15" s="3">
        <f t="shared" ca="1" si="148"/>
        <v>0</v>
      </c>
      <c r="GW15" s="3">
        <f t="shared" ca="1" si="149"/>
        <v>0</v>
      </c>
      <c r="GX15" s="3">
        <f t="shared" ca="1" si="150"/>
        <v>0.14305654281278754</v>
      </c>
      <c r="GY15" s="11"/>
      <c r="GZ15" s="27">
        <v>57</v>
      </c>
      <c r="HA15" s="29">
        <v>3.0300000000000001E-2</v>
      </c>
      <c r="HB15" s="29">
        <f t="shared" ca="1" si="151"/>
        <v>6.7000000000000004E-2</v>
      </c>
      <c r="HC15" s="29">
        <v>6.7000000000000004E-2</v>
      </c>
      <c r="HD15" s="29">
        <v>6.6000000000000003E-2</v>
      </c>
      <c r="HE15" s="29">
        <v>4.7600000000000003E-2</v>
      </c>
      <c r="HG15" s="27">
        <v>55</v>
      </c>
      <c r="HH15" s="30">
        <v>2.86E-2</v>
      </c>
      <c r="HJ15">
        <f t="shared" si="153"/>
        <v>2018</v>
      </c>
      <c r="HK15" s="28">
        <v>23230</v>
      </c>
      <c r="HL15" s="27">
        <f t="shared" ref="HL15:HL78" si="155">ROUND(HM15/500,0)*500</f>
        <v>5500</v>
      </c>
      <c r="HM15" s="28">
        <f t="shared" ref="HM15:HM78" si="156">HM14*(1+$B$15)</f>
        <v>5722.2</v>
      </c>
      <c r="HO15" t="s">
        <v>162</v>
      </c>
      <c r="HP15">
        <f>MATCH(B8,HR27:IG27,0)</f>
        <v>9</v>
      </c>
      <c r="HR15" s="2" t="s">
        <v>161</v>
      </c>
    </row>
    <row r="16" spans="1:232" x14ac:dyDescent="0.25">
      <c r="A16" t="s">
        <v>23</v>
      </c>
      <c r="B16" s="63">
        <f>Inputs_Summary!AK13</f>
        <v>2.5000000000000001E-2</v>
      </c>
      <c r="D16">
        <f t="shared" si="106"/>
        <v>2026</v>
      </c>
      <c r="E16">
        <f t="shared" si="106"/>
        <v>31</v>
      </c>
      <c r="F16" s="8"/>
      <c r="G16" s="8"/>
      <c r="H16" s="9"/>
      <c r="I16" s="9"/>
      <c r="J16" s="92"/>
      <c r="K16" s="91"/>
      <c r="L16" s="91"/>
      <c r="N16" s="93">
        <f t="shared" si="107"/>
        <v>0.05</v>
      </c>
      <c r="O16" s="23">
        <f t="shared" si="108"/>
        <v>0</v>
      </c>
      <c r="P16" s="23">
        <f t="shared" si="109"/>
        <v>0.4</v>
      </c>
      <c r="Q16" s="4">
        <f t="shared" si="0"/>
        <v>0</v>
      </c>
      <c r="R16" s="4">
        <f t="shared" si="110"/>
        <v>0</v>
      </c>
      <c r="S16" s="4">
        <f t="shared" si="1"/>
        <v>0</v>
      </c>
      <c r="T16" s="4">
        <f t="shared" ca="1" si="2"/>
        <v>0</v>
      </c>
      <c r="V16" s="18" t="e">
        <f t="shared" ca="1" si="3"/>
        <v>#NAME?</v>
      </c>
      <c r="W16" s="18" t="e">
        <f t="shared" ca="1" si="4"/>
        <v>#NAME?</v>
      </c>
      <c r="X16" s="18">
        <f t="shared" si="5"/>
        <v>0</v>
      </c>
      <c r="Y16" s="18">
        <f t="shared" ca="1" si="6"/>
        <v>5.0159647989939655</v>
      </c>
      <c r="Z16" s="18">
        <f t="shared" ca="1" si="7"/>
        <v>2.5079823994969832</v>
      </c>
      <c r="AA16" s="18">
        <f t="shared" ca="1" si="8"/>
        <v>2.3669799586171383</v>
      </c>
      <c r="AB16" s="18">
        <f t="shared" ca="1" si="9"/>
        <v>0</v>
      </c>
      <c r="AC16" s="18">
        <f t="shared" ca="1" si="10"/>
        <v>103.05368828815071</v>
      </c>
      <c r="AD16" s="18">
        <f t="shared" ca="1" si="11"/>
        <v>24.296581186539104</v>
      </c>
      <c r="AE16" s="18">
        <f t="shared" ca="1" si="12"/>
        <v>17.764616045803916</v>
      </c>
      <c r="AF16" s="18">
        <f t="shared" ca="1" si="13"/>
        <v>0</v>
      </c>
      <c r="AG16" s="18">
        <f t="shared" ca="1" si="14"/>
        <v>145.11488552049371</v>
      </c>
      <c r="AI16">
        <f>Person1!E16</f>
        <v>31</v>
      </c>
      <c r="AJ16">
        <f>Person1!AZ16</f>
        <v>1</v>
      </c>
      <c r="AK16">
        <f>IF(AZ16&lt;&gt;3,Person1!FM16,0)</f>
        <v>0</v>
      </c>
      <c r="AL16" s="4">
        <f ca="1">IF($AZ16&lt;&gt;3,Person1!FN16+Person1!FT16,0)</f>
        <v>6132.4339639974496</v>
      </c>
      <c r="AM16">
        <f>IF($AZ16&lt;&gt;3,Person1!FO16,0)</f>
        <v>0</v>
      </c>
      <c r="AN16">
        <f>IF($AZ16&lt;&gt;3,Person1!FP16,0)</f>
        <v>0</v>
      </c>
      <c r="AO16">
        <f>IF($AZ16&lt;&gt;3,Person1!FQ16,0)</f>
        <v>0</v>
      </c>
      <c r="AP16">
        <f>IF($AZ16&lt;&gt;3,Person1!FR16,0)</f>
        <v>0</v>
      </c>
      <c r="AQ16" s="4">
        <f t="shared" si="15"/>
        <v>0</v>
      </c>
      <c r="AR16" s="4">
        <f>Person1!FS16</f>
        <v>0</v>
      </c>
      <c r="AS16" s="4">
        <f>$B$41*MAX(0,CHOOSE($AZ16,0,IF(AND(Person1!AW16&gt;=Person1!$B$36,AV16&gt;=$B$93),Person1!$B$35*(1+Person1!$B$37)^(Person1!$B$36-Person1!$B$11)*(1+Person1!$B$38)^(Person1!AW16-Person1!$B$36)-CHOOSE(Person1!$B$39+1,0,BD16,BE16,BD16+BE16),0),0,0))</f>
        <v>0</v>
      </c>
      <c r="AT16" s="4">
        <f t="shared" si="16"/>
        <v>0</v>
      </c>
      <c r="AV16">
        <f t="shared" si="111"/>
        <v>2026</v>
      </c>
      <c r="AW16">
        <f t="shared" si="111"/>
        <v>31</v>
      </c>
      <c r="AX16">
        <f t="shared" si="112"/>
        <v>1.1950925686223111</v>
      </c>
      <c r="AY16">
        <f t="shared" si="113"/>
        <v>0.83675526587265825</v>
      </c>
      <c r="AZ16">
        <f t="shared" si="114"/>
        <v>1</v>
      </c>
      <c r="BB16" s="4">
        <f t="shared" si="17"/>
        <v>49954.518797906618</v>
      </c>
      <c r="BC16">
        <f t="shared" si="18"/>
        <v>0</v>
      </c>
      <c r="BD16" s="4">
        <f t="shared" si="19"/>
        <v>0</v>
      </c>
      <c r="BE16" s="4">
        <f t="shared" si="115"/>
        <v>0</v>
      </c>
      <c r="BF16" s="4">
        <f t="shared" si="116"/>
        <v>0</v>
      </c>
      <c r="BG16" s="4">
        <f t="shared" si="117"/>
        <v>0</v>
      </c>
      <c r="BH16" s="4">
        <f t="shared" si="20"/>
        <v>0</v>
      </c>
      <c r="BI16" s="4">
        <f t="shared" si="118"/>
        <v>49954.518797906618</v>
      </c>
      <c r="BJ16" s="4"/>
      <c r="BK16" s="4">
        <f t="shared" si="21"/>
        <v>29877.314215557777</v>
      </c>
      <c r="BL16" s="4">
        <f t="shared" si="119"/>
        <v>0</v>
      </c>
      <c r="BM16" s="4">
        <f t="shared" si="120"/>
        <v>29877.314215557777</v>
      </c>
      <c r="BN16" s="4">
        <v>8256.6310401043611</v>
      </c>
      <c r="BO16" s="4">
        <f t="shared" si="121"/>
        <v>38133.94525566214</v>
      </c>
      <c r="BP16" s="4">
        <f t="shared" si="122"/>
        <v>11820.573542244478</v>
      </c>
      <c r="BQ16" s="4"/>
      <c r="BR16" s="4">
        <v>0</v>
      </c>
      <c r="BS16" s="4">
        <f t="shared" ca="1" si="22"/>
        <v>8991.81338362319</v>
      </c>
      <c r="BT16" s="4">
        <f t="shared" ca="1" si="23"/>
        <v>48209.665149293556</v>
      </c>
      <c r="BU16" s="4">
        <f t="shared" si="24"/>
        <v>0</v>
      </c>
      <c r="BV16" s="4">
        <f t="shared" si="25"/>
        <v>1</v>
      </c>
      <c r="BW16" s="4">
        <f t="shared" ca="1" si="26"/>
        <v>0</v>
      </c>
      <c r="BX16" s="4">
        <f t="shared" ca="1" si="27"/>
        <v>0</v>
      </c>
      <c r="BY16" s="4">
        <f t="shared" ca="1" si="28"/>
        <v>0</v>
      </c>
      <c r="BZ16" s="4">
        <f t="shared" ca="1" si="29"/>
        <v>0</v>
      </c>
      <c r="CA16" s="4">
        <f t="shared" ca="1" si="30"/>
        <v>0</v>
      </c>
      <c r="CB16" s="4">
        <f t="shared" ca="1" si="154"/>
        <v>0</v>
      </c>
      <c r="CC16" s="4"/>
      <c r="CD16" s="4">
        <f t="shared" ca="1" si="31"/>
        <v>49954.518797906618</v>
      </c>
      <c r="CE16" s="4">
        <f t="shared" ca="1" si="123"/>
        <v>37848.948077381174</v>
      </c>
      <c r="CF16" s="16">
        <f t="shared" si="32"/>
        <v>0</v>
      </c>
      <c r="CG16" s="4">
        <f t="shared" si="33"/>
        <v>3113.7573369022557</v>
      </c>
      <c r="CH16" s="4" t="e">
        <f t="shared" ca="1" si="34"/>
        <v>#NAME?</v>
      </c>
      <c r="CI16" s="4" t="e">
        <f t="shared" ca="1" si="35"/>
        <v>#NAME?</v>
      </c>
      <c r="CJ16" s="4" t="e">
        <f t="shared" ca="1" si="124"/>
        <v>#NAME?</v>
      </c>
      <c r="CK16" s="4" t="e">
        <f t="shared" ca="1" si="125"/>
        <v>#NAME?</v>
      </c>
      <c r="CL16" s="4" t="e">
        <f t="shared" ca="1" si="36"/>
        <v>#NAME?</v>
      </c>
      <c r="CM16" s="16"/>
      <c r="CN16" s="4">
        <f t="shared" si="37"/>
        <v>0</v>
      </c>
      <c r="CO16" s="4">
        <f t="shared" si="38"/>
        <v>0</v>
      </c>
      <c r="CP16" s="4">
        <f t="shared" ca="1" si="39"/>
        <v>173425.72128201945</v>
      </c>
      <c r="CQ16" s="4"/>
      <c r="CR16" s="4">
        <f t="shared" ca="1" si="40"/>
        <v>11820.573542244478</v>
      </c>
      <c r="CS16" s="4">
        <f t="shared" ca="1" si="41"/>
        <v>27220</v>
      </c>
      <c r="CT16" s="4">
        <f t="shared" ca="1" si="42"/>
        <v>8991.81338362319</v>
      </c>
      <c r="CU16" s="4"/>
      <c r="CV16" s="4">
        <f t="shared" ca="1" si="126"/>
        <v>11820.573542244478</v>
      </c>
      <c r="CW16" s="4">
        <f t="shared" ca="1" si="43"/>
        <v>2997.2711278743968</v>
      </c>
      <c r="CX16" s="4">
        <f t="shared" ca="1" si="44"/>
        <v>2997.2711278743968</v>
      </c>
      <c r="CY16" s="4">
        <f t="shared" ca="1" si="127"/>
        <v>8823.3024143700804</v>
      </c>
      <c r="CZ16" s="4"/>
      <c r="DA16" s="4">
        <f t="shared" ca="1" si="45"/>
        <v>8823.3024143700804</v>
      </c>
      <c r="DB16" s="4">
        <f t="shared" si="46"/>
        <v>0</v>
      </c>
      <c r="DC16" s="4">
        <f t="shared" ca="1" si="128"/>
        <v>2997.2711278743968</v>
      </c>
      <c r="DD16" s="4">
        <f t="shared" ca="1" si="47"/>
        <v>5994.5422557487927</v>
      </c>
      <c r="DE16" s="4">
        <f t="shared" ca="1" si="48"/>
        <v>5994.5422557487927</v>
      </c>
      <c r="DF16" s="4">
        <f t="shared" ca="1" si="129"/>
        <v>0</v>
      </c>
      <c r="DG16" s="4">
        <f t="shared" ca="1" si="130"/>
        <v>5994.5422557487927</v>
      </c>
      <c r="DH16" s="4">
        <f t="shared" ca="1" si="49"/>
        <v>0</v>
      </c>
      <c r="DI16" s="4"/>
      <c r="DJ16" s="4">
        <f t="shared" ca="1" si="50"/>
        <v>2828.7601586212877</v>
      </c>
      <c r="DK16" s="4">
        <f t="shared" ca="1" si="51"/>
        <v>6500</v>
      </c>
      <c r="DL16" s="4">
        <f t="shared" ca="1" si="52"/>
        <v>6500</v>
      </c>
      <c r="DM16" s="4">
        <f t="shared" ca="1" si="53"/>
        <v>48209.665149293556</v>
      </c>
      <c r="DN16" s="4">
        <f t="shared" ca="1" si="54"/>
        <v>2828.7601586212877</v>
      </c>
      <c r="DO16" s="4">
        <f t="shared" ca="1" si="55"/>
        <v>45380.904990672265</v>
      </c>
      <c r="DP16" s="4"/>
      <c r="DQ16" s="4">
        <f t="shared" ca="1" si="56"/>
        <v>0</v>
      </c>
      <c r="DR16" s="4"/>
      <c r="DS16" s="4">
        <f t="shared" si="131"/>
        <v>0</v>
      </c>
      <c r="DT16" s="4">
        <f t="shared" si="57"/>
        <v>0</v>
      </c>
      <c r="DU16" s="4">
        <f t="shared" si="58"/>
        <v>0</v>
      </c>
      <c r="DV16" s="4"/>
      <c r="DW16" s="4">
        <f t="shared" ca="1" si="132"/>
        <v>123158.697042289</v>
      </c>
      <c r="DX16" s="4">
        <f t="shared" ca="1" si="59"/>
        <v>12126.976219746242</v>
      </c>
      <c r="DY16" s="4">
        <f t="shared" ca="1" si="133"/>
        <v>6157.9348521144502</v>
      </c>
      <c r="DZ16" s="4">
        <f t="shared" ca="1" si="60"/>
        <v>0</v>
      </c>
      <c r="EA16" s="4">
        <f t="shared" ca="1" si="61"/>
        <v>0</v>
      </c>
      <c r="EB16" s="4">
        <f t="shared" ca="1" si="62"/>
        <v>129316.63189440346</v>
      </c>
      <c r="EC16" s="4">
        <f t="shared" si="63"/>
        <v>1</v>
      </c>
      <c r="ED16" s="4"/>
      <c r="EE16" s="4">
        <f t="shared" ca="1" si="134"/>
        <v>29036.663618961538</v>
      </c>
      <c r="EF16" s="4">
        <f t="shared" ca="1" si="64"/>
        <v>2997.2711278743968</v>
      </c>
      <c r="EG16" s="4">
        <f t="shared" ca="1" si="135"/>
        <v>1451.8331809480769</v>
      </c>
      <c r="EH16" s="4">
        <f t="shared" ca="1" si="65"/>
        <v>0</v>
      </c>
      <c r="EI16" s="4">
        <f t="shared" ca="1" si="66"/>
        <v>0</v>
      </c>
      <c r="EJ16" s="4">
        <f t="shared" ca="1" si="67"/>
        <v>0</v>
      </c>
      <c r="EK16" s="4">
        <f t="shared" si="68"/>
        <v>1</v>
      </c>
      <c r="EL16" s="4">
        <f t="shared" si="69"/>
        <v>0</v>
      </c>
      <c r="EM16" s="4"/>
      <c r="EN16" s="4">
        <f t="shared" ca="1" si="136"/>
        <v>21230.360620768926</v>
      </c>
      <c r="EO16" s="4">
        <f t="shared" ca="1" si="70"/>
        <v>2828.7601586212877</v>
      </c>
      <c r="EP16" s="4">
        <f t="shared" ca="1" si="137"/>
        <v>1061.5180310384465</v>
      </c>
      <c r="EQ16" s="4">
        <f t="shared" ca="1" si="71"/>
        <v>0</v>
      </c>
      <c r="ER16" s="4">
        <v>0</v>
      </c>
      <c r="ES16" s="4">
        <f t="shared" ca="1" si="138"/>
        <v>22291.878651807372</v>
      </c>
      <c r="ET16" s="4"/>
      <c r="EU16" s="4">
        <f t="shared" ca="1" si="139"/>
        <v>0</v>
      </c>
      <c r="EV16" s="4">
        <f t="shared" ca="1" si="72"/>
        <v>0</v>
      </c>
      <c r="EW16" s="4">
        <f t="shared" ca="1" si="140"/>
        <v>0</v>
      </c>
      <c r="EX16" s="4">
        <f t="shared" ca="1" si="73"/>
        <v>0</v>
      </c>
      <c r="EY16" s="4">
        <v>0</v>
      </c>
      <c r="EZ16" s="4">
        <f t="shared" ca="1" si="141"/>
        <v>0</v>
      </c>
      <c r="FA16" s="4">
        <f t="shared" ca="1" si="142"/>
        <v>0</v>
      </c>
      <c r="FB16" s="1">
        <f t="shared" ca="1" si="74"/>
        <v>0</v>
      </c>
      <c r="FC16" s="4">
        <f t="shared" ca="1" si="143"/>
        <v>0</v>
      </c>
      <c r="FD16" s="4">
        <f t="shared" ca="1" si="144"/>
        <v>0</v>
      </c>
      <c r="FE16" s="4">
        <f t="shared" ca="1" si="75"/>
        <v>0</v>
      </c>
      <c r="FF16" s="4">
        <f t="shared" ca="1" si="76"/>
        <v>0</v>
      </c>
      <c r="FG16" s="4">
        <f t="shared" ca="1" si="77"/>
        <v>0</v>
      </c>
      <c r="FH16" s="17">
        <f t="shared" ca="1" si="78"/>
        <v>0</v>
      </c>
      <c r="FI16" s="4">
        <f t="shared" ca="1" si="79"/>
        <v>0</v>
      </c>
      <c r="FJ16" s="4"/>
      <c r="FK16" s="4">
        <f t="shared" ca="1" si="80"/>
        <v>151608.51054621083</v>
      </c>
      <c r="FL16" s="4"/>
      <c r="FM16" s="4">
        <v>0</v>
      </c>
      <c r="FN16" s="4">
        <v>0</v>
      </c>
      <c r="FO16" s="4">
        <v>0</v>
      </c>
      <c r="FP16" s="4">
        <v>0</v>
      </c>
      <c r="FQ16" s="4">
        <v>0</v>
      </c>
      <c r="FR16" s="4">
        <v>0</v>
      </c>
      <c r="FS16" s="4">
        <f t="shared" si="81"/>
        <v>0</v>
      </c>
      <c r="FT16" s="4">
        <f t="shared" ca="1" si="82"/>
        <v>0</v>
      </c>
      <c r="FU16" s="4"/>
      <c r="FV16" s="3">
        <f t="shared" si="83"/>
        <v>0.83675526587265825</v>
      </c>
      <c r="FW16" s="3">
        <f t="shared" si="84"/>
        <v>0.83675526587265825</v>
      </c>
      <c r="FX16" s="4">
        <f t="shared" si="145"/>
        <v>2026</v>
      </c>
      <c r="FY16" s="4">
        <f t="shared" si="85"/>
        <v>41.799706658283057</v>
      </c>
      <c r="FZ16" s="4">
        <f t="shared" si="86"/>
        <v>0</v>
      </c>
      <c r="GA16" s="4">
        <f t="shared" si="87"/>
        <v>0</v>
      </c>
      <c r="GB16" s="4">
        <f t="shared" si="88"/>
        <v>0</v>
      </c>
      <c r="GC16" s="4">
        <f t="shared" ca="1" si="89"/>
        <v>0</v>
      </c>
      <c r="GD16" s="4">
        <f t="shared" ca="1" si="90"/>
        <v>0</v>
      </c>
      <c r="GE16" s="4">
        <f t="shared" ca="1" si="91"/>
        <v>0</v>
      </c>
      <c r="GF16" s="4">
        <f t="shared" ca="1" si="92"/>
        <v>0</v>
      </c>
      <c r="GG16" s="18" t="e">
        <f t="shared" ca="1" si="93"/>
        <v>#NAME?</v>
      </c>
      <c r="GH16" s="18" t="e">
        <f t="shared" ca="1" si="94"/>
        <v>#NAME?</v>
      </c>
      <c r="GI16" s="4"/>
      <c r="GJ16" s="4">
        <f t="shared" si="95"/>
        <v>2026</v>
      </c>
      <c r="GK16" s="4">
        <f t="shared" ca="1" si="96"/>
        <v>103.05368828815071</v>
      </c>
      <c r="GL16" s="4">
        <f t="shared" ca="1" si="97"/>
        <v>24.296581186539104</v>
      </c>
      <c r="GM16" s="4">
        <f t="shared" ca="1" si="98"/>
        <v>17.764616045803916</v>
      </c>
      <c r="GN16" s="4">
        <f t="shared" ca="1" si="99"/>
        <v>0</v>
      </c>
      <c r="GO16" s="4"/>
      <c r="GP16" s="3">
        <f t="shared" ca="1" si="146"/>
        <v>0.85296419988894534</v>
      </c>
      <c r="GQ16" s="3">
        <f t="shared" ca="1" si="100"/>
        <v>0</v>
      </c>
      <c r="GR16" s="3">
        <f t="shared" ca="1" si="101"/>
        <v>0</v>
      </c>
      <c r="GS16" s="3">
        <f t="shared" ca="1" si="102"/>
        <v>0.14703580011105463</v>
      </c>
      <c r="GT16" s="3">
        <f t="array" aca="1" ref="GT16" ca="1">SUM(GP16:GS16*$GU$6:$GX$6)</f>
        <v>1</v>
      </c>
      <c r="GU16" s="3">
        <f t="shared" ca="1" si="147"/>
        <v>0.85296419988894534</v>
      </c>
      <c r="GV16" s="3">
        <f t="shared" ca="1" si="148"/>
        <v>0</v>
      </c>
      <c r="GW16" s="3">
        <f t="shared" ca="1" si="149"/>
        <v>0</v>
      </c>
      <c r="GX16" s="3">
        <f t="shared" ca="1" si="150"/>
        <v>0.14703580011105463</v>
      </c>
      <c r="GY16" s="11"/>
      <c r="GZ16" s="27">
        <v>58</v>
      </c>
      <c r="HA16" s="29">
        <v>3.1300000000000001E-2</v>
      </c>
      <c r="HB16" s="29">
        <f t="shared" ca="1" si="151"/>
        <v>6.7699999999999996E-2</v>
      </c>
      <c r="HC16" s="29">
        <v>6.7699999999999996E-2</v>
      </c>
      <c r="HD16" s="29">
        <v>6.7000000000000004E-2</v>
      </c>
      <c r="HE16" s="29">
        <v>4.82E-2</v>
      </c>
      <c r="HG16" s="27">
        <v>56</v>
      </c>
      <c r="HH16" s="30">
        <v>2.9399999999999999E-2</v>
      </c>
      <c r="HJ16">
        <f t="shared" si="153"/>
        <v>2019</v>
      </c>
      <c r="HK16" s="94">
        <f>ROUND(HK$15*(1+$B$15)^(HJ16-HJ$15)/10,0)*10</f>
        <v>23690</v>
      </c>
      <c r="HL16" s="27">
        <f t="shared" si="155"/>
        <v>6000</v>
      </c>
      <c r="HM16" s="28">
        <f t="shared" si="156"/>
        <v>5836.6440000000002</v>
      </c>
      <c r="HR16" s="2" t="s">
        <v>0</v>
      </c>
    </row>
    <row r="17" spans="1:241" x14ac:dyDescent="0.25">
      <c r="A17" t="s">
        <v>57</v>
      </c>
      <c r="B17" s="63">
        <f>Inputs_Summary!AK14</f>
        <v>0.05</v>
      </c>
      <c r="D17">
        <f t="shared" si="106"/>
        <v>2027</v>
      </c>
      <c r="E17">
        <f t="shared" si="106"/>
        <v>32</v>
      </c>
      <c r="F17" s="8"/>
      <c r="G17" s="8"/>
      <c r="H17" s="9"/>
      <c r="I17" s="9"/>
      <c r="J17" s="92"/>
      <c r="K17" s="91"/>
      <c r="L17" s="91"/>
      <c r="N17" s="93">
        <f t="shared" si="107"/>
        <v>0.05</v>
      </c>
      <c r="O17" s="23">
        <f t="shared" si="108"/>
        <v>0</v>
      </c>
      <c r="P17" s="23">
        <f t="shared" si="109"/>
        <v>0.4</v>
      </c>
      <c r="Q17" s="4">
        <f t="shared" si="0"/>
        <v>0</v>
      </c>
      <c r="R17" s="4">
        <f t="shared" si="110"/>
        <v>0</v>
      </c>
      <c r="S17" s="4">
        <f t="shared" si="1"/>
        <v>0</v>
      </c>
      <c r="T17" s="4">
        <f t="shared" ca="1" si="2"/>
        <v>0</v>
      </c>
      <c r="V17" s="18" t="e">
        <f t="shared" ca="1" si="3"/>
        <v>#NAME?</v>
      </c>
      <c r="W17" s="18" t="e">
        <f t="shared" ca="1" si="4"/>
        <v>#NAME?</v>
      </c>
      <c r="X17" s="18">
        <f t="shared" si="5"/>
        <v>0</v>
      </c>
      <c r="Y17" s="18">
        <f t="shared" ca="1" si="6"/>
        <v>5.0405528617341329</v>
      </c>
      <c r="Z17" s="18">
        <f t="shared" ca="1" si="7"/>
        <v>2.5202764308670669</v>
      </c>
      <c r="AA17" s="18">
        <f t="shared" ca="1" si="8"/>
        <v>2.4807500592142993</v>
      </c>
      <c r="AB17" s="18">
        <f t="shared" ca="1" si="9"/>
        <v>0</v>
      </c>
      <c r="AC17" s="18">
        <f t="shared" ca="1" si="10"/>
        <v>116.03302344465042</v>
      </c>
      <c r="AD17" s="18">
        <f t="shared" ca="1" si="11"/>
        <v>27.469992789571613</v>
      </c>
      <c r="AE17" s="18">
        <f t="shared" ca="1" si="12"/>
        <v>20.607673339912992</v>
      </c>
      <c r="AF17" s="18">
        <f t="shared" ca="1" si="13"/>
        <v>0</v>
      </c>
      <c r="AG17" s="18">
        <f t="shared" ca="1" si="14"/>
        <v>164.11068957413502</v>
      </c>
      <c r="AI17">
        <f>Person1!E17</f>
        <v>32</v>
      </c>
      <c r="AJ17">
        <f>Person1!AZ17</f>
        <v>1</v>
      </c>
      <c r="AK17">
        <f>IF(AZ17&lt;&gt;3,Person1!FM17,0)</f>
        <v>0</v>
      </c>
      <c r="AL17" s="4">
        <f ca="1">IF($AZ17&lt;&gt;3,Person1!FN17+Person1!FT17,0)</f>
        <v>6316.4069829173723</v>
      </c>
      <c r="AM17">
        <f>IF($AZ17&lt;&gt;3,Person1!FO17,0)</f>
        <v>0</v>
      </c>
      <c r="AN17">
        <f>IF($AZ17&lt;&gt;3,Person1!FP17,0)</f>
        <v>0</v>
      </c>
      <c r="AO17">
        <f>IF($AZ17&lt;&gt;3,Person1!FQ17,0)</f>
        <v>0</v>
      </c>
      <c r="AP17">
        <f>IF($AZ17&lt;&gt;3,Person1!FR17,0)</f>
        <v>0</v>
      </c>
      <c r="AQ17" s="4">
        <f t="shared" si="15"/>
        <v>0</v>
      </c>
      <c r="AR17" s="4">
        <f>Person1!FS17</f>
        <v>0</v>
      </c>
      <c r="AS17" s="4">
        <f>$B$41*MAX(0,CHOOSE($AZ17,0,IF(AND(Person1!AW17&gt;=Person1!$B$36,AV17&gt;=$B$93),Person1!$B$35*(1+Person1!$B$37)^(Person1!$B$36-Person1!$B$11)*(1+Person1!$B$38)^(Person1!AW17-Person1!$B$36)-CHOOSE(Person1!$B$39+1,0,BD17,BE17,BD17+BE17),0),0,0))</f>
        <v>0</v>
      </c>
      <c r="AT17" s="4">
        <f t="shared" si="16"/>
        <v>0</v>
      </c>
      <c r="AV17">
        <f t="shared" si="111"/>
        <v>2027</v>
      </c>
      <c r="AW17">
        <f t="shared" si="111"/>
        <v>32</v>
      </c>
      <c r="AX17">
        <f t="shared" si="112"/>
        <v>1.2189944199947573</v>
      </c>
      <c r="AY17">
        <f t="shared" si="113"/>
        <v>0.82034829987515512</v>
      </c>
      <c r="AZ17">
        <f t="shared" si="114"/>
        <v>1</v>
      </c>
      <c r="BB17" s="4">
        <f t="shared" si="17"/>
        <v>51203.381767854284</v>
      </c>
      <c r="BC17">
        <f t="shared" si="18"/>
        <v>0</v>
      </c>
      <c r="BD17" s="4">
        <f t="shared" si="19"/>
        <v>0</v>
      </c>
      <c r="BE17" s="4">
        <f t="shared" si="115"/>
        <v>0</v>
      </c>
      <c r="BF17" s="4">
        <f t="shared" si="116"/>
        <v>0</v>
      </c>
      <c r="BG17" s="4">
        <f t="shared" si="117"/>
        <v>0</v>
      </c>
      <c r="BH17" s="4">
        <f t="shared" si="20"/>
        <v>0</v>
      </c>
      <c r="BI17" s="4">
        <f t="shared" si="118"/>
        <v>51203.381767854284</v>
      </c>
      <c r="BJ17" s="4"/>
      <c r="BK17" s="4">
        <f t="shared" si="21"/>
        <v>30474.860499868933</v>
      </c>
      <c r="BL17" s="4">
        <f t="shared" si="119"/>
        <v>0</v>
      </c>
      <c r="BM17" s="4">
        <f t="shared" si="120"/>
        <v>30474.860499868933</v>
      </c>
      <c r="BN17" s="4">
        <v>8487.8920701876832</v>
      </c>
      <c r="BO17" s="4">
        <f t="shared" si="121"/>
        <v>38962.752570056618</v>
      </c>
      <c r="BP17" s="4">
        <f t="shared" si="122"/>
        <v>12240.629197797665</v>
      </c>
      <c r="BQ17" s="4"/>
      <c r="BR17" s="4">
        <v>0</v>
      </c>
      <c r="BS17" s="4">
        <f t="shared" ca="1" si="22"/>
        <v>9216.6087182137708</v>
      </c>
      <c r="BT17" s="4">
        <f t="shared" ca="1" si="23"/>
        <v>52380.904990672265</v>
      </c>
      <c r="BU17" s="4">
        <f t="shared" si="24"/>
        <v>0</v>
      </c>
      <c r="BV17" s="4">
        <f t="shared" si="25"/>
        <v>1</v>
      </c>
      <c r="BW17" s="4">
        <f t="shared" ca="1" si="26"/>
        <v>0</v>
      </c>
      <c r="BX17" s="4">
        <f t="shared" ca="1" si="27"/>
        <v>0</v>
      </c>
      <c r="BY17" s="4">
        <f t="shared" ca="1" si="28"/>
        <v>0</v>
      </c>
      <c r="BZ17" s="4">
        <f t="shared" ca="1" si="29"/>
        <v>0</v>
      </c>
      <c r="CA17" s="4">
        <f t="shared" ca="1" si="30"/>
        <v>0</v>
      </c>
      <c r="CB17" s="4">
        <f t="shared" ca="1" si="154"/>
        <v>0</v>
      </c>
      <c r="CC17" s="4"/>
      <c r="CD17" s="4">
        <f t="shared" ca="1" si="31"/>
        <v>51203.381767854284</v>
      </c>
      <c r="CE17" s="4">
        <f t="shared" ca="1" si="123"/>
        <v>38790.840529315697</v>
      </c>
      <c r="CF17" s="16">
        <f t="shared" si="32"/>
        <v>0</v>
      </c>
      <c r="CG17" s="4">
        <f t="shared" si="33"/>
        <v>3195.9325203248118</v>
      </c>
      <c r="CH17" s="4" t="e">
        <f t="shared" ca="1" si="34"/>
        <v>#NAME?</v>
      </c>
      <c r="CI17" s="4" t="e">
        <f t="shared" ca="1" si="35"/>
        <v>#NAME?</v>
      </c>
      <c r="CJ17" s="4" t="e">
        <f t="shared" ca="1" si="124"/>
        <v>#NAME?</v>
      </c>
      <c r="CK17" s="4" t="e">
        <f t="shared" ca="1" si="125"/>
        <v>#NAME?</v>
      </c>
      <c r="CL17" s="4" t="e">
        <f t="shared" ca="1" si="36"/>
        <v>#NAME?</v>
      </c>
      <c r="CM17" s="16"/>
      <c r="CN17" s="4">
        <f t="shared" si="37"/>
        <v>0</v>
      </c>
      <c r="CO17" s="4">
        <f t="shared" si="38"/>
        <v>0</v>
      </c>
      <c r="CP17" s="4">
        <f t="shared" ca="1" si="39"/>
        <v>200050.01485236239</v>
      </c>
      <c r="CQ17" s="4"/>
      <c r="CR17" s="4">
        <f t="shared" ca="1" si="40"/>
        <v>12240.629197797665</v>
      </c>
      <c r="CS17" s="4">
        <f t="shared" ca="1" si="41"/>
        <v>31540</v>
      </c>
      <c r="CT17" s="4">
        <f t="shared" ca="1" si="42"/>
        <v>9216.6087182137708</v>
      </c>
      <c r="CU17" s="4"/>
      <c r="CV17" s="4">
        <f t="shared" ca="1" si="126"/>
        <v>12240.629197797665</v>
      </c>
      <c r="CW17" s="4">
        <f t="shared" ca="1" si="43"/>
        <v>3072.2029060712571</v>
      </c>
      <c r="CX17" s="4">
        <f t="shared" ca="1" si="44"/>
        <v>3072.2029060712571</v>
      </c>
      <c r="CY17" s="4">
        <f t="shared" ca="1" si="127"/>
        <v>9168.4262917264077</v>
      </c>
      <c r="CZ17" s="4"/>
      <c r="DA17" s="4">
        <f t="shared" ca="1" si="45"/>
        <v>9168.4262917264077</v>
      </c>
      <c r="DB17" s="4">
        <f t="shared" si="46"/>
        <v>0</v>
      </c>
      <c r="DC17" s="4">
        <f t="shared" ca="1" si="128"/>
        <v>3072.2029060712571</v>
      </c>
      <c r="DD17" s="4">
        <f t="shared" ca="1" si="47"/>
        <v>6144.4058121425132</v>
      </c>
      <c r="DE17" s="4">
        <f t="shared" ca="1" si="48"/>
        <v>6144.4058121425132</v>
      </c>
      <c r="DF17" s="4">
        <f t="shared" ca="1" si="129"/>
        <v>0</v>
      </c>
      <c r="DG17" s="4">
        <f t="shared" ca="1" si="130"/>
        <v>6144.4058121425132</v>
      </c>
      <c r="DH17" s="4">
        <f t="shared" ca="1" si="49"/>
        <v>0</v>
      </c>
      <c r="DI17" s="4"/>
      <c r="DJ17" s="4">
        <f t="shared" ca="1" si="50"/>
        <v>3024.0204795838945</v>
      </c>
      <c r="DK17" s="4">
        <f t="shared" ca="1" si="51"/>
        <v>7000</v>
      </c>
      <c r="DL17" s="4">
        <f t="shared" ca="1" si="52"/>
        <v>7000</v>
      </c>
      <c r="DM17" s="4">
        <f t="shared" ca="1" si="53"/>
        <v>52380.904990672265</v>
      </c>
      <c r="DN17" s="4">
        <f t="shared" ca="1" si="54"/>
        <v>3024.0204795838945</v>
      </c>
      <c r="DO17" s="4">
        <f t="shared" ca="1" si="55"/>
        <v>49356.88451108837</v>
      </c>
      <c r="DP17" s="4"/>
      <c r="DQ17" s="4">
        <f t="shared" ca="1" si="56"/>
        <v>0</v>
      </c>
      <c r="DR17" s="4"/>
      <c r="DS17" s="4">
        <f t="shared" si="131"/>
        <v>0</v>
      </c>
      <c r="DT17" s="4">
        <f t="shared" si="57"/>
        <v>0</v>
      </c>
      <c r="DU17" s="4">
        <f t="shared" si="58"/>
        <v>0</v>
      </c>
      <c r="DV17" s="4"/>
      <c r="DW17" s="4">
        <f t="shared" ca="1" si="132"/>
        <v>141443.60811414971</v>
      </c>
      <c r="DX17" s="4">
        <f t="shared" ca="1" si="59"/>
        <v>12460.812795059886</v>
      </c>
      <c r="DY17" s="4">
        <f t="shared" ca="1" si="133"/>
        <v>7072.180405707486</v>
      </c>
      <c r="DZ17" s="4">
        <f t="shared" ca="1" si="60"/>
        <v>0</v>
      </c>
      <c r="EA17" s="4">
        <f t="shared" ca="1" si="61"/>
        <v>0</v>
      </c>
      <c r="EB17" s="4">
        <f t="shared" ca="1" si="62"/>
        <v>148515.78851985719</v>
      </c>
      <c r="EC17" s="4">
        <f t="shared" si="63"/>
        <v>1</v>
      </c>
      <c r="ED17" s="4"/>
      <c r="EE17" s="4">
        <f t="shared" ca="1" si="134"/>
        <v>33485.767927784014</v>
      </c>
      <c r="EF17" s="4">
        <f t="shared" ca="1" si="64"/>
        <v>3072.2029060712571</v>
      </c>
      <c r="EG17" s="4">
        <f t="shared" ca="1" si="135"/>
        <v>1674.2883963892009</v>
      </c>
      <c r="EH17" s="4">
        <f t="shared" ca="1" si="65"/>
        <v>0</v>
      </c>
      <c r="EI17" s="4">
        <f t="shared" ca="1" si="66"/>
        <v>0</v>
      </c>
      <c r="EJ17" s="4">
        <f t="shared" ca="1" si="67"/>
        <v>0</v>
      </c>
      <c r="EK17" s="4">
        <f t="shared" si="68"/>
        <v>1</v>
      </c>
      <c r="EL17" s="4">
        <f t="shared" si="69"/>
        <v>0</v>
      </c>
      <c r="EM17" s="4"/>
      <c r="EN17" s="4">
        <f t="shared" ca="1" si="136"/>
        <v>25120.63881042866</v>
      </c>
      <c r="EO17" s="4">
        <f t="shared" ca="1" si="70"/>
        <v>3024.0204795838945</v>
      </c>
      <c r="EP17" s="4">
        <f t="shared" ca="1" si="137"/>
        <v>1256.0319405214332</v>
      </c>
      <c r="EQ17" s="4">
        <f t="shared" ca="1" si="71"/>
        <v>0</v>
      </c>
      <c r="ER17" s="4">
        <v>0</v>
      </c>
      <c r="ES17" s="4">
        <f t="shared" ca="1" si="138"/>
        <v>26376.670750950092</v>
      </c>
      <c r="ET17" s="4"/>
      <c r="EU17" s="4">
        <f t="shared" ca="1" si="139"/>
        <v>0</v>
      </c>
      <c r="EV17" s="4">
        <f t="shared" ca="1" si="72"/>
        <v>0</v>
      </c>
      <c r="EW17" s="4">
        <f t="shared" ca="1" si="140"/>
        <v>0</v>
      </c>
      <c r="EX17" s="4">
        <f t="shared" ca="1" si="73"/>
        <v>0</v>
      </c>
      <c r="EY17" s="4">
        <v>0</v>
      </c>
      <c r="EZ17" s="4">
        <f t="shared" ca="1" si="141"/>
        <v>0</v>
      </c>
      <c r="FA17" s="4">
        <f t="shared" ca="1" si="142"/>
        <v>0</v>
      </c>
      <c r="FB17" s="1">
        <f t="shared" ca="1" si="74"/>
        <v>0</v>
      </c>
      <c r="FC17" s="4">
        <f t="shared" ca="1" si="143"/>
        <v>0</v>
      </c>
      <c r="FD17" s="4">
        <f t="shared" ca="1" si="144"/>
        <v>0</v>
      </c>
      <c r="FE17" s="4">
        <f t="shared" ca="1" si="75"/>
        <v>0</v>
      </c>
      <c r="FF17" s="4">
        <f t="shared" ca="1" si="76"/>
        <v>0</v>
      </c>
      <c r="FG17" s="4">
        <f t="shared" ca="1" si="77"/>
        <v>0</v>
      </c>
      <c r="FH17" s="17">
        <f t="shared" ca="1" si="78"/>
        <v>0</v>
      </c>
      <c r="FI17" s="4">
        <f t="shared" ca="1" si="79"/>
        <v>0</v>
      </c>
      <c r="FJ17" s="4"/>
      <c r="FK17" s="4">
        <f t="shared" ca="1" si="80"/>
        <v>174892.45927080727</v>
      </c>
      <c r="FL17" s="4"/>
      <c r="FM17" s="4">
        <v>0</v>
      </c>
      <c r="FN17" s="4">
        <v>0</v>
      </c>
      <c r="FO17" s="4">
        <v>0</v>
      </c>
      <c r="FP17" s="4">
        <v>0</v>
      </c>
      <c r="FQ17" s="4">
        <v>0</v>
      </c>
      <c r="FR17" s="4">
        <v>0</v>
      </c>
      <c r="FS17" s="4">
        <f t="shared" si="81"/>
        <v>0</v>
      </c>
      <c r="FT17" s="4">
        <f t="shared" ca="1" si="82"/>
        <v>0</v>
      </c>
      <c r="FU17" s="4"/>
      <c r="FV17" s="3">
        <f t="shared" si="83"/>
        <v>0.82034829987515512</v>
      </c>
      <c r="FW17" s="3">
        <f t="shared" si="84"/>
        <v>0.82034829987515512</v>
      </c>
      <c r="FX17" s="4">
        <f t="shared" si="145"/>
        <v>2027</v>
      </c>
      <c r="FY17" s="4">
        <f t="shared" si="85"/>
        <v>42.004607181117777</v>
      </c>
      <c r="FZ17" s="4">
        <f t="shared" si="86"/>
        <v>0</v>
      </c>
      <c r="GA17" s="4">
        <f t="shared" si="87"/>
        <v>0</v>
      </c>
      <c r="GB17" s="4">
        <f t="shared" si="88"/>
        <v>0</v>
      </c>
      <c r="GC17" s="4">
        <f t="shared" ca="1" si="89"/>
        <v>0</v>
      </c>
      <c r="GD17" s="4">
        <f t="shared" ca="1" si="90"/>
        <v>0</v>
      </c>
      <c r="GE17" s="4">
        <f t="shared" ca="1" si="91"/>
        <v>0</v>
      </c>
      <c r="GF17" s="4">
        <f t="shared" ca="1" si="92"/>
        <v>0</v>
      </c>
      <c r="GG17" s="18" t="e">
        <f t="shared" ca="1" si="93"/>
        <v>#NAME?</v>
      </c>
      <c r="GH17" s="18" t="e">
        <f t="shared" ca="1" si="94"/>
        <v>#NAME?</v>
      </c>
      <c r="GI17" s="4"/>
      <c r="GJ17" s="4">
        <f t="shared" si="95"/>
        <v>2027</v>
      </c>
      <c r="GK17" s="4">
        <f t="shared" ca="1" si="96"/>
        <v>116.03302344465042</v>
      </c>
      <c r="GL17" s="4">
        <f t="shared" ca="1" si="97"/>
        <v>27.469992789571613</v>
      </c>
      <c r="GM17" s="4">
        <f t="shared" ca="1" si="98"/>
        <v>20.607673339912992</v>
      </c>
      <c r="GN17" s="4">
        <f t="shared" ca="1" si="99"/>
        <v>0</v>
      </c>
      <c r="GO17" s="4"/>
      <c r="GP17" s="3">
        <f t="shared" ca="1" si="146"/>
        <v>0.84918348760761675</v>
      </c>
      <c r="GQ17" s="3">
        <f t="shared" ca="1" si="100"/>
        <v>0</v>
      </c>
      <c r="GR17" s="3">
        <f t="shared" ca="1" si="101"/>
        <v>0</v>
      </c>
      <c r="GS17" s="3">
        <f t="shared" ca="1" si="102"/>
        <v>0.15081651239238328</v>
      </c>
      <c r="GT17" s="3">
        <f t="array" aca="1" ref="GT17" ca="1">SUM(GP17:GS17*$GU$6:$GX$6)</f>
        <v>1</v>
      </c>
      <c r="GU17" s="3">
        <f t="shared" ca="1" si="147"/>
        <v>0.84918348760761675</v>
      </c>
      <c r="GV17" s="3">
        <f t="shared" ca="1" si="148"/>
        <v>0</v>
      </c>
      <c r="GW17" s="3">
        <f t="shared" ca="1" si="149"/>
        <v>0</v>
      </c>
      <c r="GX17" s="3">
        <f t="shared" ca="1" si="150"/>
        <v>0.15081651239238328</v>
      </c>
      <c r="GY17" s="11"/>
      <c r="GZ17" s="27">
        <v>59</v>
      </c>
      <c r="HA17" s="29">
        <v>3.2300000000000002E-2</v>
      </c>
      <c r="HB17" s="29">
        <f t="shared" ca="1" si="151"/>
        <v>6.8500000000000005E-2</v>
      </c>
      <c r="HC17" s="29">
        <v>6.8500000000000005E-2</v>
      </c>
      <c r="HD17" s="29">
        <v>6.7000000000000004E-2</v>
      </c>
      <c r="HE17" s="29">
        <v>4.9000000000000002E-2</v>
      </c>
      <c r="HG17" s="27">
        <v>57</v>
      </c>
      <c r="HH17" s="30">
        <v>3.0299999999999997E-2</v>
      </c>
      <c r="HJ17">
        <f t="shared" si="153"/>
        <v>2020</v>
      </c>
      <c r="HK17" s="28">
        <f t="shared" ref="HK17:HK23" si="157">ROUND(HK$15*(1+$B$15)^(HJ17-HJ$15)/10,0)*10</f>
        <v>24170</v>
      </c>
      <c r="HL17" s="27">
        <f t="shared" si="155"/>
        <v>6000</v>
      </c>
      <c r="HM17" s="28">
        <f t="shared" si="156"/>
        <v>5953.3768800000007</v>
      </c>
    </row>
    <row r="18" spans="1:241" x14ac:dyDescent="0.25">
      <c r="A18" t="s">
        <v>58</v>
      </c>
      <c r="B18" s="64">
        <f>Inputs_Summary!AK15</f>
        <v>0</v>
      </c>
      <c r="D18">
        <f t="shared" si="106"/>
        <v>2028</v>
      </c>
      <c r="E18">
        <f t="shared" si="106"/>
        <v>33</v>
      </c>
      <c r="F18" s="8"/>
      <c r="G18" s="8"/>
      <c r="H18" s="9"/>
      <c r="I18" s="9"/>
      <c r="J18" s="92"/>
      <c r="K18" s="91"/>
      <c r="L18" s="91"/>
      <c r="N18" s="93">
        <f t="shared" si="107"/>
        <v>0.05</v>
      </c>
      <c r="O18" s="23">
        <f t="shared" si="108"/>
        <v>0</v>
      </c>
      <c r="P18" s="23">
        <f t="shared" si="109"/>
        <v>0.4</v>
      </c>
      <c r="Q18" s="4">
        <f t="shared" si="0"/>
        <v>0</v>
      </c>
      <c r="R18" s="4">
        <f t="shared" si="110"/>
        <v>0</v>
      </c>
      <c r="S18" s="4">
        <f t="shared" si="1"/>
        <v>0</v>
      </c>
      <c r="T18" s="4">
        <f t="shared" ca="1" si="2"/>
        <v>0</v>
      </c>
      <c r="V18" s="18" t="e">
        <f t="shared" ca="1" si="3"/>
        <v>#NAME?</v>
      </c>
      <c r="W18" s="18" t="e">
        <f t="shared" ca="1" si="4"/>
        <v>#NAME?</v>
      </c>
      <c r="X18" s="18">
        <f t="shared" si="5"/>
        <v>0</v>
      </c>
      <c r="Y18" s="18">
        <f t="shared" ca="1" si="6"/>
        <v>5.0652614541936138</v>
      </c>
      <c r="Z18" s="18">
        <f t="shared" ca="1" si="7"/>
        <v>2.5326307270968069</v>
      </c>
      <c r="AA18" s="18">
        <f t="shared" ca="1" si="8"/>
        <v>2.5951301083473295</v>
      </c>
      <c r="AB18" s="18">
        <f t="shared" ca="1" si="9"/>
        <v>0</v>
      </c>
      <c r="AC18" s="18">
        <f t="shared" ca="1" si="10"/>
        <v>129.46753059644402</v>
      </c>
      <c r="AD18" s="18">
        <f t="shared" ca="1" si="11"/>
        <v>30.748792999918887</v>
      </c>
      <c r="AE18" s="18">
        <f t="shared" ca="1" si="12"/>
        <v>23.645889280512684</v>
      </c>
      <c r="AF18" s="18">
        <f t="shared" ca="1" si="13"/>
        <v>0</v>
      </c>
      <c r="AG18" s="18">
        <f t="shared" ca="1" si="14"/>
        <v>183.86221287687559</v>
      </c>
      <c r="AI18">
        <f>Person1!E18</f>
        <v>33</v>
      </c>
      <c r="AJ18">
        <f>Person1!AZ18</f>
        <v>1</v>
      </c>
      <c r="AK18">
        <f>IF(AZ18&lt;&gt;3,Person1!FM18,0)</f>
        <v>0</v>
      </c>
      <c r="AL18" s="4">
        <f ca="1">IF($AZ18&lt;&gt;3,Person1!FN18+Person1!FT18,0)</f>
        <v>6505.8991924048933</v>
      </c>
      <c r="AM18">
        <f>IF($AZ18&lt;&gt;3,Person1!FO18,0)</f>
        <v>0</v>
      </c>
      <c r="AN18">
        <f>IF($AZ18&lt;&gt;3,Person1!FP18,0)</f>
        <v>0</v>
      </c>
      <c r="AO18">
        <f>IF($AZ18&lt;&gt;3,Person1!FQ18,0)</f>
        <v>0</v>
      </c>
      <c r="AP18">
        <f>IF($AZ18&lt;&gt;3,Person1!FR18,0)</f>
        <v>0</v>
      </c>
      <c r="AQ18" s="4">
        <f t="shared" si="15"/>
        <v>0</v>
      </c>
      <c r="AR18" s="4">
        <f>Person1!FS18</f>
        <v>0</v>
      </c>
      <c r="AS18" s="4">
        <f>$B$41*MAX(0,CHOOSE($AZ18,0,IF(AND(Person1!AW18&gt;=Person1!$B$36,AV18&gt;=$B$93),Person1!$B$35*(1+Person1!$B$37)^(Person1!$B$36-Person1!$B$11)*(1+Person1!$B$38)^(Person1!AW18-Person1!$B$36)-CHOOSE(Person1!$B$39+1,0,BD18,BE18,BD18+BE18),0),0,0))</f>
        <v>0</v>
      </c>
      <c r="AT18" s="4">
        <f t="shared" si="16"/>
        <v>0</v>
      </c>
      <c r="AV18">
        <f t="shared" si="111"/>
        <v>2028</v>
      </c>
      <c r="AW18">
        <f t="shared" si="111"/>
        <v>33</v>
      </c>
      <c r="AX18">
        <f t="shared" si="112"/>
        <v>1.2433743083946525</v>
      </c>
      <c r="AY18">
        <f t="shared" si="113"/>
        <v>0.80426303909328933</v>
      </c>
      <c r="AZ18">
        <f t="shared" si="114"/>
        <v>1</v>
      </c>
      <c r="BB18" s="4">
        <f t="shared" si="17"/>
        <v>52483.466312050637</v>
      </c>
      <c r="BC18">
        <f t="shared" si="18"/>
        <v>0</v>
      </c>
      <c r="BD18" s="4">
        <f t="shared" si="19"/>
        <v>0</v>
      </c>
      <c r="BE18" s="4">
        <f t="shared" si="115"/>
        <v>0</v>
      </c>
      <c r="BF18" s="4">
        <f t="shared" si="116"/>
        <v>0</v>
      </c>
      <c r="BG18" s="4">
        <f t="shared" si="117"/>
        <v>0</v>
      </c>
      <c r="BH18" s="4">
        <f t="shared" si="20"/>
        <v>0</v>
      </c>
      <c r="BI18" s="4">
        <f t="shared" si="118"/>
        <v>52483.466312050637</v>
      </c>
      <c r="BJ18" s="4"/>
      <c r="BK18" s="4">
        <f t="shared" si="21"/>
        <v>31084.357709866312</v>
      </c>
      <c r="BL18" s="4">
        <f t="shared" si="119"/>
        <v>0</v>
      </c>
      <c r="BM18" s="4">
        <f t="shared" si="120"/>
        <v>31084.357709866312</v>
      </c>
      <c r="BN18" s="4">
        <v>8725.3665623547076</v>
      </c>
      <c r="BO18" s="4">
        <f t="shared" si="121"/>
        <v>39809.724272221021</v>
      </c>
      <c r="BP18" s="4">
        <f t="shared" si="122"/>
        <v>12673.742039829616</v>
      </c>
      <c r="BQ18" s="4"/>
      <c r="BR18" s="4">
        <v>0</v>
      </c>
      <c r="BS18" s="4">
        <f t="shared" ca="1" si="22"/>
        <v>9447.0239361691147</v>
      </c>
      <c r="BT18" s="4">
        <f t="shared" ca="1" si="23"/>
        <v>56356.88451108837</v>
      </c>
      <c r="BU18" s="4">
        <f t="shared" si="24"/>
        <v>0</v>
      </c>
      <c r="BV18" s="4">
        <f t="shared" si="25"/>
        <v>1</v>
      </c>
      <c r="BW18" s="4">
        <f t="shared" ca="1" si="26"/>
        <v>0</v>
      </c>
      <c r="BX18" s="4">
        <f t="shared" ca="1" si="27"/>
        <v>0</v>
      </c>
      <c r="BY18" s="4">
        <f t="shared" ca="1" si="28"/>
        <v>0</v>
      </c>
      <c r="BZ18" s="4">
        <f t="shared" ca="1" si="29"/>
        <v>0</v>
      </c>
      <c r="CA18" s="4">
        <f t="shared" ca="1" si="30"/>
        <v>0</v>
      </c>
      <c r="CB18" s="4">
        <f t="shared" ca="1" si="154"/>
        <v>0</v>
      </c>
      <c r="CC18" s="4"/>
      <c r="CD18" s="4">
        <f t="shared" ca="1" si="31"/>
        <v>52483.466312050637</v>
      </c>
      <c r="CE18" s="4">
        <f t="shared" ca="1" si="123"/>
        <v>39756.280292548596</v>
      </c>
      <c r="CF18" s="16">
        <f t="shared" si="32"/>
        <v>0</v>
      </c>
      <c r="CG18" s="4">
        <f t="shared" si="33"/>
        <v>3280.1620833329316</v>
      </c>
      <c r="CH18" s="4" t="e">
        <f t="shared" ca="1" si="34"/>
        <v>#NAME?</v>
      </c>
      <c r="CI18" s="4" t="e">
        <f t="shared" ca="1" si="35"/>
        <v>#NAME?</v>
      </c>
      <c r="CJ18" s="4" t="e">
        <f t="shared" ca="1" si="124"/>
        <v>#NAME?</v>
      </c>
      <c r="CK18" s="4" t="e">
        <f t="shared" ca="1" si="125"/>
        <v>#NAME?</v>
      </c>
      <c r="CL18" s="4" t="e">
        <f t="shared" ca="1" si="36"/>
        <v>#NAME?</v>
      </c>
      <c r="CM18" s="16"/>
      <c r="CN18" s="4">
        <f t="shared" si="37"/>
        <v>0</v>
      </c>
      <c r="CO18" s="4">
        <f t="shared" si="38"/>
        <v>0</v>
      </c>
      <c r="CP18" s="4">
        <f t="shared" ca="1" si="39"/>
        <v>228609.55177569555</v>
      </c>
      <c r="CQ18" s="4"/>
      <c r="CR18" s="4">
        <f t="shared" ca="1" si="40"/>
        <v>12673.742039829616</v>
      </c>
      <c r="CS18" s="4">
        <f t="shared" ca="1" si="41"/>
        <v>32180</v>
      </c>
      <c r="CT18" s="4">
        <f t="shared" ca="1" si="42"/>
        <v>9447.0239361691147</v>
      </c>
      <c r="CU18" s="4"/>
      <c r="CV18" s="4">
        <f t="shared" ca="1" si="126"/>
        <v>12673.742039829616</v>
      </c>
      <c r="CW18" s="4">
        <f t="shared" ca="1" si="43"/>
        <v>3149.0079787230379</v>
      </c>
      <c r="CX18" s="4">
        <f t="shared" ca="1" si="44"/>
        <v>3149.0079787230379</v>
      </c>
      <c r="CY18" s="4">
        <f t="shared" ca="1" si="127"/>
        <v>9524.7340611065774</v>
      </c>
      <c r="CZ18" s="4"/>
      <c r="DA18" s="4">
        <f t="shared" ca="1" si="45"/>
        <v>9524.7340611065774</v>
      </c>
      <c r="DB18" s="4">
        <f t="shared" si="46"/>
        <v>0</v>
      </c>
      <c r="DC18" s="4">
        <f t="shared" ca="1" si="128"/>
        <v>3149.0079787230379</v>
      </c>
      <c r="DD18" s="4">
        <f t="shared" ca="1" si="47"/>
        <v>6298.0159574460768</v>
      </c>
      <c r="DE18" s="4">
        <f t="shared" ca="1" si="48"/>
        <v>6298.0159574460768</v>
      </c>
      <c r="DF18" s="4">
        <f t="shared" ca="1" si="129"/>
        <v>0</v>
      </c>
      <c r="DG18" s="4">
        <f t="shared" ca="1" si="130"/>
        <v>6298.0159574460768</v>
      </c>
      <c r="DH18" s="4">
        <f t="shared" ca="1" si="49"/>
        <v>0</v>
      </c>
      <c r="DI18" s="4"/>
      <c r="DJ18" s="4">
        <f t="shared" ca="1" si="50"/>
        <v>3226.7181036605007</v>
      </c>
      <c r="DK18" s="4">
        <f t="shared" ca="1" si="51"/>
        <v>7000</v>
      </c>
      <c r="DL18" s="4">
        <f t="shared" ca="1" si="52"/>
        <v>7000</v>
      </c>
      <c r="DM18" s="4">
        <f t="shared" ca="1" si="53"/>
        <v>56356.88451108837</v>
      </c>
      <c r="DN18" s="4">
        <f t="shared" ca="1" si="54"/>
        <v>3226.7181036605007</v>
      </c>
      <c r="DO18" s="4">
        <f t="shared" ca="1" si="55"/>
        <v>53130.166407427867</v>
      </c>
      <c r="DP18" s="4"/>
      <c r="DQ18" s="4">
        <f t="shared" ca="1" si="56"/>
        <v>0</v>
      </c>
      <c r="DR18" s="4"/>
      <c r="DS18" s="4">
        <f t="shared" si="131"/>
        <v>0</v>
      </c>
      <c r="DT18" s="4">
        <f t="shared" si="57"/>
        <v>0</v>
      </c>
      <c r="DU18" s="4">
        <f t="shared" si="58"/>
        <v>0</v>
      </c>
      <c r="DV18" s="4"/>
      <c r="DW18" s="4">
        <f t="shared" ca="1" si="132"/>
        <v>160976.60131491709</v>
      </c>
      <c r="DX18" s="4">
        <f t="shared" ca="1" si="59"/>
        <v>12803.915149850971</v>
      </c>
      <c r="DY18" s="4">
        <f t="shared" ca="1" si="133"/>
        <v>8048.8300657458549</v>
      </c>
      <c r="DZ18" s="4">
        <f t="shared" ca="1" si="60"/>
        <v>0</v>
      </c>
      <c r="EA18" s="4">
        <f t="shared" ca="1" si="61"/>
        <v>0</v>
      </c>
      <c r="EB18" s="4">
        <f t="shared" ca="1" si="62"/>
        <v>169025.43138066295</v>
      </c>
      <c r="EC18" s="4">
        <f t="shared" si="63"/>
        <v>1</v>
      </c>
      <c r="ED18" s="4"/>
      <c r="EE18" s="4">
        <f t="shared" ca="1" si="134"/>
        <v>38232.259230244475</v>
      </c>
      <c r="EF18" s="4">
        <f t="shared" ca="1" si="64"/>
        <v>3149.0079787230379</v>
      </c>
      <c r="EG18" s="4">
        <f t="shared" ca="1" si="135"/>
        <v>1911.6129615122238</v>
      </c>
      <c r="EH18" s="4">
        <f t="shared" ca="1" si="65"/>
        <v>0</v>
      </c>
      <c r="EI18" s="4">
        <f t="shared" ca="1" si="66"/>
        <v>0</v>
      </c>
      <c r="EJ18" s="4">
        <f t="shared" ca="1" si="67"/>
        <v>0</v>
      </c>
      <c r="EK18" s="4">
        <f t="shared" si="68"/>
        <v>1</v>
      </c>
      <c r="EL18" s="4">
        <f t="shared" si="69"/>
        <v>0</v>
      </c>
      <c r="EM18" s="4"/>
      <c r="EN18" s="4">
        <f t="shared" ca="1" si="136"/>
        <v>29400.691230533987</v>
      </c>
      <c r="EO18" s="4">
        <f t="shared" ca="1" si="70"/>
        <v>3226.7181036605007</v>
      </c>
      <c r="EP18" s="4">
        <f t="shared" ca="1" si="137"/>
        <v>1470.0345615266995</v>
      </c>
      <c r="EQ18" s="4">
        <f t="shared" ca="1" si="71"/>
        <v>0</v>
      </c>
      <c r="ER18" s="4">
        <v>0</v>
      </c>
      <c r="ES18" s="4">
        <f t="shared" ca="1" si="138"/>
        <v>30870.725792060686</v>
      </c>
      <c r="ET18" s="4"/>
      <c r="EU18" s="4">
        <f t="shared" ca="1" si="139"/>
        <v>0</v>
      </c>
      <c r="EV18" s="4">
        <f t="shared" ca="1" si="72"/>
        <v>0</v>
      </c>
      <c r="EW18" s="4">
        <f t="shared" ca="1" si="140"/>
        <v>0</v>
      </c>
      <c r="EX18" s="4">
        <f t="shared" ca="1" si="73"/>
        <v>0</v>
      </c>
      <c r="EY18" s="4">
        <v>0</v>
      </c>
      <c r="EZ18" s="4">
        <f t="shared" ca="1" si="141"/>
        <v>0</v>
      </c>
      <c r="FA18" s="4">
        <f t="shared" ca="1" si="142"/>
        <v>0</v>
      </c>
      <c r="FB18" s="1">
        <f t="shared" ca="1" si="74"/>
        <v>0</v>
      </c>
      <c r="FC18" s="4">
        <f t="shared" ca="1" si="143"/>
        <v>0</v>
      </c>
      <c r="FD18" s="4">
        <f t="shared" ca="1" si="144"/>
        <v>0</v>
      </c>
      <c r="FE18" s="4">
        <f t="shared" ca="1" si="75"/>
        <v>0</v>
      </c>
      <c r="FF18" s="4">
        <f t="shared" ca="1" si="76"/>
        <v>0</v>
      </c>
      <c r="FG18" s="4">
        <f t="shared" ca="1" si="77"/>
        <v>0</v>
      </c>
      <c r="FH18" s="17">
        <f t="shared" ca="1" si="78"/>
        <v>0</v>
      </c>
      <c r="FI18" s="4">
        <f t="shared" ca="1" si="79"/>
        <v>0</v>
      </c>
      <c r="FJ18" s="4"/>
      <c r="FK18" s="4">
        <f t="shared" ca="1" si="80"/>
        <v>199896.15717272364</v>
      </c>
      <c r="FL18" s="4"/>
      <c r="FM18" s="4">
        <v>0</v>
      </c>
      <c r="FN18" s="4">
        <v>0</v>
      </c>
      <c r="FO18" s="4">
        <v>0</v>
      </c>
      <c r="FP18" s="4">
        <v>0</v>
      </c>
      <c r="FQ18" s="4">
        <v>0</v>
      </c>
      <c r="FR18" s="4">
        <v>0</v>
      </c>
      <c r="FS18" s="4">
        <f t="shared" si="81"/>
        <v>0</v>
      </c>
      <c r="FT18" s="4">
        <f t="shared" ca="1" si="82"/>
        <v>0</v>
      </c>
      <c r="FU18" s="4"/>
      <c r="FV18" s="3">
        <f t="shared" si="83"/>
        <v>0.80426303909328933</v>
      </c>
      <c r="FW18" s="3">
        <f t="shared" si="84"/>
        <v>0.80426303909328933</v>
      </c>
      <c r="FX18" s="4">
        <f t="shared" si="145"/>
        <v>2028</v>
      </c>
      <c r="FY18" s="4">
        <f t="shared" si="85"/>
        <v>42.210512118280114</v>
      </c>
      <c r="FZ18" s="4">
        <f t="shared" si="86"/>
        <v>0</v>
      </c>
      <c r="GA18" s="4">
        <f t="shared" si="87"/>
        <v>0</v>
      </c>
      <c r="GB18" s="4">
        <f t="shared" si="88"/>
        <v>0</v>
      </c>
      <c r="GC18" s="4">
        <f t="shared" ca="1" si="89"/>
        <v>0</v>
      </c>
      <c r="GD18" s="4">
        <f t="shared" ca="1" si="90"/>
        <v>0</v>
      </c>
      <c r="GE18" s="4">
        <f t="shared" ca="1" si="91"/>
        <v>0</v>
      </c>
      <c r="GF18" s="4">
        <f t="shared" ca="1" si="92"/>
        <v>0</v>
      </c>
      <c r="GG18" s="18" t="e">
        <f t="shared" ca="1" si="93"/>
        <v>#NAME?</v>
      </c>
      <c r="GH18" s="18" t="e">
        <f t="shared" ca="1" si="94"/>
        <v>#NAME?</v>
      </c>
      <c r="GI18" s="4"/>
      <c r="GJ18" s="4">
        <f t="shared" si="95"/>
        <v>2028</v>
      </c>
      <c r="GK18" s="4">
        <f t="shared" ca="1" si="96"/>
        <v>129.46753059644402</v>
      </c>
      <c r="GL18" s="4">
        <f t="shared" ca="1" si="97"/>
        <v>30.748792999918887</v>
      </c>
      <c r="GM18" s="4">
        <f t="shared" ca="1" si="98"/>
        <v>23.645889280512684</v>
      </c>
      <c r="GN18" s="4">
        <f t="shared" ca="1" si="99"/>
        <v>0</v>
      </c>
      <c r="GO18" s="4"/>
      <c r="GP18" s="3">
        <f t="shared" ca="1" si="146"/>
        <v>0.84556618682075857</v>
      </c>
      <c r="GQ18" s="3">
        <f t="shared" ca="1" si="100"/>
        <v>0</v>
      </c>
      <c r="GR18" s="3">
        <f t="shared" ca="1" si="101"/>
        <v>0</v>
      </c>
      <c r="GS18" s="3">
        <f t="shared" ca="1" si="102"/>
        <v>0.15443381317924143</v>
      </c>
      <c r="GT18" s="3">
        <f t="array" aca="1" ref="GT18" ca="1">SUM(GP18:GS18*$GU$6:$GX$6)</f>
        <v>1</v>
      </c>
      <c r="GU18" s="3">
        <f t="shared" ca="1" si="147"/>
        <v>0.84556618682075857</v>
      </c>
      <c r="GV18" s="3">
        <f t="shared" ca="1" si="148"/>
        <v>0</v>
      </c>
      <c r="GW18" s="3">
        <f t="shared" ca="1" si="149"/>
        <v>0</v>
      </c>
      <c r="GX18" s="3">
        <f t="shared" ca="1" si="150"/>
        <v>0.15443381317924143</v>
      </c>
      <c r="GY18" s="11"/>
      <c r="GZ18" s="27">
        <v>60</v>
      </c>
      <c r="HA18" s="29">
        <v>3.3300000000000003E-2</v>
      </c>
      <c r="HB18" s="29">
        <f t="shared" ca="1" si="151"/>
        <v>6.9400000000000003E-2</v>
      </c>
      <c r="HC18" s="29">
        <v>6.9400000000000003E-2</v>
      </c>
      <c r="HD18" s="29">
        <v>6.8000000000000005E-2</v>
      </c>
      <c r="HE18" s="29">
        <v>4.9700000000000001E-2</v>
      </c>
      <c r="HG18" s="27">
        <v>58</v>
      </c>
      <c r="HH18" s="30">
        <v>3.1300000000000001E-2</v>
      </c>
      <c r="HJ18">
        <f t="shared" si="153"/>
        <v>2021</v>
      </c>
      <c r="HK18" s="28">
        <f t="shared" si="157"/>
        <v>24650</v>
      </c>
      <c r="HL18" s="27">
        <f t="shared" si="155"/>
        <v>6000</v>
      </c>
      <c r="HM18" s="28">
        <f t="shared" si="156"/>
        <v>6072.4444176000006</v>
      </c>
      <c r="HO18">
        <f t="shared" ref="HO18:HO24" ca="1" si="158">OFFSET(HR29,0,$HP$15-1)</f>
        <v>0</v>
      </c>
      <c r="HP18" s="4">
        <f t="shared" ref="HP18:HP24" ca="1" si="159">HO18*(1+$B$15)^($B$7-$HP$26)</f>
        <v>0</v>
      </c>
      <c r="HQ18">
        <f t="shared" ref="HQ18:HQ24" ca="1" si="160">OFFSET(HR37,0,$HP$15-1)</f>
        <v>0</v>
      </c>
      <c r="HR18" s="4">
        <f ca="1">HP18*0.1</f>
        <v>0</v>
      </c>
      <c r="HT18" t="s">
        <v>178</v>
      </c>
      <c r="HV18">
        <f ca="1">OFFSET(HR45,0,$HP$15-1)</f>
        <v>0.1</v>
      </c>
    </row>
    <row r="19" spans="1:241" x14ac:dyDescent="0.25">
      <c r="A19" t="s">
        <v>227</v>
      </c>
      <c r="B19" s="64">
        <f>Inputs_Summary!AK16</f>
        <v>0.4</v>
      </c>
      <c r="D19">
        <f t="shared" si="106"/>
        <v>2029</v>
      </c>
      <c r="E19">
        <f t="shared" si="106"/>
        <v>34</v>
      </c>
      <c r="F19" s="8"/>
      <c r="G19" s="8"/>
      <c r="H19" s="9"/>
      <c r="I19" s="9"/>
      <c r="J19" s="92"/>
      <c r="K19" s="91"/>
      <c r="L19" s="91"/>
      <c r="N19" s="93">
        <f t="shared" si="107"/>
        <v>0.05</v>
      </c>
      <c r="O19" s="23">
        <f t="shared" si="108"/>
        <v>0</v>
      </c>
      <c r="P19" s="23">
        <f t="shared" si="109"/>
        <v>0.4</v>
      </c>
      <c r="Q19" s="4">
        <f t="shared" si="0"/>
        <v>0</v>
      </c>
      <c r="R19" s="4">
        <f t="shared" si="110"/>
        <v>0</v>
      </c>
      <c r="S19" s="4">
        <f t="shared" si="1"/>
        <v>0</v>
      </c>
      <c r="T19" s="4">
        <f t="shared" ca="1" si="2"/>
        <v>0</v>
      </c>
      <c r="V19" s="18" t="e">
        <f t="shared" ca="1" si="3"/>
        <v>#NAME?</v>
      </c>
      <c r="W19" s="18" t="e">
        <f t="shared" ca="1" si="4"/>
        <v>#NAME?</v>
      </c>
      <c r="X19" s="18">
        <f t="shared" si="5"/>
        <v>0</v>
      </c>
      <c r="Y19" s="18">
        <f t="shared" ca="1" si="6"/>
        <v>5.0900911672043661</v>
      </c>
      <c r="Z19" s="18">
        <f t="shared" ca="1" si="7"/>
        <v>2.5450455836021835</v>
      </c>
      <c r="AA19" s="18">
        <f t="shared" ca="1" si="8"/>
        <v>2.7101220714117256</v>
      </c>
      <c r="AB19" s="18">
        <f t="shared" ca="1" si="9"/>
        <v>0</v>
      </c>
      <c r="AC19" s="18">
        <f t="shared" ca="1" si="10"/>
        <v>143.37119885978234</v>
      </c>
      <c r="AD19" s="18">
        <f t="shared" ca="1" si="11"/>
        <v>34.13614056569768</v>
      </c>
      <c r="AE19" s="18">
        <f t="shared" ca="1" si="12"/>
        <v>26.885601816554562</v>
      </c>
      <c r="AF19" s="18">
        <f t="shared" ca="1" si="13"/>
        <v>0</v>
      </c>
      <c r="AG19" s="18">
        <f t="shared" ca="1" si="14"/>
        <v>204.39294124203457</v>
      </c>
      <c r="AI19">
        <f>Person1!E19</f>
        <v>34</v>
      </c>
      <c r="AJ19">
        <f>Person1!AZ19</f>
        <v>1</v>
      </c>
      <c r="AK19">
        <f>IF(AZ19&lt;&gt;3,Person1!FM19,0)</f>
        <v>0</v>
      </c>
      <c r="AL19" s="4">
        <f ca="1">IF($AZ19&lt;&gt;3,Person1!FN19+Person1!FT19,0)</f>
        <v>6701.07616817704</v>
      </c>
      <c r="AM19">
        <f>IF($AZ19&lt;&gt;3,Person1!FO19,0)</f>
        <v>0</v>
      </c>
      <c r="AN19">
        <f>IF($AZ19&lt;&gt;3,Person1!FP19,0)</f>
        <v>0</v>
      </c>
      <c r="AO19">
        <f>IF($AZ19&lt;&gt;3,Person1!FQ19,0)</f>
        <v>0</v>
      </c>
      <c r="AP19">
        <f>IF($AZ19&lt;&gt;3,Person1!FR19,0)</f>
        <v>0</v>
      </c>
      <c r="AQ19" s="4">
        <f t="shared" si="15"/>
        <v>0</v>
      </c>
      <c r="AR19" s="4">
        <f>Person1!FS19</f>
        <v>0</v>
      </c>
      <c r="AS19" s="4">
        <f>$B$41*MAX(0,CHOOSE($AZ19,0,IF(AND(Person1!AW19&gt;=Person1!$B$36,AV19&gt;=$B$93),Person1!$B$35*(1+Person1!$B$37)^(Person1!$B$36-Person1!$B$11)*(1+Person1!$B$38)^(Person1!AW19-Person1!$B$36)-CHOOSE(Person1!$B$39+1,0,BD19,BE19,BD19+BE19),0),0,0))</f>
        <v>0</v>
      </c>
      <c r="AT19" s="4">
        <f t="shared" si="16"/>
        <v>0</v>
      </c>
      <c r="AV19">
        <f t="shared" si="111"/>
        <v>2029</v>
      </c>
      <c r="AW19">
        <f t="shared" si="111"/>
        <v>34</v>
      </c>
      <c r="AX19">
        <f t="shared" si="112"/>
        <v>1.2682417945625455</v>
      </c>
      <c r="AY19">
        <f t="shared" si="113"/>
        <v>0.78849317558165621</v>
      </c>
      <c r="AZ19">
        <f t="shared" si="114"/>
        <v>1</v>
      </c>
      <c r="BB19" s="4">
        <f t="shared" si="17"/>
        <v>53795.552969851902</v>
      </c>
      <c r="BC19">
        <f t="shared" si="18"/>
        <v>0</v>
      </c>
      <c r="BD19" s="4">
        <f t="shared" si="19"/>
        <v>0</v>
      </c>
      <c r="BE19" s="4">
        <f t="shared" si="115"/>
        <v>0</v>
      </c>
      <c r="BF19" s="4">
        <f t="shared" si="116"/>
        <v>0</v>
      </c>
      <c r="BG19" s="4">
        <f t="shared" si="117"/>
        <v>0</v>
      </c>
      <c r="BH19" s="4">
        <f t="shared" si="20"/>
        <v>0</v>
      </c>
      <c r="BI19" s="4">
        <f t="shared" si="118"/>
        <v>53795.552969851902</v>
      </c>
      <c r="BJ19" s="4"/>
      <c r="BK19" s="4">
        <f t="shared" si="21"/>
        <v>31706.044864063639</v>
      </c>
      <c r="BL19" s="4">
        <f t="shared" si="119"/>
        <v>0</v>
      </c>
      <c r="BM19" s="4">
        <f t="shared" si="120"/>
        <v>31706.044864063639</v>
      </c>
      <c r="BN19" s="4">
        <v>8969.218491884154</v>
      </c>
      <c r="BO19" s="4">
        <f t="shared" si="121"/>
        <v>40675.263355947791</v>
      </c>
      <c r="BP19" s="4">
        <f t="shared" si="122"/>
        <v>13120.289613904111</v>
      </c>
      <c r="BQ19" s="4"/>
      <c r="BR19" s="4">
        <v>0</v>
      </c>
      <c r="BS19" s="4">
        <f t="shared" ca="1" si="22"/>
        <v>9683.1995345733412</v>
      </c>
      <c r="BT19" s="4">
        <f t="shared" ca="1" si="23"/>
        <v>60130.166407427867</v>
      </c>
      <c r="BU19" s="4">
        <f t="shared" si="24"/>
        <v>0</v>
      </c>
      <c r="BV19" s="4">
        <f t="shared" si="25"/>
        <v>1</v>
      </c>
      <c r="BW19" s="4">
        <f t="shared" ca="1" si="26"/>
        <v>0</v>
      </c>
      <c r="BX19" s="4">
        <f t="shared" ca="1" si="27"/>
        <v>0</v>
      </c>
      <c r="BY19" s="4">
        <f t="shared" ca="1" si="28"/>
        <v>0</v>
      </c>
      <c r="BZ19" s="4">
        <f t="shared" ca="1" si="29"/>
        <v>0</v>
      </c>
      <c r="CA19" s="4">
        <f t="shared" ca="1" si="30"/>
        <v>0</v>
      </c>
      <c r="CB19" s="4">
        <f t="shared" ca="1" si="154"/>
        <v>0</v>
      </c>
      <c r="CC19" s="4"/>
      <c r="CD19" s="4">
        <f t="shared" ca="1" si="31"/>
        <v>53795.552969851902</v>
      </c>
      <c r="CE19" s="4">
        <f t="shared" ca="1" si="123"/>
        <v>40745.856049862312</v>
      </c>
      <c r="CF19" s="16">
        <f t="shared" si="32"/>
        <v>0</v>
      </c>
      <c r="CG19" s="4">
        <f t="shared" si="33"/>
        <v>3366.4973854162554</v>
      </c>
      <c r="CH19" s="4" t="e">
        <f t="shared" ca="1" si="34"/>
        <v>#NAME?</v>
      </c>
      <c r="CI19" s="4" t="e">
        <f t="shared" ca="1" si="35"/>
        <v>#NAME?</v>
      </c>
      <c r="CJ19" s="4" t="e">
        <f t="shared" ca="1" si="124"/>
        <v>#NAME?</v>
      </c>
      <c r="CK19" s="4" t="e">
        <f t="shared" ca="1" si="125"/>
        <v>#NAME?</v>
      </c>
      <c r="CL19" s="4" t="e">
        <f t="shared" ca="1" si="36"/>
        <v>#NAME?</v>
      </c>
      <c r="CM19" s="16"/>
      <c r="CN19" s="4">
        <f t="shared" si="37"/>
        <v>0</v>
      </c>
      <c r="CO19" s="4">
        <f t="shared" si="38"/>
        <v>0</v>
      </c>
      <c r="CP19" s="4">
        <f t="shared" ca="1" si="39"/>
        <v>259219.67059671486</v>
      </c>
      <c r="CQ19" s="4"/>
      <c r="CR19" s="4">
        <f t="shared" ca="1" si="40"/>
        <v>13120.289613904111</v>
      </c>
      <c r="CS19" s="4">
        <f t="shared" ca="1" si="41"/>
        <v>32820</v>
      </c>
      <c r="CT19" s="4">
        <f t="shared" ca="1" si="42"/>
        <v>9683.1995345733412</v>
      </c>
      <c r="CU19" s="4"/>
      <c r="CV19" s="4">
        <f t="shared" ca="1" si="126"/>
        <v>13120.289613904111</v>
      </c>
      <c r="CW19" s="4">
        <f t="shared" ca="1" si="43"/>
        <v>3227.7331781911139</v>
      </c>
      <c r="CX19" s="4">
        <f t="shared" ca="1" si="44"/>
        <v>3227.7331781911139</v>
      </c>
      <c r="CY19" s="4">
        <f t="shared" ca="1" si="127"/>
        <v>9892.556435712997</v>
      </c>
      <c r="CZ19" s="4"/>
      <c r="DA19" s="4">
        <f t="shared" ca="1" si="45"/>
        <v>9892.556435712997</v>
      </c>
      <c r="DB19" s="4">
        <f t="shared" si="46"/>
        <v>0</v>
      </c>
      <c r="DC19" s="4">
        <f t="shared" ca="1" si="128"/>
        <v>3227.7331781911139</v>
      </c>
      <c r="DD19" s="4">
        <f t="shared" ca="1" si="47"/>
        <v>6455.4663563822269</v>
      </c>
      <c r="DE19" s="4">
        <f t="shared" ca="1" si="48"/>
        <v>6455.4663563822269</v>
      </c>
      <c r="DF19" s="4">
        <f t="shared" ca="1" si="129"/>
        <v>0</v>
      </c>
      <c r="DG19" s="4">
        <f t="shared" ca="1" si="130"/>
        <v>6455.4663563822269</v>
      </c>
      <c r="DH19" s="4">
        <f t="shared" ca="1" si="49"/>
        <v>0</v>
      </c>
      <c r="DI19" s="4"/>
      <c r="DJ19" s="4">
        <f t="shared" ca="1" si="50"/>
        <v>3437.0900793307701</v>
      </c>
      <c r="DK19" s="4">
        <f t="shared" ca="1" si="51"/>
        <v>7000</v>
      </c>
      <c r="DL19" s="4">
        <f t="shared" ca="1" si="52"/>
        <v>7000</v>
      </c>
      <c r="DM19" s="4">
        <f t="shared" ca="1" si="53"/>
        <v>60130.166407427867</v>
      </c>
      <c r="DN19" s="4">
        <f t="shared" ca="1" si="54"/>
        <v>3437.0900793307701</v>
      </c>
      <c r="DO19" s="4">
        <f t="shared" ca="1" si="55"/>
        <v>56693.0763280971</v>
      </c>
      <c r="DP19" s="4"/>
      <c r="DQ19" s="4">
        <f t="shared" ca="1" si="56"/>
        <v>0</v>
      </c>
      <c r="DR19" s="4"/>
      <c r="DS19" s="4">
        <f t="shared" si="131"/>
        <v>0</v>
      </c>
      <c r="DT19" s="4">
        <f t="shared" si="57"/>
        <v>0</v>
      </c>
      <c r="DU19" s="4">
        <f t="shared" si="58"/>
        <v>0</v>
      </c>
      <c r="DV19" s="4"/>
      <c r="DW19" s="4">
        <f t="shared" ca="1" si="132"/>
        <v>181829.34653051393</v>
      </c>
      <c r="DX19" s="4">
        <f t="shared" ca="1" si="59"/>
        <v>13156.542524559267</v>
      </c>
      <c r="DY19" s="4">
        <f t="shared" ca="1" si="133"/>
        <v>9091.467326525697</v>
      </c>
      <c r="DZ19" s="4">
        <f t="shared" ca="1" si="60"/>
        <v>0</v>
      </c>
      <c r="EA19" s="4">
        <f t="shared" ca="1" si="61"/>
        <v>0</v>
      </c>
      <c r="EB19" s="4">
        <f t="shared" ca="1" si="62"/>
        <v>190920.81385703961</v>
      </c>
      <c r="EC19" s="4">
        <f t="shared" si="63"/>
        <v>1</v>
      </c>
      <c r="ED19" s="4"/>
      <c r="EE19" s="4">
        <f t="shared" ca="1" si="134"/>
        <v>43292.880170479737</v>
      </c>
      <c r="EF19" s="4">
        <f t="shared" ca="1" si="64"/>
        <v>3227.7331781911139</v>
      </c>
      <c r="EG19" s="4">
        <f t="shared" ca="1" si="135"/>
        <v>2164.6440085239869</v>
      </c>
      <c r="EH19" s="4">
        <f t="shared" ca="1" si="65"/>
        <v>0</v>
      </c>
      <c r="EI19" s="4">
        <f t="shared" ca="1" si="66"/>
        <v>0</v>
      </c>
      <c r="EJ19" s="4">
        <f t="shared" ca="1" si="67"/>
        <v>0</v>
      </c>
      <c r="EK19" s="4">
        <f t="shared" si="68"/>
        <v>1</v>
      </c>
      <c r="EL19" s="4">
        <f t="shared" si="69"/>
        <v>0</v>
      </c>
      <c r="EM19" s="4"/>
      <c r="EN19" s="4">
        <f t="shared" ca="1" si="136"/>
        <v>34097.44389572119</v>
      </c>
      <c r="EO19" s="4">
        <f t="shared" ca="1" si="70"/>
        <v>3437.0900793307701</v>
      </c>
      <c r="EP19" s="4">
        <f t="shared" ca="1" si="137"/>
        <v>1704.8721947860595</v>
      </c>
      <c r="EQ19" s="4">
        <f t="shared" ca="1" si="71"/>
        <v>0</v>
      </c>
      <c r="ER19" s="4">
        <v>0</v>
      </c>
      <c r="ES19" s="4">
        <f t="shared" ca="1" si="138"/>
        <v>35802.316090507251</v>
      </c>
      <c r="ET19" s="4"/>
      <c r="EU19" s="4">
        <f t="shared" ca="1" si="139"/>
        <v>0</v>
      </c>
      <c r="EV19" s="4">
        <f t="shared" ca="1" si="72"/>
        <v>0</v>
      </c>
      <c r="EW19" s="4">
        <f t="shared" ca="1" si="140"/>
        <v>0</v>
      </c>
      <c r="EX19" s="4">
        <f t="shared" ca="1" si="73"/>
        <v>0</v>
      </c>
      <c r="EY19" s="4">
        <v>0</v>
      </c>
      <c r="EZ19" s="4">
        <f t="shared" ca="1" si="141"/>
        <v>0</v>
      </c>
      <c r="FA19" s="4">
        <f t="shared" ca="1" si="142"/>
        <v>0</v>
      </c>
      <c r="FB19" s="1">
        <f t="shared" ca="1" si="74"/>
        <v>0</v>
      </c>
      <c r="FC19" s="4">
        <f t="shared" ca="1" si="143"/>
        <v>0</v>
      </c>
      <c r="FD19" s="4">
        <f t="shared" ca="1" si="144"/>
        <v>0</v>
      </c>
      <c r="FE19" s="4">
        <f t="shared" ca="1" si="75"/>
        <v>0</v>
      </c>
      <c r="FF19" s="4">
        <f t="shared" ca="1" si="76"/>
        <v>0</v>
      </c>
      <c r="FG19" s="4">
        <f t="shared" ca="1" si="77"/>
        <v>0</v>
      </c>
      <c r="FH19" s="17">
        <f t="shared" ca="1" si="78"/>
        <v>0</v>
      </c>
      <c r="FI19" s="4">
        <f t="shared" ca="1" si="79"/>
        <v>0</v>
      </c>
      <c r="FJ19" s="4"/>
      <c r="FK19" s="4">
        <f t="shared" ca="1" si="80"/>
        <v>226723.12994754687</v>
      </c>
      <c r="FL19" s="4"/>
      <c r="FM19" s="4">
        <v>0</v>
      </c>
      <c r="FN19" s="4">
        <v>0</v>
      </c>
      <c r="FO19" s="4">
        <v>0</v>
      </c>
      <c r="FP19" s="4">
        <v>0</v>
      </c>
      <c r="FQ19" s="4">
        <v>0</v>
      </c>
      <c r="FR19" s="4">
        <v>0</v>
      </c>
      <c r="FS19" s="4">
        <f t="shared" si="81"/>
        <v>0</v>
      </c>
      <c r="FT19" s="4">
        <f t="shared" ca="1" si="82"/>
        <v>0</v>
      </c>
      <c r="FU19" s="4"/>
      <c r="FV19" s="3">
        <f t="shared" si="83"/>
        <v>0.78849317558165621</v>
      </c>
      <c r="FW19" s="3">
        <f t="shared" si="84"/>
        <v>0.78849317558165621</v>
      </c>
      <c r="FX19" s="4">
        <f t="shared" si="145"/>
        <v>2029</v>
      </c>
      <c r="FY19" s="4">
        <f t="shared" si="85"/>
        <v>42.417426393369723</v>
      </c>
      <c r="FZ19" s="4">
        <f t="shared" si="86"/>
        <v>0</v>
      </c>
      <c r="GA19" s="4">
        <f t="shared" si="87"/>
        <v>0</v>
      </c>
      <c r="GB19" s="4">
        <f t="shared" si="88"/>
        <v>0</v>
      </c>
      <c r="GC19" s="4">
        <f t="shared" ca="1" si="89"/>
        <v>0</v>
      </c>
      <c r="GD19" s="4">
        <f t="shared" ca="1" si="90"/>
        <v>0</v>
      </c>
      <c r="GE19" s="4">
        <f t="shared" ca="1" si="91"/>
        <v>0</v>
      </c>
      <c r="GF19" s="4">
        <f t="shared" ca="1" si="92"/>
        <v>0</v>
      </c>
      <c r="GG19" s="18" t="e">
        <f t="shared" ca="1" si="93"/>
        <v>#NAME?</v>
      </c>
      <c r="GH19" s="18" t="e">
        <f t="shared" ca="1" si="94"/>
        <v>#NAME?</v>
      </c>
      <c r="GI19" s="4"/>
      <c r="GJ19" s="4">
        <f t="shared" si="95"/>
        <v>2029</v>
      </c>
      <c r="GK19" s="4">
        <f t="shared" ca="1" si="96"/>
        <v>143.37119885978234</v>
      </c>
      <c r="GL19" s="4">
        <f t="shared" ca="1" si="97"/>
        <v>34.13614056569768</v>
      </c>
      <c r="GM19" s="4">
        <f t="shared" ca="1" si="98"/>
        <v>26.885601816554562</v>
      </c>
      <c r="GN19" s="4">
        <f t="shared" ca="1" si="99"/>
        <v>0</v>
      </c>
      <c r="GO19" s="4"/>
      <c r="GP19" s="3">
        <f t="shared" ca="1" si="146"/>
        <v>0.84208794180465729</v>
      </c>
      <c r="GQ19" s="3">
        <f t="shared" ca="1" si="100"/>
        <v>0</v>
      </c>
      <c r="GR19" s="3">
        <f t="shared" ca="1" si="101"/>
        <v>0</v>
      </c>
      <c r="GS19" s="3">
        <f t="shared" ca="1" si="102"/>
        <v>0.15791205819534262</v>
      </c>
      <c r="GT19" s="3">
        <f t="array" aca="1" ref="GT19" ca="1">SUM(GP19:GS19*$GU$6:$GX$6)</f>
        <v>0.99999999999999989</v>
      </c>
      <c r="GU19" s="3">
        <f t="shared" ca="1" si="147"/>
        <v>0.8420879418046574</v>
      </c>
      <c r="GV19" s="3">
        <f t="shared" ca="1" si="148"/>
        <v>0</v>
      </c>
      <c r="GW19" s="3">
        <f t="shared" ca="1" si="149"/>
        <v>0</v>
      </c>
      <c r="GX19" s="3">
        <f t="shared" ca="1" si="150"/>
        <v>0.15791205819534265</v>
      </c>
      <c r="GY19" s="11"/>
      <c r="GZ19" s="27">
        <v>61</v>
      </c>
      <c r="HA19" s="29">
        <v>3.4500000000000003E-2</v>
      </c>
      <c r="HB19" s="29">
        <f t="shared" ca="1" si="151"/>
        <v>7.0400000000000004E-2</v>
      </c>
      <c r="HC19" s="29">
        <v>7.0400000000000004E-2</v>
      </c>
      <c r="HD19" s="29">
        <v>6.9000000000000006E-2</v>
      </c>
      <c r="HE19" s="29">
        <v>5.0599999999999999E-2</v>
      </c>
      <c r="HG19" s="27">
        <v>59</v>
      </c>
      <c r="HH19" s="30">
        <v>3.2300000000000002E-2</v>
      </c>
      <c r="HJ19">
        <f t="shared" si="153"/>
        <v>2022</v>
      </c>
      <c r="HK19" s="28">
        <f t="shared" si="157"/>
        <v>25140</v>
      </c>
      <c r="HL19" s="27">
        <f t="shared" si="155"/>
        <v>6000</v>
      </c>
      <c r="HM19" s="28">
        <f t="shared" si="156"/>
        <v>6193.8933059520004</v>
      </c>
      <c r="HO19">
        <f t="shared" ca="1" si="158"/>
        <v>126625</v>
      </c>
      <c r="HP19" s="4">
        <f t="shared" ca="1" si="159"/>
        <v>126625</v>
      </c>
      <c r="HQ19">
        <f t="shared" ca="1" si="160"/>
        <v>0.1</v>
      </c>
      <c r="HR19" s="4">
        <f t="shared" ref="HR19:HR24" ca="1" si="161">HQ19*(HP19-HP18)+HR18</f>
        <v>12662.5</v>
      </c>
      <c r="HT19" t="s">
        <v>171</v>
      </c>
      <c r="HV19">
        <f ca="1">OFFSET(HR47,0,$HP$15-1)</f>
        <v>18690</v>
      </c>
      <c r="HW19" s="4">
        <f ca="1">HV19*(1+$B$15)^($B$7-$HP$26)</f>
        <v>18690</v>
      </c>
    </row>
    <row r="20" spans="1:241" x14ac:dyDescent="0.25">
      <c r="A20" s="15" t="s">
        <v>79</v>
      </c>
      <c r="D20">
        <f t="shared" si="106"/>
        <v>2030</v>
      </c>
      <c r="E20">
        <f t="shared" si="106"/>
        <v>35</v>
      </c>
      <c r="F20" s="8"/>
      <c r="G20" s="8"/>
      <c r="H20" s="9"/>
      <c r="I20" s="9"/>
      <c r="J20" s="92"/>
      <c r="K20" s="91"/>
      <c r="L20" s="91"/>
      <c r="N20" s="93">
        <f t="shared" si="107"/>
        <v>0.05</v>
      </c>
      <c r="O20" s="23">
        <f t="shared" si="108"/>
        <v>0</v>
      </c>
      <c r="P20" s="23">
        <f t="shared" si="109"/>
        <v>0.4</v>
      </c>
      <c r="Q20" s="4">
        <f t="shared" si="0"/>
        <v>0</v>
      </c>
      <c r="R20" s="4">
        <f t="shared" si="110"/>
        <v>0</v>
      </c>
      <c r="S20" s="4">
        <f t="shared" si="1"/>
        <v>0</v>
      </c>
      <c r="T20" s="4">
        <f t="shared" ca="1" si="2"/>
        <v>0</v>
      </c>
      <c r="V20" s="18" t="e">
        <f t="shared" ca="1" si="3"/>
        <v>#NAME?</v>
      </c>
      <c r="W20" s="18" t="e">
        <f t="shared" ca="1" si="4"/>
        <v>#NAME?</v>
      </c>
      <c r="X20" s="18">
        <f t="shared" si="5"/>
        <v>0</v>
      </c>
      <c r="Y20" s="18">
        <f t="shared" ca="1" si="6"/>
        <v>5.115042594494585</v>
      </c>
      <c r="Z20" s="18">
        <f t="shared" ca="1" si="7"/>
        <v>2.557521297247292</v>
      </c>
      <c r="AA20" s="18">
        <f t="shared" ca="1" si="8"/>
        <v>2.8257279435264375</v>
      </c>
      <c r="AB20" s="18">
        <f t="shared" ca="1" si="9"/>
        <v>0</v>
      </c>
      <c r="AC20" s="18">
        <f t="shared" ca="1" si="10"/>
        <v>157.75843411532969</v>
      </c>
      <c r="AD20" s="18">
        <f t="shared" ca="1" si="11"/>
        <v>37.635287429004663</v>
      </c>
      <c r="AE20" s="18">
        <f t="shared" ca="1" si="12"/>
        <v>30.333337234111784</v>
      </c>
      <c r="AF20" s="18">
        <f t="shared" ca="1" si="13"/>
        <v>0</v>
      </c>
      <c r="AG20" s="18">
        <f t="shared" ca="1" si="14"/>
        <v>225.72705877844615</v>
      </c>
      <c r="AI20">
        <f>Person1!E20</f>
        <v>35</v>
      </c>
      <c r="AJ20">
        <f>Person1!AZ20</f>
        <v>1</v>
      </c>
      <c r="AK20">
        <f>IF(AZ20&lt;&gt;3,Person1!FM20,0)</f>
        <v>0</v>
      </c>
      <c r="AL20" s="4">
        <f ca="1">IF($AZ20&lt;&gt;3,Person1!FN20+Person1!FT20,0)</f>
        <v>6902.1084532223504</v>
      </c>
      <c r="AM20">
        <f>IF($AZ20&lt;&gt;3,Person1!FO20,0)</f>
        <v>0</v>
      </c>
      <c r="AN20">
        <f>IF($AZ20&lt;&gt;3,Person1!FP20,0)</f>
        <v>0</v>
      </c>
      <c r="AO20">
        <f>IF($AZ20&lt;&gt;3,Person1!FQ20,0)</f>
        <v>0</v>
      </c>
      <c r="AP20">
        <f>IF($AZ20&lt;&gt;3,Person1!FR20,0)</f>
        <v>0</v>
      </c>
      <c r="AQ20" s="4">
        <f t="shared" si="15"/>
        <v>0</v>
      </c>
      <c r="AR20" s="4">
        <f>Person1!FS20</f>
        <v>0</v>
      </c>
      <c r="AS20" s="4">
        <f>$B$41*MAX(0,CHOOSE($AZ20,0,IF(AND(Person1!AW20&gt;=Person1!$B$36,AV20&gt;=$B$93),Person1!$B$35*(1+Person1!$B$37)^(Person1!$B$36-Person1!$B$11)*(1+Person1!$B$38)^(Person1!AW20-Person1!$B$36)-CHOOSE(Person1!$B$39+1,0,BD20,BE20,BD20+BE20),0),0,0))</f>
        <v>0</v>
      </c>
      <c r="AT20" s="4">
        <f t="shared" si="16"/>
        <v>0</v>
      </c>
      <c r="AV20">
        <f t="shared" si="111"/>
        <v>2030</v>
      </c>
      <c r="AW20">
        <f t="shared" si="111"/>
        <v>35</v>
      </c>
      <c r="AX20">
        <f t="shared" si="112"/>
        <v>1.2936066304537963</v>
      </c>
      <c r="AY20">
        <f t="shared" si="113"/>
        <v>0.77303252508005516</v>
      </c>
      <c r="AZ20">
        <f t="shared" si="114"/>
        <v>1</v>
      </c>
      <c r="BB20" s="4">
        <f t="shared" si="17"/>
        <v>55140.441794098195</v>
      </c>
      <c r="BC20">
        <f t="shared" si="18"/>
        <v>0</v>
      </c>
      <c r="BD20" s="4">
        <f t="shared" si="19"/>
        <v>0</v>
      </c>
      <c r="BE20" s="4">
        <f t="shared" si="115"/>
        <v>0</v>
      </c>
      <c r="BF20" s="4">
        <f t="shared" si="116"/>
        <v>0</v>
      </c>
      <c r="BG20" s="4">
        <f t="shared" si="117"/>
        <v>0</v>
      </c>
      <c r="BH20" s="4">
        <f t="shared" si="20"/>
        <v>0</v>
      </c>
      <c r="BI20" s="4">
        <f t="shared" si="118"/>
        <v>55140.441794098195</v>
      </c>
      <c r="BJ20" s="4"/>
      <c r="BK20" s="4">
        <f t="shared" si="21"/>
        <v>32340.165761344906</v>
      </c>
      <c r="BL20" s="4">
        <f t="shared" si="119"/>
        <v>0</v>
      </c>
      <c r="BM20" s="4">
        <f t="shared" si="120"/>
        <v>32340.165761344906</v>
      </c>
      <c r="BN20" s="4">
        <v>9219.6161062112424</v>
      </c>
      <c r="BO20" s="4">
        <f t="shared" si="121"/>
        <v>41559.78186755615</v>
      </c>
      <c r="BP20" s="4">
        <f t="shared" si="122"/>
        <v>13580.659926542045</v>
      </c>
      <c r="BQ20" s="4"/>
      <c r="BR20" s="4">
        <v>0</v>
      </c>
      <c r="BS20" s="4">
        <f t="shared" ca="1" si="22"/>
        <v>9925.2795229376752</v>
      </c>
      <c r="BT20" s="4">
        <f t="shared" ca="1" si="23"/>
        <v>64193.0763280971</v>
      </c>
      <c r="BU20" s="4">
        <f t="shared" si="24"/>
        <v>0</v>
      </c>
      <c r="BV20" s="4">
        <f t="shared" si="25"/>
        <v>1</v>
      </c>
      <c r="BW20" s="4">
        <f t="shared" ca="1" si="26"/>
        <v>0</v>
      </c>
      <c r="BX20" s="4">
        <f t="shared" ca="1" si="27"/>
        <v>0</v>
      </c>
      <c r="BY20" s="4">
        <f t="shared" ca="1" si="28"/>
        <v>0</v>
      </c>
      <c r="BZ20" s="4">
        <f t="shared" ca="1" si="29"/>
        <v>0</v>
      </c>
      <c r="CA20" s="4">
        <f t="shared" ca="1" si="30"/>
        <v>0</v>
      </c>
      <c r="CB20" s="4">
        <f t="shared" ca="1" si="154"/>
        <v>0</v>
      </c>
      <c r="CC20" s="4"/>
      <c r="CD20" s="4">
        <f t="shared" ca="1" si="31"/>
        <v>55140.441794098195</v>
      </c>
      <c r="CE20" s="4">
        <f t="shared" ca="1" si="123"/>
        <v>41760.17120110886</v>
      </c>
      <c r="CF20" s="16">
        <f t="shared" si="32"/>
        <v>0</v>
      </c>
      <c r="CG20" s="4">
        <f t="shared" si="33"/>
        <v>3454.9910700516612</v>
      </c>
      <c r="CH20" s="4" t="e">
        <f t="shared" ca="1" si="34"/>
        <v>#NAME?</v>
      </c>
      <c r="CI20" s="4" t="e">
        <f t="shared" ca="1" si="35"/>
        <v>#NAME?</v>
      </c>
      <c r="CJ20" s="4" t="e">
        <f t="shared" ca="1" si="124"/>
        <v>#NAME?</v>
      </c>
      <c r="CK20" s="4" t="e">
        <f t="shared" ca="1" si="125"/>
        <v>#NAME?</v>
      </c>
      <c r="CL20" s="4" t="e">
        <f t="shared" ca="1" si="36"/>
        <v>#NAME?</v>
      </c>
      <c r="CM20" s="16"/>
      <c r="CN20" s="4">
        <f t="shared" si="37"/>
        <v>0</v>
      </c>
      <c r="CO20" s="4">
        <f t="shared" si="38"/>
        <v>0</v>
      </c>
      <c r="CP20" s="4">
        <f t="shared" ca="1" si="39"/>
        <v>292002.01990863174</v>
      </c>
      <c r="CQ20" s="4"/>
      <c r="CR20" s="4">
        <f t="shared" ca="1" si="40"/>
        <v>13580.659926542045</v>
      </c>
      <c r="CS20" s="4">
        <f t="shared" ca="1" si="41"/>
        <v>33480</v>
      </c>
      <c r="CT20" s="4">
        <f t="shared" ca="1" si="42"/>
        <v>9925.2795229376752</v>
      </c>
      <c r="CU20" s="4"/>
      <c r="CV20" s="4">
        <f t="shared" ca="1" si="126"/>
        <v>13580.659926542045</v>
      </c>
      <c r="CW20" s="4">
        <f t="shared" ca="1" si="43"/>
        <v>3308.4265076458914</v>
      </c>
      <c r="CX20" s="4">
        <f t="shared" ca="1" si="44"/>
        <v>3308.4265076458914</v>
      </c>
      <c r="CY20" s="4">
        <f t="shared" ca="1" si="127"/>
        <v>10272.233418896154</v>
      </c>
      <c r="CZ20" s="4"/>
      <c r="DA20" s="4">
        <f t="shared" ca="1" si="45"/>
        <v>10272.233418896154</v>
      </c>
      <c r="DB20" s="4">
        <f t="shared" si="46"/>
        <v>0</v>
      </c>
      <c r="DC20" s="4">
        <f t="shared" ca="1" si="128"/>
        <v>3308.4265076458914</v>
      </c>
      <c r="DD20" s="4">
        <f t="shared" ca="1" si="47"/>
        <v>6616.8530152917838</v>
      </c>
      <c r="DE20" s="4">
        <f t="shared" ca="1" si="48"/>
        <v>6616.8530152917838</v>
      </c>
      <c r="DF20" s="4">
        <f t="shared" ca="1" si="129"/>
        <v>0</v>
      </c>
      <c r="DG20" s="4">
        <f t="shared" ca="1" si="130"/>
        <v>6616.8530152917838</v>
      </c>
      <c r="DH20" s="4">
        <f t="shared" ca="1" si="49"/>
        <v>0</v>
      </c>
      <c r="DI20" s="4"/>
      <c r="DJ20" s="4">
        <f t="shared" ca="1" si="50"/>
        <v>3655.3804036043703</v>
      </c>
      <c r="DK20" s="4">
        <f t="shared" ca="1" si="51"/>
        <v>7500</v>
      </c>
      <c r="DL20" s="4">
        <f t="shared" ca="1" si="52"/>
        <v>7500</v>
      </c>
      <c r="DM20" s="4">
        <f t="shared" ca="1" si="53"/>
        <v>64193.0763280971</v>
      </c>
      <c r="DN20" s="4">
        <f t="shared" ca="1" si="54"/>
        <v>3655.3804036043703</v>
      </c>
      <c r="DO20" s="4">
        <f t="shared" ca="1" si="55"/>
        <v>60537.695924492727</v>
      </c>
      <c r="DP20" s="4"/>
      <c r="DQ20" s="4">
        <f t="shared" ca="1" si="56"/>
        <v>0</v>
      </c>
      <c r="DR20" s="4"/>
      <c r="DS20" s="4">
        <f t="shared" si="131"/>
        <v>0</v>
      </c>
      <c r="DT20" s="4">
        <f t="shared" si="57"/>
        <v>0</v>
      </c>
      <c r="DU20" s="4">
        <f t="shared" si="58"/>
        <v>0</v>
      </c>
      <c r="DV20" s="4"/>
      <c r="DW20" s="4">
        <f t="shared" ca="1" si="132"/>
        <v>204077.35638159889</v>
      </c>
      <c r="DX20" s="4">
        <f t="shared" ca="1" si="59"/>
        <v>13518.961468514135</v>
      </c>
      <c r="DY20" s="4">
        <f t="shared" ca="1" si="133"/>
        <v>10203.867819079946</v>
      </c>
      <c r="DZ20" s="4">
        <f t="shared" ca="1" si="60"/>
        <v>0</v>
      </c>
      <c r="EA20" s="4">
        <f t="shared" ca="1" si="61"/>
        <v>0</v>
      </c>
      <c r="EB20" s="4">
        <f t="shared" ca="1" si="62"/>
        <v>214281.22420067884</v>
      </c>
      <c r="EC20" s="4">
        <f t="shared" si="63"/>
        <v>1</v>
      </c>
      <c r="ED20" s="4"/>
      <c r="EE20" s="4">
        <f t="shared" ca="1" si="134"/>
        <v>48685.257357194838</v>
      </c>
      <c r="EF20" s="4">
        <f t="shared" ca="1" si="64"/>
        <v>3308.4265076458914</v>
      </c>
      <c r="EG20" s="4">
        <f t="shared" ca="1" si="135"/>
        <v>2434.2628678597421</v>
      </c>
      <c r="EH20" s="4">
        <f t="shared" ca="1" si="65"/>
        <v>0</v>
      </c>
      <c r="EI20" s="4">
        <f t="shared" ca="1" si="66"/>
        <v>0</v>
      </c>
      <c r="EJ20" s="4">
        <f t="shared" ca="1" si="67"/>
        <v>0</v>
      </c>
      <c r="EK20" s="4">
        <f t="shared" si="68"/>
        <v>1</v>
      </c>
      <c r="EL20" s="4">
        <f t="shared" si="69"/>
        <v>0</v>
      </c>
      <c r="EM20" s="4"/>
      <c r="EN20" s="4">
        <f t="shared" ca="1" si="136"/>
        <v>39239.406169838025</v>
      </c>
      <c r="EO20" s="4">
        <f t="shared" ca="1" si="70"/>
        <v>3655.3804036043703</v>
      </c>
      <c r="EP20" s="4">
        <f t="shared" ca="1" si="137"/>
        <v>1961.9703084919013</v>
      </c>
      <c r="EQ20" s="4">
        <f t="shared" ca="1" si="71"/>
        <v>0</v>
      </c>
      <c r="ER20" s="4">
        <v>0</v>
      </c>
      <c r="ES20" s="4">
        <f t="shared" ca="1" si="138"/>
        <v>41201.376478329927</v>
      </c>
      <c r="ET20" s="4"/>
      <c r="EU20" s="4">
        <f t="shared" ca="1" si="139"/>
        <v>0</v>
      </c>
      <c r="EV20" s="4">
        <f t="shared" ca="1" si="72"/>
        <v>0</v>
      </c>
      <c r="EW20" s="4">
        <f t="shared" ca="1" si="140"/>
        <v>0</v>
      </c>
      <c r="EX20" s="4">
        <f t="shared" ca="1" si="73"/>
        <v>0</v>
      </c>
      <c r="EY20" s="4">
        <v>0</v>
      </c>
      <c r="EZ20" s="4">
        <f t="shared" ca="1" si="141"/>
        <v>0</v>
      </c>
      <c r="FA20" s="4">
        <f t="shared" ca="1" si="142"/>
        <v>0</v>
      </c>
      <c r="FB20" s="1">
        <f t="shared" ca="1" si="74"/>
        <v>0</v>
      </c>
      <c r="FC20" s="4">
        <f t="shared" ca="1" si="143"/>
        <v>0</v>
      </c>
      <c r="FD20" s="4">
        <f t="shared" ca="1" si="144"/>
        <v>0</v>
      </c>
      <c r="FE20" s="4">
        <f t="shared" ca="1" si="75"/>
        <v>0</v>
      </c>
      <c r="FF20" s="4">
        <f t="shared" ca="1" si="76"/>
        <v>0</v>
      </c>
      <c r="FG20" s="4">
        <f t="shared" ca="1" si="77"/>
        <v>0</v>
      </c>
      <c r="FH20" s="17">
        <f t="shared" ca="1" si="78"/>
        <v>0</v>
      </c>
      <c r="FI20" s="4">
        <f t="shared" ca="1" si="79"/>
        <v>0</v>
      </c>
      <c r="FJ20" s="4"/>
      <c r="FK20" s="4">
        <f t="shared" ca="1" si="80"/>
        <v>255482.60067900876</v>
      </c>
      <c r="FL20" s="4"/>
      <c r="FM20" s="4">
        <v>0</v>
      </c>
      <c r="FN20" s="4">
        <v>0</v>
      </c>
      <c r="FO20" s="4">
        <v>0</v>
      </c>
      <c r="FP20" s="4">
        <v>0</v>
      </c>
      <c r="FQ20" s="4">
        <v>0</v>
      </c>
      <c r="FR20" s="4">
        <v>0</v>
      </c>
      <c r="FS20" s="4">
        <f t="shared" si="81"/>
        <v>0</v>
      </c>
      <c r="FT20" s="4">
        <f t="shared" ca="1" si="82"/>
        <v>0</v>
      </c>
      <c r="FU20" s="4"/>
      <c r="FV20" s="3">
        <f t="shared" si="83"/>
        <v>0.77303252508005516</v>
      </c>
      <c r="FW20" s="3">
        <f t="shared" si="84"/>
        <v>0.77303252508005516</v>
      </c>
      <c r="FX20" s="4">
        <f t="shared" si="145"/>
        <v>2030</v>
      </c>
      <c r="FY20" s="4">
        <f t="shared" si="85"/>
        <v>42.625354954121534</v>
      </c>
      <c r="FZ20" s="4">
        <f t="shared" si="86"/>
        <v>0</v>
      </c>
      <c r="GA20" s="4">
        <f t="shared" si="87"/>
        <v>0</v>
      </c>
      <c r="GB20" s="4">
        <f t="shared" si="88"/>
        <v>0</v>
      </c>
      <c r="GC20" s="4">
        <f t="shared" ca="1" si="89"/>
        <v>0</v>
      </c>
      <c r="GD20" s="4">
        <f t="shared" ca="1" si="90"/>
        <v>0</v>
      </c>
      <c r="GE20" s="4">
        <f t="shared" ca="1" si="91"/>
        <v>0</v>
      </c>
      <c r="GF20" s="4">
        <f t="shared" ca="1" si="92"/>
        <v>0</v>
      </c>
      <c r="GG20" s="18" t="e">
        <f t="shared" ca="1" si="93"/>
        <v>#NAME?</v>
      </c>
      <c r="GH20" s="18" t="e">
        <f t="shared" ca="1" si="94"/>
        <v>#NAME?</v>
      </c>
      <c r="GI20" s="4"/>
      <c r="GJ20" s="4">
        <f t="shared" si="95"/>
        <v>2030</v>
      </c>
      <c r="GK20" s="4">
        <f t="shared" ca="1" si="96"/>
        <v>157.75843411532969</v>
      </c>
      <c r="GL20" s="4">
        <f t="shared" ca="1" si="97"/>
        <v>37.635287429004663</v>
      </c>
      <c r="GM20" s="4">
        <f t="shared" ca="1" si="98"/>
        <v>30.333337234111784</v>
      </c>
      <c r="GN20" s="4">
        <f t="shared" ca="1" si="99"/>
        <v>0</v>
      </c>
      <c r="GO20" s="4"/>
      <c r="GP20" s="3">
        <f t="shared" ca="1" si="146"/>
        <v>0.83873118416351256</v>
      </c>
      <c r="GQ20" s="3">
        <f t="shared" ca="1" si="100"/>
        <v>0</v>
      </c>
      <c r="GR20" s="3">
        <f t="shared" ca="1" si="101"/>
        <v>0</v>
      </c>
      <c r="GS20" s="3">
        <f t="shared" ca="1" si="102"/>
        <v>0.16126881583648744</v>
      </c>
      <c r="GT20" s="3">
        <f t="array" aca="1" ref="GT20" ca="1">SUM(GP20:GS20*$GU$6:$GX$6)</f>
        <v>1</v>
      </c>
      <c r="GU20" s="3">
        <f t="shared" ca="1" si="147"/>
        <v>0.83873118416351256</v>
      </c>
      <c r="GV20" s="3">
        <f t="shared" ca="1" si="148"/>
        <v>0</v>
      </c>
      <c r="GW20" s="3">
        <f t="shared" ca="1" si="149"/>
        <v>0</v>
      </c>
      <c r="GX20" s="3">
        <f t="shared" ca="1" si="150"/>
        <v>0.16126881583648744</v>
      </c>
      <c r="GY20" s="11"/>
      <c r="GZ20" s="27">
        <v>62</v>
      </c>
      <c r="HA20" s="29">
        <v>3.5700000000000003E-2</v>
      </c>
      <c r="HB20" s="29">
        <f t="shared" ca="1" si="151"/>
        <v>7.1400000000000005E-2</v>
      </c>
      <c r="HC20" s="29">
        <v>7.1400000000000005E-2</v>
      </c>
      <c r="HD20" s="29">
        <v>7.0000000000000007E-2</v>
      </c>
      <c r="HE20" s="29">
        <v>5.1499999999999997E-2</v>
      </c>
      <c r="HG20" s="27">
        <v>60</v>
      </c>
      <c r="HH20" s="30">
        <v>3.3300000000000003E-2</v>
      </c>
      <c r="HJ20">
        <f t="shared" si="153"/>
        <v>2023</v>
      </c>
      <c r="HK20" s="28">
        <f t="shared" si="157"/>
        <v>25650</v>
      </c>
      <c r="HL20" s="27">
        <f t="shared" si="155"/>
        <v>6500</v>
      </c>
      <c r="HM20" s="28">
        <f t="shared" si="156"/>
        <v>6317.7711720710404</v>
      </c>
      <c r="HO20">
        <f t="shared" ca="1" si="158"/>
        <v>151950</v>
      </c>
      <c r="HP20" s="4">
        <f t="shared" ca="1" si="159"/>
        <v>151950</v>
      </c>
      <c r="HQ20">
        <f t="shared" ca="1" si="160"/>
        <v>0.12</v>
      </c>
      <c r="HR20" s="4">
        <f t="shared" ca="1" si="161"/>
        <v>15701.5</v>
      </c>
      <c r="HT20" t="s">
        <v>172</v>
      </c>
      <c r="HV20">
        <f ca="1">OFFSET(HR48,0,$HP$15-1)</f>
        <v>5208</v>
      </c>
      <c r="HW20" s="4">
        <f ca="1">HV20*(1+$B$15)^($B$7-$HP$26)</f>
        <v>5208</v>
      </c>
    </row>
    <row r="21" spans="1:241" x14ac:dyDescent="0.25">
      <c r="A21" t="s">
        <v>59</v>
      </c>
      <c r="B21" s="62">
        <f>Inputs_Summary!AK18</f>
        <v>40000</v>
      </c>
      <c r="D21">
        <f t="shared" si="106"/>
        <v>2031</v>
      </c>
      <c r="E21">
        <f t="shared" si="106"/>
        <v>36</v>
      </c>
      <c r="F21" s="8"/>
      <c r="G21" s="8"/>
      <c r="H21" s="9"/>
      <c r="I21" s="9"/>
      <c r="J21" s="92"/>
      <c r="K21" s="91"/>
      <c r="L21" s="91"/>
      <c r="N21" s="93">
        <f t="shared" si="107"/>
        <v>0.05</v>
      </c>
      <c r="O21" s="23">
        <f t="shared" si="108"/>
        <v>0</v>
      </c>
      <c r="P21" s="23">
        <f t="shared" si="109"/>
        <v>0.4</v>
      </c>
      <c r="Q21" s="4">
        <f t="shared" si="0"/>
        <v>0</v>
      </c>
      <c r="R21" s="4">
        <f t="shared" si="110"/>
        <v>0</v>
      </c>
      <c r="S21" s="4">
        <f t="shared" si="1"/>
        <v>0</v>
      </c>
      <c r="T21" s="4">
        <f t="shared" ca="1" si="2"/>
        <v>0</v>
      </c>
      <c r="V21" s="18" t="e">
        <f t="shared" ca="1" si="3"/>
        <v>#NAME?</v>
      </c>
      <c r="W21" s="18" t="e">
        <f t="shared" ca="1" si="4"/>
        <v>#NAME?</v>
      </c>
      <c r="X21" s="18">
        <f t="shared" si="5"/>
        <v>0</v>
      </c>
      <c r="Y21" s="18">
        <f t="shared" ca="1" si="6"/>
        <v>5.1401163327028909</v>
      </c>
      <c r="Z21" s="18">
        <f t="shared" ca="1" si="7"/>
        <v>2.5700581663514455</v>
      </c>
      <c r="AA21" s="18">
        <f t="shared" ca="1" si="8"/>
        <v>2.9419497492856892</v>
      </c>
      <c r="AB21" s="18">
        <f t="shared" ca="1" si="9"/>
        <v>0</v>
      </c>
      <c r="AC21" s="18">
        <f t="shared" ca="1" si="10"/>
        <v>172.64407131525653</v>
      </c>
      <c r="AD21" s="18">
        <f t="shared" ca="1" si="11"/>
        <v>41.249581468335471</v>
      </c>
      <c r="AE21" s="18">
        <f t="shared" ca="1" si="12"/>
        <v>33.995815724846878</v>
      </c>
      <c r="AF21" s="18">
        <f t="shared" ca="1" si="13"/>
        <v>0</v>
      </c>
      <c r="AG21" s="18">
        <f t="shared" ca="1" si="14"/>
        <v>247.88946850843885</v>
      </c>
      <c r="AI21">
        <f>Person1!E21</f>
        <v>36</v>
      </c>
      <c r="AJ21">
        <f>Person1!AZ21</f>
        <v>1</v>
      </c>
      <c r="AK21">
        <f>IF(AZ21&lt;&gt;3,Person1!FM21,0)</f>
        <v>0</v>
      </c>
      <c r="AL21" s="4">
        <f ca="1">IF($AZ21&lt;&gt;3,Person1!FN21+Person1!FT21,0)</f>
        <v>7109.171706819021</v>
      </c>
      <c r="AM21">
        <f>IF($AZ21&lt;&gt;3,Person1!FO21,0)</f>
        <v>0</v>
      </c>
      <c r="AN21">
        <f>IF($AZ21&lt;&gt;3,Person1!FP21,0)</f>
        <v>0</v>
      </c>
      <c r="AO21">
        <f>IF($AZ21&lt;&gt;3,Person1!FQ21,0)</f>
        <v>0</v>
      </c>
      <c r="AP21">
        <f>IF($AZ21&lt;&gt;3,Person1!FR21,0)</f>
        <v>0</v>
      </c>
      <c r="AQ21" s="4">
        <f t="shared" si="15"/>
        <v>0</v>
      </c>
      <c r="AR21" s="4">
        <f>Person1!FS21</f>
        <v>0</v>
      </c>
      <c r="AS21" s="4">
        <f>$B$41*MAX(0,CHOOSE($AZ21,0,IF(AND(Person1!AW21&gt;=Person1!$B$36,AV21&gt;=$B$93),Person1!$B$35*(1+Person1!$B$37)^(Person1!$B$36-Person1!$B$11)*(1+Person1!$B$38)^(Person1!AW21-Person1!$B$36)-CHOOSE(Person1!$B$39+1,0,BD21,BE21,BD21+BE21),0),0,0))</f>
        <v>0</v>
      </c>
      <c r="AT21" s="4">
        <f t="shared" si="16"/>
        <v>0</v>
      </c>
      <c r="AV21">
        <f t="shared" si="111"/>
        <v>2031</v>
      </c>
      <c r="AW21">
        <f t="shared" si="111"/>
        <v>36</v>
      </c>
      <c r="AX21">
        <f t="shared" si="112"/>
        <v>1.3194787630628724</v>
      </c>
      <c r="AY21">
        <f t="shared" si="113"/>
        <v>0.75787502458828937</v>
      </c>
      <c r="AZ21">
        <f t="shared" si="114"/>
        <v>1</v>
      </c>
      <c r="BB21" s="4">
        <f t="shared" si="17"/>
        <v>56518.952838950645</v>
      </c>
      <c r="BC21">
        <f t="shared" si="18"/>
        <v>0</v>
      </c>
      <c r="BD21" s="4">
        <f t="shared" si="19"/>
        <v>0</v>
      </c>
      <c r="BE21" s="4">
        <f t="shared" si="115"/>
        <v>0</v>
      </c>
      <c r="BF21" s="4">
        <f t="shared" si="116"/>
        <v>0</v>
      </c>
      <c r="BG21" s="4">
        <f t="shared" si="117"/>
        <v>0</v>
      </c>
      <c r="BH21" s="4">
        <f t="shared" si="20"/>
        <v>0</v>
      </c>
      <c r="BI21" s="4">
        <f t="shared" si="118"/>
        <v>56518.952838950645</v>
      </c>
      <c r="BJ21" s="4"/>
      <c r="BK21" s="4">
        <f t="shared" si="21"/>
        <v>32986.969076571811</v>
      </c>
      <c r="BL21" s="4">
        <f t="shared" si="119"/>
        <v>0</v>
      </c>
      <c r="BM21" s="4">
        <f t="shared" si="120"/>
        <v>32986.969076571811</v>
      </c>
      <c r="BN21" s="4">
        <v>9476.7320351871113</v>
      </c>
      <c r="BO21" s="4">
        <f t="shared" si="121"/>
        <v>42463.701111758921</v>
      </c>
      <c r="BP21" s="4">
        <f t="shared" si="122"/>
        <v>14055.251727191724</v>
      </c>
      <c r="BQ21" s="4"/>
      <c r="BR21" s="4">
        <v>0</v>
      </c>
      <c r="BS21" s="4">
        <f t="shared" ca="1" si="22"/>
        <v>10173.411511011116</v>
      </c>
      <c r="BT21" s="4">
        <f t="shared" ca="1" si="23"/>
        <v>68037.695924492727</v>
      </c>
      <c r="BU21" s="4">
        <f t="shared" si="24"/>
        <v>0</v>
      </c>
      <c r="BV21" s="4">
        <f t="shared" si="25"/>
        <v>1</v>
      </c>
      <c r="BW21" s="4">
        <f t="shared" ca="1" si="26"/>
        <v>0</v>
      </c>
      <c r="BX21" s="4">
        <f t="shared" ca="1" si="27"/>
        <v>0</v>
      </c>
      <c r="BY21" s="4">
        <f t="shared" ca="1" si="28"/>
        <v>0</v>
      </c>
      <c r="BZ21" s="4">
        <f t="shared" ca="1" si="29"/>
        <v>0</v>
      </c>
      <c r="CA21" s="4">
        <f t="shared" ca="1" si="30"/>
        <v>0</v>
      </c>
      <c r="CB21" s="4">
        <f t="shared" ca="1" si="154"/>
        <v>0</v>
      </c>
      <c r="CC21" s="4"/>
      <c r="CD21" s="4">
        <f t="shared" ca="1" si="31"/>
        <v>56518.952838950645</v>
      </c>
      <c r="CE21" s="4">
        <f t="shared" ca="1" si="123"/>
        <v>42799.84423113658</v>
      </c>
      <c r="CF21" s="16">
        <f t="shared" si="32"/>
        <v>0</v>
      </c>
      <c r="CG21" s="4">
        <f t="shared" si="33"/>
        <v>3545.6970968029527</v>
      </c>
      <c r="CH21" s="4" t="e">
        <f t="shared" ca="1" si="34"/>
        <v>#NAME?</v>
      </c>
      <c r="CI21" s="4" t="e">
        <f t="shared" ca="1" si="35"/>
        <v>#NAME?</v>
      </c>
      <c r="CJ21" s="4" t="e">
        <f t="shared" ca="1" si="124"/>
        <v>#NAME?</v>
      </c>
      <c r="CK21" s="4" t="e">
        <f t="shared" ca="1" si="125"/>
        <v>#NAME?</v>
      </c>
      <c r="CL21" s="4" t="e">
        <f t="shared" ca="1" si="36"/>
        <v>#NAME?</v>
      </c>
      <c r="CM21" s="16"/>
      <c r="CN21" s="4">
        <f t="shared" si="37"/>
        <v>0</v>
      </c>
      <c r="CO21" s="4">
        <f t="shared" si="38"/>
        <v>0</v>
      </c>
      <c r="CP21" s="4">
        <f t="shared" ca="1" si="39"/>
        <v>327084.88928382774</v>
      </c>
      <c r="CQ21" s="4"/>
      <c r="CR21" s="4">
        <f t="shared" ca="1" si="40"/>
        <v>14055.251727191724</v>
      </c>
      <c r="CS21" s="4">
        <f t="shared" ca="1" si="41"/>
        <v>34140</v>
      </c>
      <c r="CT21" s="4">
        <f t="shared" ca="1" si="42"/>
        <v>10173.411511011116</v>
      </c>
      <c r="CU21" s="4"/>
      <c r="CV21" s="4">
        <f t="shared" ca="1" si="126"/>
        <v>14055.251727191724</v>
      </c>
      <c r="CW21" s="4">
        <f t="shared" ca="1" si="43"/>
        <v>3391.1371703370387</v>
      </c>
      <c r="CX21" s="4">
        <f t="shared" ca="1" si="44"/>
        <v>3391.1371703370387</v>
      </c>
      <c r="CY21" s="4">
        <f t="shared" ca="1" si="127"/>
        <v>10664.114556854685</v>
      </c>
      <c r="CZ21" s="4"/>
      <c r="DA21" s="4">
        <f t="shared" ca="1" si="45"/>
        <v>10664.114556854685</v>
      </c>
      <c r="DB21" s="4">
        <f t="shared" si="46"/>
        <v>0</v>
      </c>
      <c r="DC21" s="4">
        <f t="shared" ca="1" si="128"/>
        <v>3391.1371703370387</v>
      </c>
      <c r="DD21" s="4">
        <f t="shared" ca="1" si="47"/>
        <v>6782.2743406740774</v>
      </c>
      <c r="DE21" s="4">
        <f t="shared" ca="1" si="48"/>
        <v>6782.2743406740774</v>
      </c>
      <c r="DF21" s="4">
        <f t="shared" ca="1" si="129"/>
        <v>0</v>
      </c>
      <c r="DG21" s="4">
        <f t="shared" ca="1" si="130"/>
        <v>6782.2743406740774</v>
      </c>
      <c r="DH21" s="4">
        <f t="shared" ca="1" si="49"/>
        <v>0</v>
      </c>
      <c r="DI21" s="4"/>
      <c r="DJ21" s="4">
        <f t="shared" ca="1" si="50"/>
        <v>3881.840216180608</v>
      </c>
      <c r="DK21" s="4">
        <f t="shared" ca="1" si="51"/>
        <v>7500</v>
      </c>
      <c r="DL21" s="4">
        <f t="shared" ca="1" si="52"/>
        <v>7500</v>
      </c>
      <c r="DM21" s="4">
        <f t="shared" ca="1" si="53"/>
        <v>68037.695924492727</v>
      </c>
      <c r="DN21" s="4">
        <f t="shared" ca="1" si="54"/>
        <v>3881.840216180608</v>
      </c>
      <c r="DO21" s="4">
        <f t="shared" ca="1" si="55"/>
        <v>64155.85570831212</v>
      </c>
      <c r="DP21" s="4"/>
      <c r="DQ21" s="4">
        <f t="shared" ca="1" si="56"/>
        <v>0</v>
      </c>
      <c r="DR21" s="4"/>
      <c r="DS21" s="4">
        <f t="shared" si="131"/>
        <v>0</v>
      </c>
      <c r="DT21" s="4">
        <f t="shared" si="57"/>
        <v>0</v>
      </c>
      <c r="DU21" s="4">
        <f t="shared" si="58"/>
        <v>0</v>
      </c>
      <c r="DV21" s="4"/>
      <c r="DW21" s="4">
        <f t="shared" ca="1" si="132"/>
        <v>227800.18566919299</v>
      </c>
      <c r="DX21" s="4">
        <f t="shared" ca="1" si="59"/>
        <v>13891.446047493098</v>
      </c>
      <c r="DY21" s="4">
        <f t="shared" ca="1" si="133"/>
        <v>11390.009283459651</v>
      </c>
      <c r="DZ21" s="4">
        <f t="shared" ca="1" si="60"/>
        <v>0</v>
      </c>
      <c r="EA21" s="4">
        <f t="shared" ca="1" si="61"/>
        <v>0</v>
      </c>
      <c r="EB21" s="4">
        <f t="shared" ca="1" si="62"/>
        <v>239190.19495265264</v>
      </c>
      <c r="EC21" s="4">
        <f t="shared" si="63"/>
        <v>1</v>
      </c>
      <c r="ED21" s="4"/>
      <c r="EE21" s="4">
        <f t="shared" ca="1" si="134"/>
        <v>54427.946732700468</v>
      </c>
      <c r="EF21" s="4">
        <f t="shared" ca="1" si="64"/>
        <v>3391.1371703370387</v>
      </c>
      <c r="EG21" s="4">
        <f t="shared" ca="1" si="135"/>
        <v>2721.3973366350237</v>
      </c>
      <c r="EH21" s="4">
        <f t="shared" ca="1" si="65"/>
        <v>0</v>
      </c>
      <c r="EI21" s="4">
        <f t="shared" ca="1" si="66"/>
        <v>0</v>
      </c>
      <c r="EJ21" s="4">
        <f t="shared" ca="1" si="67"/>
        <v>0</v>
      </c>
      <c r="EK21" s="4">
        <f t="shared" si="68"/>
        <v>1</v>
      </c>
      <c r="EL21" s="4">
        <f t="shared" si="69"/>
        <v>0</v>
      </c>
      <c r="EM21" s="4"/>
      <c r="EN21" s="4">
        <f t="shared" ca="1" si="136"/>
        <v>44856.7568819343</v>
      </c>
      <c r="EO21" s="4">
        <f t="shared" ca="1" si="70"/>
        <v>3881.840216180608</v>
      </c>
      <c r="EP21" s="4">
        <f t="shared" ca="1" si="137"/>
        <v>2242.8378440967149</v>
      </c>
      <c r="EQ21" s="4">
        <f t="shared" ca="1" si="71"/>
        <v>0</v>
      </c>
      <c r="ER21" s="4">
        <v>0</v>
      </c>
      <c r="ES21" s="4">
        <f t="shared" ca="1" si="138"/>
        <v>47099.594726031013</v>
      </c>
      <c r="ET21" s="4"/>
      <c r="EU21" s="4">
        <f t="shared" ca="1" si="139"/>
        <v>0</v>
      </c>
      <c r="EV21" s="4">
        <f t="shared" ca="1" si="72"/>
        <v>0</v>
      </c>
      <c r="EW21" s="4">
        <f t="shared" ca="1" si="140"/>
        <v>0</v>
      </c>
      <c r="EX21" s="4">
        <f t="shared" ca="1" si="73"/>
        <v>0</v>
      </c>
      <c r="EY21" s="4">
        <v>0</v>
      </c>
      <c r="EZ21" s="4">
        <f t="shared" ca="1" si="141"/>
        <v>0</v>
      </c>
      <c r="FA21" s="4">
        <f t="shared" ca="1" si="142"/>
        <v>0</v>
      </c>
      <c r="FB21" s="1">
        <f t="shared" ca="1" si="74"/>
        <v>0</v>
      </c>
      <c r="FC21" s="4">
        <f t="shared" ca="1" si="143"/>
        <v>0</v>
      </c>
      <c r="FD21" s="4">
        <f t="shared" ca="1" si="144"/>
        <v>0</v>
      </c>
      <c r="FE21" s="4">
        <f t="shared" ca="1" si="75"/>
        <v>0</v>
      </c>
      <c r="FF21" s="4">
        <f t="shared" ca="1" si="76"/>
        <v>0</v>
      </c>
      <c r="FG21" s="4">
        <f t="shared" ca="1" si="77"/>
        <v>0</v>
      </c>
      <c r="FH21" s="17">
        <f t="shared" ca="1" si="78"/>
        <v>0</v>
      </c>
      <c r="FI21" s="4">
        <f t="shared" ca="1" si="79"/>
        <v>0</v>
      </c>
      <c r="FJ21" s="4"/>
      <c r="FK21" s="4">
        <f t="shared" ca="1" si="80"/>
        <v>286289.78967868368</v>
      </c>
      <c r="FL21" s="4"/>
      <c r="FM21" s="4">
        <v>0</v>
      </c>
      <c r="FN21" s="4">
        <v>0</v>
      </c>
      <c r="FO21" s="4">
        <v>0</v>
      </c>
      <c r="FP21" s="4">
        <v>0</v>
      </c>
      <c r="FQ21" s="4">
        <v>0</v>
      </c>
      <c r="FR21" s="4">
        <v>0</v>
      </c>
      <c r="FS21" s="4">
        <f t="shared" si="81"/>
        <v>0</v>
      </c>
      <c r="FT21" s="4">
        <f t="shared" ca="1" si="82"/>
        <v>0</v>
      </c>
      <c r="FU21" s="4"/>
      <c r="FV21" s="3">
        <f t="shared" si="83"/>
        <v>0.75787502458828937</v>
      </c>
      <c r="FW21" s="3">
        <f t="shared" si="84"/>
        <v>0.75787502458828937</v>
      </c>
      <c r="FX21" s="4">
        <f t="shared" si="145"/>
        <v>2031</v>
      </c>
      <c r="FY21" s="4">
        <f t="shared" si="85"/>
        <v>42.83430277252409</v>
      </c>
      <c r="FZ21" s="4">
        <f t="shared" si="86"/>
        <v>0</v>
      </c>
      <c r="GA21" s="4">
        <f t="shared" si="87"/>
        <v>0</v>
      </c>
      <c r="GB21" s="4">
        <f t="shared" si="88"/>
        <v>0</v>
      </c>
      <c r="GC21" s="4">
        <f t="shared" ca="1" si="89"/>
        <v>0</v>
      </c>
      <c r="GD21" s="4">
        <f t="shared" ca="1" si="90"/>
        <v>0</v>
      </c>
      <c r="GE21" s="4">
        <f t="shared" ca="1" si="91"/>
        <v>0</v>
      </c>
      <c r="GF21" s="4">
        <f t="shared" ca="1" si="92"/>
        <v>0</v>
      </c>
      <c r="GG21" s="18" t="e">
        <f t="shared" ca="1" si="93"/>
        <v>#NAME?</v>
      </c>
      <c r="GH21" s="18" t="e">
        <f t="shared" ca="1" si="94"/>
        <v>#NAME?</v>
      </c>
      <c r="GI21" s="4"/>
      <c r="GJ21" s="4">
        <f t="shared" si="95"/>
        <v>2031</v>
      </c>
      <c r="GK21" s="4">
        <f t="shared" ca="1" si="96"/>
        <v>172.64407131525653</v>
      </c>
      <c r="GL21" s="4">
        <f t="shared" ca="1" si="97"/>
        <v>41.249581468335471</v>
      </c>
      <c r="GM21" s="4">
        <f t="shared" ca="1" si="98"/>
        <v>33.995815724846878</v>
      </c>
      <c r="GN21" s="4">
        <f t="shared" ca="1" si="99"/>
        <v>0</v>
      </c>
      <c r="GO21" s="4"/>
      <c r="GP21" s="3">
        <f t="shared" ca="1" si="146"/>
        <v>0.83548279951271365</v>
      </c>
      <c r="GQ21" s="3">
        <f t="shared" ca="1" si="100"/>
        <v>0</v>
      </c>
      <c r="GR21" s="3">
        <f t="shared" ca="1" si="101"/>
        <v>0</v>
      </c>
      <c r="GS21" s="3">
        <f t="shared" ca="1" si="102"/>
        <v>0.16451720048728624</v>
      </c>
      <c r="GT21" s="3">
        <f t="array" aca="1" ref="GT21" ca="1">SUM(GP21:GS21*$GU$6:$GX$6)</f>
        <v>0.99999999999999989</v>
      </c>
      <c r="GU21" s="3">
        <f t="shared" ca="1" si="147"/>
        <v>0.83548279951271376</v>
      </c>
      <c r="GV21" s="3">
        <f t="shared" ca="1" si="148"/>
        <v>0</v>
      </c>
      <c r="GW21" s="3">
        <f t="shared" ca="1" si="149"/>
        <v>0</v>
      </c>
      <c r="GX21" s="3">
        <f t="shared" ca="1" si="150"/>
        <v>0.16451720048728627</v>
      </c>
      <c r="GY21" s="11"/>
      <c r="GZ21" s="27">
        <v>63</v>
      </c>
      <c r="HA21" s="29">
        <v>3.6999999999999998E-2</v>
      </c>
      <c r="HB21" s="29">
        <f t="shared" ca="1" si="151"/>
        <v>7.2599999999999998E-2</v>
      </c>
      <c r="HC21" s="29">
        <v>7.2599999999999998E-2</v>
      </c>
      <c r="HD21" s="29">
        <v>7.0999999999999994E-2</v>
      </c>
      <c r="HE21" s="29">
        <v>5.2600000000000001E-2</v>
      </c>
      <c r="HG21" s="27">
        <v>61</v>
      </c>
      <c r="HH21" s="30">
        <v>3.4500000000000003E-2</v>
      </c>
      <c r="HJ21">
        <f t="shared" si="153"/>
        <v>2024</v>
      </c>
      <c r="HK21" s="28">
        <f t="shared" si="157"/>
        <v>26160</v>
      </c>
      <c r="HL21" s="27">
        <f t="shared" si="155"/>
        <v>6500</v>
      </c>
      <c r="HM21" s="28">
        <f t="shared" si="156"/>
        <v>6444.1265955124609</v>
      </c>
      <c r="HO21">
        <f t="shared" ca="1" si="158"/>
        <v>202600</v>
      </c>
      <c r="HP21" s="4">
        <f t="shared" ca="1" si="159"/>
        <v>202600</v>
      </c>
      <c r="HQ21">
        <f t="shared" ca="1" si="160"/>
        <v>0.13</v>
      </c>
      <c r="HR21" s="4">
        <f t="shared" ca="1" si="161"/>
        <v>22286</v>
      </c>
      <c r="HT21" t="s">
        <v>610</v>
      </c>
      <c r="HV21">
        <f ca="1">OFFSET(HR53,0,$HP$15-1)</f>
        <v>1</v>
      </c>
    </row>
    <row r="22" spans="1:241" x14ac:dyDescent="0.25">
      <c r="A22" t="s">
        <v>180</v>
      </c>
      <c r="B22" s="64">
        <f>Inputs_Summary!AK19</f>
        <v>0.06</v>
      </c>
      <c r="D22">
        <f t="shared" si="106"/>
        <v>2032</v>
      </c>
      <c r="E22">
        <f t="shared" si="106"/>
        <v>37</v>
      </c>
      <c r="F22" s="8"/>
      <c r="G22" s="8"/>
      <c r="H22" s="9"/>
      <c r="I22" s="9"/>
      <c r="J22" s="92"/>
      <c r="K22" s="91"/>
      <c r="L22" s="91"/>
      <c r="N22" s="93">
        <f t="shared" si="107"/>
        <v>0.05</v>
      </c>
      <c r="O22" s="23">
        <f t="shared" si="108"/>
        <v>0</v>
      </c>
      <c r="P22" s="23">
        <f t="shared" si="109"/>
        <v>0.4</v>
      </c>
      <c r="Q22" s="4">
        <f t="shared" si="0"/>
        <v>0</v>
      </c>
      <c r="R22" s="4">
        <f t="shared" si="110"/>
        <v>0</v>
      </c>
      <c r="S22" s="4">
        <f t="shared" si="1"/>
        <v>0</v>
      </c>
      <c r="T22" s="4">
        <f t="shared" ca="1" si="2"/>
        <v>0</v>
      </c>
      <c r="V22" s="18" t="e">
        <f t="shared" ca="1" si="3"/>
        <v>#NAME?</v>
      </c>
      <c r="W22" s="18" t="e">
        <f t="shared" ca="1" si="4"/>
        <v>#NAME?</v>
      </c>
      <c r="X22" s="18">
        <f t="shared" si="5"/>
        <v>0</v>
      </c>
      <c r="Y22" s="18">
        <f t="shared" ca="1" si="6"/>
        <v>5.16531298139261</v>
      </c>
      <c r="Z22" s="18">
        <f t="shared" ca="1" si="7"/>
        <v>2.5826564906963054</v>
      </c>
      <c r="AA22" s="18">
        <f t="shared" ca="1" si="8"/>
        <v>3.0587895425173057</v>
      </c>
      <c r="AB22" s="18">
        <f t="shared" ca="1" si="9"/>
        <v>0</v>
      </c>
      <c r="AC22" s="18">
        <f t="shared" ca="1" si="10"/>
        <v>188.04338715277459</v>
      </c>
      <c r="AD22" s="18">
        <f t="shared" ca="1" si="11"/>
        <v>44.98246932167028</v>
      </c>
      <c r="AE22" s="18">
        <f t="shared" ca="1" si="12"/>
        <v>37.879957118014609</v>
      </c>
      <c r="AF22" s="18">
        <f t="shared" ca="1" si="13"/>
        <v>0</v>
      </c>
      <c r="AG22" s="18">
        <f t="shared" ca="1" si="14"/>
        <v>270.90581359245942</v>
      </c>
      <c r="AI22">
        <f>Person1!E22</f>
        <v>37</v>
      </c>
      <c r="AJ22">
        <f>Person1!AZ22</f>
        <v>1</v>
      </c>
      <c r="AK22">
        <f>IF(AZ22&lt;&gt;3,Person1!FM22,0)</f>
        <v>0</v>
      </c>
      <c r="AL22" s="4">
        <f ca="1">IF($AZ22&lt;&gt;3,Person1!FN22+Person1!FT22,0)</f>
        <v>7322.4468580235916</v>
      </c>
      <c r="AM22">
        <f>IF($AZ22&lt;&gt;3,Person1!FO22,0)</f>
        <v>0</v>
      </c>
      <c r="AN22">
        <f>IF($AZ22&lt;&gt;3,Person1!FP22,0)</f>
        <v>0</v>
      </c>
      <c r="AO22">
        <f>IF($AZ22&lt;&gt;3,Person1!FQ22,0)</f>
        <v>0</v>
      </c>
      <c r="AP22">
        <f>IF($AZ22&lt;&gt;3,Person1!FR22,0)</f>
        <v>0</v>
      </c>
      <c r="AQ22" s="4">
        <f t="shared" si="15"/>
        <v>0</v>
      </c>
      <c r="AR22" s="4">
        <f>Person1!FS22</f>
        <v>0</v>
      </c>
      <c r="AS22" s="4">
        <f>$B$41*MAX(0,CHOOSE($AZ22,0,IF(AND(Person1!AW22&gt;=Person1!$B$36,AV22&gt;=$B$93),Person1!$B$35*(1+Person1!$B$37)^(Person1!$B$36-Person1!$B$11)*(1+Person1!$B$38)^(Person1!AW22-Person1!$B$36)-CHOOSE(Person1!$B$39+1,0,BD22,BE22,BD22+BE22),0),0,0))</f>
        <v>0</v>
      </c>
      <c r="AT22" s="4">
        <f t="shared" si="16"/>
        <v>0</v>
      </c>
      <c r="AV22">
        <f t="shared" si="111"/>
        <v>2032</v>
      </c>
      <c r="AW22">
        <f t="shared" si="111"/>
        <v>37</v>
      </c>
      <c r="AX22">
        <f t="shared" si="112"/>
        <v>1.3458683383241299</v>
      </c>
      <c r="AY22">
        <f t="shared" si="113"/>
        <v>0.74301472998851892</v>
      </c>
      <c r="AZ22">
        <f t="shared" si="114"/>
        <v>1</v>
      </c>
      <c r="BB22" s="4">
        <f t="shared" si="17"/>
        <v>57931.926659924422</v>
      </c>
      <c r="BC22">
        <f t="shared" si="18"/>
        <v>0</v>
      </c>
      <c r="BD22" s="4">
        <f t="shared" si="19"/>
        <v>0</v>
      </c>
      <c r="BE22" s="4">
        <f t="shared" si="115"/>
        <v>0</v>
      </c>
      <c r="BF22" s="4">
        <f t="shared" si="116"/>
        <v>0</v>
      </c>
      <c r="BG22" s="4">
        <f t="shared" si="117"/>
        <v>0</v>
      </c>
      <c r="BH22" s="4">
        <f t="shared" si="20"/>
        <v>0</v>
      </c>
      <c r="BI22" s="4">
        <f t="shared" si="118"/>
        <v>57931.926659924422</v>
      </c>
      <c r="BJ22" s="4"/>
      <c r="BK22" s="4">
        <f t="shared" si="21"/>
        <v>33646.708458103247</v>
      </c>
      <c r="BL22" s="4">
        <f t="shared" si="119"/>
        <v>0</v>
      </c>
      <c r="BM22" s="4">
        <f t="shared" si="120"/>
        <v>33646.708458103247</v>
      </c>
      <c r="BN22" s="4">
        <v>9740.7434041637898</v>
      </c>
      <c r="BO22" s="4">
        <f t="shared" si="121"/>
        <v>43387.451862267037</v>
      </c>
      <c r="BP22" s="4">
        <f t="shared" si="122"/>
        <v>14544.474797657385</v>
      </c>
      <c r="BQ22" s="4"/>
      <c r="BR22" s="4">
        <v>0</v>
      </c>
      <c r="BS22" s="4">
        <f t="shared" ca="1" si="22"/>
        <v>10427.746798786395</v>
      </c>
      <c r="BT22" s="4">
        <f t="shared" ca="1" si="23"/>
        <v>71655.855708312127</v>
      </c>
      <c r="BU22" s="4">
        <f t="shared" si="24"/>
        <v>0</v>
      </c>
      <c r="BV22" s="4">
        <f t="shared" si="25"/>
        <v>1</v>
      </c>
      <c r="BW22" s="4">
        <f t="shared" ca="1" si="26"/>
        <v>0</v>
      </c>
      <c r="BX22" s="4">
        <f t="shared" ca="1" si="27"/>
        <v>0</v>
      </c>
      <c r="BY22" s="4">
        <f t="shared" ca="1" si="28"/>
        <v>0</v>
      </c>
      <c r="BZ22" s="4">
        <f t="shared" ca="1" si="29"/>
        <v>0</v>
      </c>
      <c r="CA22" s="4">
        <f t="shared" ca="1" si="30"/>
        <v>0</v>
      </c>
      <c r="CB22" s="4">
        <f t="shared" ca="1" si="154"/>
        <v>0</v>
      </c>
      <c r="CC22" s="4"/>
      <c r="CD22" s="4">
        <f t="shared" ca="1" si="31"/>
        <v>57931.926659924422</v>
      </c>
      <c r="CE22" s="4">
        <f t="shared" ca="1" si="123"/>
        <v>43865.509086915001</v>
      </c>
      <c r="CF22" s="16">
        <f t="shared" si="32"/>
        <v>0</v>
      </c>
      <c r="CG22" s="4">
        <f t="shared" si="33"/>
        <v>3638.6707742230269</v>
      </c>
      <c r="CH22" s="4" t="e">
        <f t="shared" ca="1" si="34"/>
        <v>#NAME?</v>
      </c>
      <c r="CI22" s="4" t="e">
        <f t="shared" ca="1" si="35"/>
        <v>#NAME?</v>
      </c>
      <c r="CJ22" s="4" t="e">
        <f t="shared" ca="1" si="124"/>
        <v>#NAME?</v>
      </c>
      <c r="CK22" s="4" t="e">
        <f t="shared" ca="1" si="125"/>
        <v>#NAME?</v>
      </c>
      <c r="CL22" s="4" t="e">
        <f t="shared" ca="1" si="36"/>
        <v>#NAME?</v>
      </c>
      <c r="CM22" s="16"/>
      <c r="CN22" s="4">
        <f t="shared" si="37"/>
        <v>0</v>
      </c>
      <c r="CO22" s="4">
        <f t="shared" si="38"/>
        <v>0</v>
      </c>
      <c r="CP22" s="4">
        <f t="shared" ca="1" si="39"/>
        <v>364603.55718202988</v>
      </c>
      <c r="CQ22" s="4"/>
      <c r="CR22" s="4">
        <f t="shared" ca="1" si="40"/>
        <v>14544.474797657385</v>
      </c>
      <c r="CS22" s="4">
        <f t="shared" ca="1" si="41"/>
        <v>34830</v>
      </c>
      <c r="CT22" s="4">
        <f t="shared" ca="1" si="42"/>
        <v>10427.746798786395</v>
      </c>
      <c r="CU22" s="4"/>
      <c r="CV22" s="4">
        <f t="shared" ca="1" si="126"/>
        <v>14544.474797657385</v>
      </c>
      <c r="CW22" s="4">
        <f t="shared" ca="1" si="43"/>
        <v>3475.9155995954652</v>
      </c>
      <c r="CX22" s="4">
        <f t="shared" ca="1" si="44"/>
        <v>3475.9155995954652</v>
      </c>
      <c r="CY22" s="4">
        <f t="shared" ca="1" si="127"/>
        <v>11068.559198061921</v>
      </c>
      <c r="CZ22" s="4"/>
      <c r="DA22" s="4">
        <f t="shared" ca="1" si="45"/>
        <v>11068.559198061921</v>
      </c>
      <c r="DB22" s="4">
        <f t="shared" si="46"/>
        <v>0</v>
      </c>
      <c r="DC22" s="4">
        <f t="shared" ca="1" si="128"/>
        <v>3475.9155995954652</v>
      </c>
      <c r="DD22" s="4">
        <f t="shared" ca="1" si="47"/>
        <v>6951.8311991909295</v>
      </c>
      <c r="DE22" s="4">
        <f t="shared" ca="1" si="48"/>
        <v>6951.8311991909295</v>
      </c>
      <c r="DF22" s="4">
        <f t="shared" ca="1" si="129"/>
        <v>0</v>
      </c>
      <c r="DG22" s="4">
        <f t="shared" ca="1" si="130"/>
        <v>6951.8311991909295</v>
      </c>
      <c r="DH22" s="4">
        <f t="shared" ca="1" si="49"/>
        <v>0</v>
      </c>
      <c r="DI22" s="4"/>
      <c r="DJ22" s="4">
        <f t="shared" ca="1" si="50"/>
        <v>4116.7279988709915</v>
      </c>
      <c r="DK22" s="4">
        <f t="shared" ca="1" si="51"/>
        <v>7500</v>
      </c>
      <c r="DL22" s="4">
        <f t="shared" ca="1" si="52"/>
        <v>7500</v>
      </c>
      <c r="DM22" s="4">
        <f t="shared" ca="1" si="53"/>
        <v>71655.855708312127</v>
      </c>
      <c r="DN22" s="4">
        <f t="shared" ca="1" si="54"/>
        <v>4116.7279988709915</v>
      </c>
      <c r="DO22" s="4">
        <f t="shared" ca="1" si="55"/>
        <v>67539.127709441134</v>
      </c>
      <c r="DP22" s="4"/>
      <c r="DQ22" s="4">
        <f t="shared" ca="1" si="56"/>
        <v>0</v>
      </c>
      <c r="DR22" s="4"/>
      <c r="DS22" s="4">
        <f t="shared" si="131"/>
        <v>0</v>
      </c>
      <c r="DT22" s="4">
        <f t="shared" si="57"/>
        <v>0</v>
      </c>
      <c r="DU22" s="4">
        <f t="shared" si="58"/>
        <v>0</v>
      </c>
      <c r="DV22" s="4"/>
      <c r="DW22" s="4">
        <f t="shared" ca="1" si="132"/>
        <v>253081.64100014576</v>
      </c>
      <c r="DX22" s="4">
        <f t="shared" ca="1" si="59"/>
        <v>14274.27805721452</v>
      </c>
      <c r="DY22" s="4">
        <f t="shared" ca="1" si="133"/>
        <v>12654.082050007288</v>
      </c>
      <c r="DZ22" s="4">
        <f t="shared" ca="1" si="60"/>
        <v>0</v>
      </c>
      <c r="EA22" s="4">
        <f t="shared" ca="1" si="61"/>
        <v>0</v>
      </c>
      <c r="EB22" s="4">
        <f t="shared" ca="1" si="62"/>
        <v>265735.72305015306</v>
      </c>
      <c r="EC22" s="4">
        <f t="shared" si="63"/>
        <v>1</v>
      </c>
      <c r="ED22" s="4"/>
      <c r="EE22" s="4">
        <f t="shared" ca="1" si="134"/>
        <v>60540.481239672532</v>
      </c>
      <c r="EF22" s="4">
        <f t="shared" ca="1" si="64"/>
        <v>3475.9155995954652</v>
      </c>
      <c r="EG22" s="4">
        <f t="shared" ca="1" si="135"/>
        <v>3027.0240619836268</v>
      </c>
      <c r="EH22" s="4">
        <f t="shared" ca="1" si="65"/>
        <v>0</v>
      </c>
      <c r="EI22" s="4">
        <f t="shared" ca="1" si="66"/>
        <v>0</v>
      </c>
      <c r="EJ22" s="4">
        <f t="shared" ca="1" si="67"/>
        <v>0</v>
      </c>
      <c r="EK22" s="4">
        <f t="shared" si="68"/>
        <v>1</v>
      </c>
      <c r="EL22" s="4">
        <f t="shared" si="69"/>
        <v>0</v>
      </c>
      <c r="EM22" s="4"/>
      <c r="EN22" s="4">
        <f t="shared" ca="1" si="136"/>
        <v>50981.434942211621</v>
      </c>
      <c r="EO22" s="4">
        <f t="shared" ca="1" si="70"/>
        <v>4116.7279988709915</v>
      </c>
      <c r="EP22" s="4">
        <f t="shared" ca="1" si="137"/>
        <v>2549.0717471105813</v>
      </c>
      <c r="EQ22" s="4">
        <f t="shared" ca="1" si="71"/>
        <v>0</v>
      </c>
      <c r="ER22" s="4">
        <v>0</v>
      </c>
      <c r="ES22" s="4">
        <f t="shared" ca="1" si="138"/>
        <v>53530.506689322203</v>
      </c>
      <c r="ET22" s="4"/>
      <c r="EU22" s="4">
        <f t="shared" ca="1" si="139"/>
        <v>0</v>
      </c>
      <c r="EV22" s="4">
        <f t="shared" ca="1" si="72"/>
        <v>0</v>
      </c>
      <c r="EW22" s="4">
        <f t="shared" ca="1" si="140"/>
        <v>0</v>
      </c>
      <c r="EX22" s="4">
        <f t="shared" ca="1" si="73"/>
        <v>0</v>
      </c>
      <c r="EY22" s="4">
        <v>0</v>
      </c>
      <c r="EZ22" s="4">
        <f t="shared" ca="1" si="141"/>
        <v>0</v>
      </c>
      <c r="FA22" s="4">
        <f t="shared" ca="1" si="142"/>
        <v>0</v>
      </c>
      <c r="FB22" s="1">
        <f t="shared" ca="1" si="74"/>
        <v>0</v>
      </c>
      <c r="FC22" s="4">
        <f t="shared" ca="1" si="143"/>
        <v>0</v>
      </c>
      <c r="FD22" s="4">
        <f t="shared" ca="1" si="144"/>
        <v>0</v>
      </c>
      <c r="FE22" s="4">
        <f t="shared" ca="1" si="75"/>
        <v>0</v>
      </c>
      <c r="FF22" s="4">
        <f t="shared" ca="1" si="76"/>
        <v>0</v>
      </c>
      <c r="FG22" s="4">
        <f t="shared" ca="1" si="77"/>
        <v>0</v>
      </c>
      <c r="FH22" s="17">
        <f t="shared" ca="1" si="78"/>
        <v>0</v>
      </c>
      <c r="FI22" s="4">
        <f t="shared" ca="1" si="79"/>
        <v>0</v>
      </c>
      <c r="FJ22" s="4"/>
      <c r="FK22" s="4">
        <f t="shared" ca="1" si="80"/>
        <v>319266.22973947524</v>
      </c>
      <c r="FL22" s="4"/>
      <c r="FM22" s="4">
        <v>0</v>
      </c>
      <c r="FN22" s="4">
        <v>0</v>
      </c>
      <c r="FO22" s="4">
        <v>0</v>
      </c>
      <c r="FP22" s="4">
        <v>0</v>
      </c>
      <c r="FQ22" s="4">
        <v>0</v>
      </c>
      <c r="FR22" s="4">
        <v>0</v>
      </c>
      <c r="FS22" s="4">
        <f t="shared" si="81"/>
        <v>0</v>
      </c>
      <c r="FT22" s="4">
        <f t="shared" ca="1" si="82"/>
        <v>0</v>
      </c>
      <c r="FU22" s="4"/>
      <c r="FV22" s="3">
        <f t="shared" si="83"/>
        <v>0.74301472998851892</v>
      </c>
      <c r="FW22" s="3">
        <f t="shared" si="84"/>
        <v>0.74301472998851892</v>
      </c>
      <c r="FX22" s="4">
        <f t="shared" si="145"/>
        <v>2032</v>
      </c>
      <c r="FY22" s="4">
        <f t="shared" si="85"/>
        <v>43.044274844938421</v>
      </c>
      <c r="FZ22" s="4">
        <f t="shared" si="86"/>
        <v>0</v>
      </c>
      <c r="GA22" s="4">
        <f t="shared" si="87"/>
        <v>0</v>
      </c>
      <c r="GB22" s="4">
        <f t="shared" si="88"/>
        <v>0</v>
      </c>
      <c r="GC22" s="4">
        <f t="shared" ca="1" si="89"/>
        <v>0</v>
      </c>
      <c r="GD22" s="4">
        <f t="shared" ca="1" si="90"/>
        <v>0</v>
      </c>
      <c r="GE22" s="4">
        <f t="shared" ca="1" si="91"/>
        <v>0</v>
      </c>
      <c r="GF22" s="4">
        <f t="shared" ca="1" si="92"/>
        <v>0</v>
      </c>
      <c r="GG22" s="18" t="e">
        <f t="shared" ca="1" si="93"/>
        <v>#NAME?</v>
      </c>
      <c r="GH22" s="18" t="e">
        <f t="shared" ca="1" si="94"/>
        <v>#NAME?</v>
      </c>
      <c r="GI22" s="4"/>
      <c r="GJ22" s="4">
        <f t="shared" si="95"/>
        <v>2032</v>
      </c>
      <c r="GK22" s="4">
        <f t="shared" ca="1" si="96"/>
        <v>188.04338715277459</v>
      </c>
      <c r="GL22" s="4">
        <f t="shared" ca="1" si="97"/>
        <v>44.98246932167028</v>
      </c>
      <c r="GM22" s="4">
        <f t="shared" ca="1" si="98"/>
        <v>37.879957118014609</v>
      </c>
      <c r="GN22" s="4">
        <f t="shared" ca="1" si="99"/>
        <v>0</v>
      </c>
      <c r="GO22" s="4"/>
      <c r="GP22" s="3">
        <f t="shared" ca="1" si="146"/>
        <v>0.83233270010109228</v>
      </c>
      <c r="GQ22" s="3">
        <f t="shared" ca="1" si="100"/>
        <v>0</v>
      </c>
      <c r="GR22" s="3">
        <f t="shared" ca="1" si="101"/>
        <v>0</v>
      </c>
      <c r="GS22" s="3">
        <f t="shared" ca="1" si="102"/>
        <v>0.16766729989890783</v>
      </c>
      <c r="GT22" s="3">
        <f t="array" aca="1" ref="GT22" ca="1">SUM(GP22:GS22*$GU$6:$GX$6)</f>
        <v>1</v>
      </c>
      <c r="GU22" s="3">
        <f t="shared" ca="1" si="147"/>
        <v>0.83233270010109228</v>
      </c>
      <c r="GV22" s="3">
        <f t="shared" ca="1" si="148"/>
        <v>0</v>
      </c>
      <c r="GW22" s="3">
        <f t="shared" ca="1" si="149"/>
        <v>0</v>
      </c>
      <c r="GX22" s="3">
        <f t="shared" ca="1" si="150"/>
        <v>0.16766729989890783</v>
      </c>
      <c r="GY22" s="11"/>
      <c r="GZ22" s="27">
        <v>64</v>
      </c>
      <c r="HA22" s="29">
        <v>3.85E-2</v>
      </c>
      <c r="HB22" s="29">
        <f t="shared" ca="1" si="151"/>
        <v>7.3800000000000004E-2</v>
      </c>
      <c r="HC22" s="29">
        <v>7.3800000000000004E-2</v>
      </c>
      <c r="HD22" s="29">
        <v>7.1999999999999995E-2</v>
      </c>
      <c r="HE22" s="29">
        <v>5.3699999999999998E-2</v>
      </c>
      <c r="HG22" s="27">
        <v>62</v>
      </c>
      <c r="HH22" s="30">
        <v>3.5700000000000003E-2</v>
      </c>
      <c r="HJ22">
        <f t="shared" si="153"/>
        <v>2025</v>
      </c>
      <c r="HK22" s="28">
        <f t="shared" si="157"/>
        <v>26680</v>
      </c>
      <c r="HL22" s="27">
        <f t="shared" si="155"/>
        <v>6500</v>
      </c>
      <c r="HM22" s="28">
        <f t="shared" si="156"/>
        <v>6573.0091274227107</v>
      </c>
      <c r="HO22">
        <f t="shared" ca="1" si="158"/>
        <v>303900</v>
      </c>
      <c r="HP22" s="4">
        <f t="shared" ca="1" si="159"/>
        <v>303900</v>
      </c>
      <c r="HQ22">
        <f t="shared" ca="1" si="160"/>
        <v>0.14000000000000001</v>
      </c>
      <c r="HR22" s="4">
        <f t="shared" ca="1" si="161"/>
        <v>36468</v>
      </c>
      <c r="HT22" t="s">
        <v>659</v>
      </c>
      <c r="HV22">
        <f ca="1">OFFSET(HR54,0,$HP$15-1)</f>
        <v>1</v>
      </c>
    </row>
    <row r="23" spans="1:241" x14ac:dyDescent="0.25">
      <c r="A23" t="s">
        <v>53</v>
      </c>
      <c r="B23" s="62">
        <f>Inputs_Summary!AK20</f>
        <v>0</v>
      </c>
      <c r="D23">
        <f t="shared" si="106"/>
        <v>2033</v>
      </c>
      <c r="E23">
        <f t="shared" si="106"/>
        <v>38</v>
      </c>
      <c r="F23" s="8"/>
      <c r="G23" s="8"/>
      <c r="H23" s="9"/>
      <c r="I23" s="9"/>
      <c r="J23" s="92"/>
      <c r="K23" s="91"/>
      <c r="L23" s="91"/>
      <c r="N23" s="93">
        <f t="shared" si="107"/>
        <v>0.05</v>
      </c>
      <c r="O23" s="23">
        <f t="shared" si="108"/>
        <v>0</v>
      </c>
      <c r="P23" s="23">
        <f t="shared" si="109"/>
        <v>0.4</v>
      </c>
      <c r="Q23" s="4">
        <f t="shared" si="0"/>
        <v>0</v>
      </c>
      <c r="R23" s="4">
        <f t="shared" si="110"/>
        <v>0</v>
      </c>
      <c r="S23" s="4">
        <f t="shared" si="1"/>
        <v>0</v>
      </c>
      <c r="T23" s="4">
        <f t="shared" ca="1" si="2"/>
        <v>0</v>
      </c>
      <c r="V23" s="18" t="e">
        <f t="shared" ca="1" si="3"/>
        <v>#NAME?</v>
      </c>
      <c r="W23" s="18" t="e">
        <f t="shared" ca="1" si="4"/>
        <v>#NAME?</v>
      </c>
      <c r="X23" s="18">
        <f t="shared" si="5"/>
        <v>0</v>
      </c>
      <c r="Y23" s="18">
        <f t="shared" ca="1" si="6"/>
        <v>5.1906331430661039</v>
      </c>
      <c r="Z23" s="18">
        <f t="shared" ca="1" si="7"/>
        <v>2.5953165715330515</v>
      </c>
      <c r="AA23" s="18">
        <f t="shared" ca="1" si="8"/>
        <v>3.1762494060473387</v>
      </c>
      <c r="AB23" s="18">
        <f t="shared" ca="1" si="9"/>
        <v>0</v>
      </c>
      <c r="AC23" s="18">
        <f t="shared" ca="1" si="10"/>
        <v>203.97211310477999</v>
      </c>
      <c r="AD23" s="18">
        <f t="shared" ca="1" si="11"/>
        <v>48.837499292598132</v>
      </c>
      <c r="AE23" s="18">
        <f t="shared" ca="1" si="12"/>
        <v>41.99288678081632</v>
      </c>
      <c r="AF23" s="18">
        <f t="shared" ca="1" si="13"/>
        <v>0</v>
      </c>
      <c r="AG23" s="18">
        <f t="shared" ca="1" si="14"/>
        <v>294.80249917819447</v>
      </c>
      <c r="AI23">
        <f>Person1!E23</f>
        <v>38</v>
      </c>
      <c r="AJ23">
        <f>Person1!AZ23</f>
        <v>1</v>
      </c>
      <c r="AK23">
        <f>IF(AZ23&lt;&gt;3,Person1!FM23,0)</f>
        <v>0</v>
      </c>
      <c r="AL23" s="4">
        <f ca="1">IF($AZ23&lt;&gt;3,Person1!FN23+Person1!FT23,0)</f>
        <v>7542.1202637642982</v>
      </c>
      <c r="AM23">
        <f>IF($AZ23&lt;&gt;3,Person1!FO23,0)</f>
        <v>0</v>
      </c>
      <c r="AN23">
        <f>IF($AZ23&lt;&gt;3,Person1!FP23,0)</f>
        <v>0</v>
      </c>
      <c r="AO23">
        <f>IF($AZ23&lt;&gt;3,Person1!FQ23,0)</f>
        <v>0</v>
      </c>
      <c r="AP23">
        <f>IF($AZ23&lt;&gt;3,Person1!FR23,0)</f>
        <v>0</v>
      </c>
      <c r="AQ23" s="4">
        <f t="shared" si="15"/>
        <v>0</v>
      </c>
      <c r="AR23" s="4">
        <f>Person1!FS23</f>
        <v>0</v>
      </c>
      <c r="AS23" s="4">
        <f>$B$41*MAX(0,CHOOSE($AZ23,0,IF(AND(Person1!AW23&gt;=Person1!$B$36,AV23&gt;=$B$93),Person1!$B$35*(1+Person1!$B$37)^(Person1!$B$36-Person1!$B$11)*(1+Person1!$B$38)^(Person1!AW23-Person1!$B$36)-CHOOSE(Person1!$B$39+1,0,BD23,BE23,BD23+BE23),0),0,0))</f>
        <v>0</v>
      </c>
      <c r="AT23" s="4">
        <f t="shared" si="16"/>
        <v>0</v>
      </c>
      <c r="AV23">
        <f t="shared" si="111"/>
        <v>2033</v>
      </c>
      <c r="AW23">
        <f t="shared" si="111"/>
        <v>38</v>
      </c>
      <c r="AX23">
        <f t="shared" si="112"/>
        <v>1.3727857050906125</v>
      </c>
      <c r="AY23">
        <f t="shared" si="113"/>
        <v>0.72844581371423422</v>
      </c>
      <c r="AZ23">
        <f t="shared" si="114"/>
        <v>1</v>
      </c>
      <c r="BB23" s="4">
        <f t="shared" si="17"/>
        <v>59380.224826422527</v>
      </c>
      <c r="BC23">
        <f t="shared" si="18"/>
        <v>0</v>
      </c>
      <c r="BD23" s="4">
        <f t="shared" si="19"/>
        <v>0</v>
      </c>
      <c r="BE23" s="4">
        <f t="shared" si="115"/>
        <v>0</v>
      </c>
      <c r="BF23" s="4">
        <f t="shared" si="116"/>
        <v>0</v>
      </c>
      <c r="BG23" s="4">
        <f t="shared" si="117"/>
        <v>0</v>
      </c>
      <c r="BH23" s="4">
        <f t="shared" si="20"/>
        <v>0</v>
      </c>
      <c r="BI23" s="4">
        <f t="shared" si="118"/>
        <v>59380.224826422527</v>
      </c>
      <c r="BJ23" s="4"/>
      <c r="BK23" s="4">
        <f t="shared" si="21"/>
        <v>34319.642627265312</v>
      </c>
      <c r="BL23" s="4">
        <f t="shared" si="119"/>
        <v>0</v>
      </c>
      <c r="BM23" s="4">
        <f t="shared" si="120"/>
        <v>34319.642627265312</v>
      </c>
      <c r="BN23" s="4">
        <v>10011.831949976824</v>
      </c>
      <c r="BO23" s="4">
        <f t="shared" si="121"/>
        <v>44331.474577242137</v>
      </c>
      <c r="BP23" s="4">
        <f t="shared" si="122"/>
        <v>15048.75024918039</v>
      </c>
      <c r="BQ23" s="4"/>
      <c r="BR23" s="4">
        <v>0</v>
      </c>
      <c r="BS23" s="4">
        <f t="shared" ca="1" si="22"/>
        <v>10688.440468756055</v>
      </c>
      <c r="BT23" s="4">
        <f t="shared" ca="1" si="23"/>
        <v>75039.127709441134</v>
      </c>
      <c r="BU23" s="4">
        <f t="shared" si="24"/>
        <v>0</v>
      </c>
      <c r="BV23" s="4">
        <f t="shared" si="25"/>
        <v>1</v>
      </c>
      <c r="BW23" s="4">
        <f t="shared" ca="1" si="26"/>
        <v>0</v>
      </c>
      <c r="BX23" s="4">
        <f t="shared" ca="1" si="27"/>
        <v>0</v>
      </c>
      <c r="BY23" s="4">
        <f t="shared" ca="1" si="28"/>
        <v>0</v>
      </c>
      <c r="BZ23" s="4">
        <f t="shared" ca="1" si="29"/>
        <v>0</v>
      </c>
      <c r="CA23" s="4">
        <f t="shared" ca="1" si="30"/>
        <v>0</v>
      </c>
      <c r="CB23" s="4">
        <f t="shared" ca="1" si="154"/>
        <v>0</v>
      </c>
      <c r="CC23" s="4"/>
      <c r="CD23" s="4">
        <f t="shared" ca="1" si="31"/>
        <v>59380.224826422527</v>
      </c>
      <c r="CE23" s="4">
        <f t="shared" ca="1" si="123"/>
        <v>44957.815564087869</v>
      </c>
      <c r="CF23" s="16">
        <f t="shared" si="32"/>
        <v>0</v>
      </c>
      <c r="CG23" s="4">
        <f t="shared" si="33"/>
        <v>3733.9687935786023</v>
      </c>
      <c r="CH23" s="4" t="e">
        <f t="shared" ca="1" si="34"/>
        <v>#NAME?</v>
      </c>
      <c r="CI23" s="4" t="e">
        <f t="shared" ca="1" si="35"/>
        <v>#NAME?</v>
      </c>
      <c r="CJ23" s="4" t="e">
        <f t="shared" ca="1" si="124"/>
        <v>#NAME?</v>
      </c>
      <c r="CK23" s="4" t="e">
        <f t="shared" ca="1" si="125"/>
        <v>#NAME?</v>
      </c>
      <c r="CL23" s="4" t="e">
        <f t="shared" ca="1" si="36"/>
        <v>#NAME?</v>
      </c>
      <c r="CM23" s="16"/>
      <c r="CN23" s="4">
        <f t="shared" si="37"/>
        <v>0</v>
      </c>
      <c r="CO23" s="4">
        <f t="shared" si="38"/>
        <v>0</v>
      </c>
      <c r="CP23" s="4">
        <f t="shared" ca="1" si="39"/>
        <v>404700.65669681237</v>
      </c>
      <c r="CQ23" s="4"/>
      <c r="CR23" s="4">
        <f t="shared" ca="1" si="40"/>
        <v>15048.75024918039</v>
      </c>
      <c r="CS23" s="4">
        <f t="shared" ca="1" si="41"/>
        <v>35520</v>
      </c>
      <c r="CT23" s="4">
        <f t="shared" ca="1" si="42"/>
        <v>10688.440468756055</v>
      </c>
      <c r="CU23" s="4"/>
      <c r="CV23" s="4">
        <f t="shared" ca="1" si="126"/>
        <v>15048.75024918039</v>
      </c>
      <c r="CW23" s="4">
        <f t="shared" ca="1" si="43"/>
        <v>3562.8134895853514</v>
      </c>
      <c r="CX23" s="4">
        <f t="shared" ca="1" si="44"/>
        <v>3562.8134895853514</v>
      </c>
      <c r="CY23" s="4">
        <f t="shared" ca="1" si="127"/>
        <v>11485.936759595039</v>
      </c>
      <c r="CZ23" s="4"/>
      <c r="DA23" s="4">
        <f t="shared" ca="1" si="45"/>
        <v>11485.936759595039</v>
      </c>
      <c r="DB23" s="4">
        <f t="shared" si="46"/>
        <v>0</v>
      </c>
      <c r="DC23" s="4">
        <f t="shared" ca="1" si="128"/>
        <v>3562.8134895853514</v>
      </c>
      <c r="DD23" s="4">
        <f t="shared" ca="1" si="47"/>
        <v>7125.6269791707036</v>
      </c>
      <c r="DE23" s="4">
        <f t="shared" ca="1" si="48"/>
        <v>7125.6269791707036</v>
      </c>
      <c r="DF23" s="4">
        <f t="shared" ca="1" si="129"/>
        <v>0</v>
      </c>
      <c r="DG23" s="4">
        <f t="shared" ca="1" si="130"/>
        <v>7125.6269791707036</v>
      </c>
      <c r="DH23" s="4">
        <f t="shared" ca="1" si="49"/>
        <v>0</v>
      </c>
      <c r="DI23" s="4"/>
      <c r="DJ23" s="4">
        <f t="shared" ca="1" si="50"/>
        <v>4360.3097804243353</v>
      </c>
      <c r="DK23" s="4">
        <f t="shared" ca="1" si="51"/>
        <v>7500</v>
      </c>
      <c r="DL23" s="4">
        <f t="shared" ca="1" si="52"/>
        <v>7500</v>
      </c>
      <c r="DM23" s="4">
        <f t="shared" ca="1" si="53"/>
        <v>75039.127709441134</v>
      </c>
      <c r="DN23" s="4">
        <f t="shared" ca="1" si="54"/>
        <v>4360.3097804243353</v>
      </c>
      <c r="DO23" s="4">
        <f t="shared" ca="1" si="55"/>
        <v>70678.817929016805</v>
      </c>
      <c r="DP23" s="4"/>
      <c r="DQ23" s="4">
        <f t="shared" ca="1" si="56"/>
        <v>0</v>
      </c>
      <c r="DR23" s="4"/>
      <c r="DS23" s="4">
        <f t="shared" si="131"/>
        <v>0</v>
      </c>
      <c r="DT23" s="4">
        <f t="shared" si="57"/>
        <v>0</v>
      </c>
      <c r="DU23" s="4">
        <f t="shared" si="58"/>
        <v>0</v>
      </c>
      <c r="DV23" s="4"/>
      <c r="DW23" s="4">
        <f t="shared" ca="1" si="132"/>
        <v>280010.00110736757</v>
      </c>
      <c r="DX23" s="4">
        <f t="shared" ca="1" si="59"/>
        <v>14667.747242935002</v>
      </c>
      <c r="DY23" s="4">
        <f t="shared" ca="1" si="133"/>
        <v>14000.500055368379</v>
      </c>
      <c r="DZ23" s="4">
        <f t="shared" ca="1" si="60"/>
        <v>0</v>
      </c>
      <c r="EA23" s="4">
        <f t="shared" ca="1" si="61"/>
        <v>0</v>
      </c>
      <c r="EB23" s="4">
        <f t="shared" ca="1" si="62"/>
        <v>294010.50116273598</v>
      </c>
      <c r="EC23" s="4">
        <f t="shared" si="63"/>
        <v>1</v>
      </c>
      <c r="ED23" s="4"/>
      <c r="EE23" s="4">
        <f t="shared" ca="1" si="134"/>
        <v>67043.420901251622</v>
      </c>
      <c r="EF23" s="4">
        <f t="shared" ca="1" si="64"/>
        <v>3562.8134895853514</v>
      </c>
      <c r="EG23" s="4">
        <f t="shared" ca="1" si="135"/>
        <v>3352.1710450625815</v>
      </c>
      <c r="EH23" s="4">
        <f t="shared" ca="1" si="65"/>
        <v>0</v>
      </c>
      <c r="EI23" s="4">
        <f t="shared" ca="1" si="66"/>
        <v>0</v>
      </c>
      <c r="EJ23" s="4">
        <f t="shared" ca="1" si="67"/>
        <v>0</v>
      </c>
      <c r="EK23" s="4">
        <f t="shared" si="68"/>
        <v>1</v>
      </c>
      <c r="EL23" s="4">
        <f t="shared" si="69"/>
        <v>0</v>
      </c>
      <c r="EM23" s="4"/>
      <c r="EN23" s="4">
        <f t="shared" ca="1" si="136"/>
        <v>57647.234688193195</v>
      </c>
      <c r="EO23" s="4">
        <f t="shared" ca="1" si="70"/>
        <v>4360.3097804243353</v>
      </c>
      <c r="EP23" s="4">
        <f t="shared" ca="1" si="137"/>
        <v>2882.3617344096601</v>
      </c>
      <c r="EQ23" s="4">
        <f t="shared" ca="1" si="71"/>
        <v>0</v>
      </c>
      <c r="ER23" s="4">
        <v>0</v>
      </c>
      <c r="ES23" s="4">
        <f t="shared" ca="1" si="138"/>
        <v>60529.596422602859</v>
      </c>
      <c r="ET23" s="4"/>
      <c r="EU23" s="4">
        <f t="shared" ca="1" si="139"/>
        <v>0</v>
      </c>
      <c r="EV23" s="4">
        <f t="shared" ca="1" si="72"/>
        <v>0</v>
      </c>
      <c r="EW23" s="4">
        <f t="shared" ca="1" si="140"/>
        <v>0</v>
      </c>
      <c r="EX23" s="4">
        <f t="shared" ca="1" si="73"/>
        <v>0</v>
      </c>
      <c r="EY23" s="4">
        <v>0</v>
      </c>
      <c r="EZ23" s="4">
        <f t="shared" ca="1" si="141"/>
        <v>0</v>
      </c>
      <c r="FA23" s="4">
        <f t="shared" ca="1" si="142"/>
        <v>0</v>
      </c>
      <c r="FB23" s="1">
        <f t="shared" ca="1" si="74"/>
        <v>0</v>
      </c>
      <c r="FC23" s="4">
        <f t="shared" ca="1" si="143"/>
        <v>0</v>
      </c>
      <c r="FD23" s="4">
        <f t="shared" ca="1" si="144"/>
        <v>0</v>
      </c>
      <c r="FE23" s="4">
        <f t="shared" ca="1" si="75"/>
        <v>0</v>
      </c>
      <c r="FF23" s="4">
        <f t="shared" ca="1" si="76"/>
        <v>0</v>
      </c>
      <c r="FG23" s="4">
        <f t="shared" ca="1" si="77"/>
        <v>0</v>
      </c>
      <c r="FH23" s="17">
        <f t="shared" ca="1" si="78"/>
        <v>0</v>
      </c>
      <c r="FI23" s="4">
        <f t="shared" ca="1" si="79"/>
        <v>0</v>
      </c>
      <c r="FJ23" s="4"/>
      <c r="FK23" s="4">
        <f t="shared" ca="1" si="80"/>
        <v>354540.09758533887</v>
      </c>
      <c r="FL23" s="4"/>
      <c r="FM23" s="4">
        <v>0</v>
      </c>
      <c r="FN23" s="4">
        <v>0</v>
      </c>
      <c r="FO23" s="4">
        <v>0</v>
      </c>
      <c r="FP23" s="4">
        <v>0</v>
      </c>
      <c r="FQ23" s="4">
        <v>0</v>
      </c>
      <c r="FR23" s="4">
        <v>0</v>
      </c>
      <c r="FS23" s="4">
        <f t="shared" si="81"/>
        <v>0</v>
      </c>
      <c r="FT23" s="4">
        <f t="shared" ca="1" si="82"/>
        <v>0</v>
      </c>
      <c r="FU23" s="4"/>
      <c r="FV23" s="3">
        <f t="shared" si="83"/>
        <v>0.72844581371423422</v>
      </c>
      <c r="FW23" s="3">
        <f t="shared" si="84"/>
        <v>0.72844581371423422</v>
      </c>
      <c r="FX23" s="4">
        <f t="shared" si="145"/>
        <v>2033</v>
      </c>
      <c r="FY23" s="4">
        <f t="shared" si="85"/>
        <v>43.255276192217536</v>
      </c>
      <c r="FZ23" s="4">
        <f t="shared" si="86"/>
        <v>0</v>
      </c>
      <c r="GA23" s="4">
        <f t="shared" si="87"/>
        <v>0</v>
      </c>
      <c r="GB23" s="4">
        <f t="shared" si="88"/>
        <v>0</v>
      </c>
      <c r="GC23" s="4">
        <f t="shared" ca="1" si="89"/>
        <v>0</v>
      </c>
      <c r="GD23" s="4">
        <f t="shared" ca="1" si="90"/>
        <v>0</v>
      </c>
      <c r="GE23" s="4">
        <f t="shared" ca="1" si="91"/>
        <v>0</v>
      </c>
      <c r="GF23" s="4">
        <f t="shared" ca="1" si="92"/>
        <v>0</v>
      </c>
      <c r="GG23" s="18" t="e">
        <f t="shared" ca="1" si="93"/>
        <v>#NAME?</v>
      </c>
      <c r="GH23" s="18" t="e">
        <f t="shared" ca="1" si="94"/>
        <v>#NAME?</v>
      </c>
      <c r="GI23" s="4"/>
      <c r="GJ23" s="4">
        <f t="shared" si="95"/>
        <v>2033</v>
      </c>
      <c r="GK23" s="4">
        <f t="shared" ca="1" si="96"/>
        <v>203.97211310477999</v>
      </c>
      <c r="GL23" s="4">
        <f t="shared" ca="1" si="97"/>
        <v>48.837499292598132</v>
      </c>
      <c r="GM23" s="4">
        <f t="shared" ca="1" si="98"/>
        <v>41.99288678081632</v>
      </c>
      <c r="GN23" s="4">
        <f t="shared" ca="1" si="99"/>
        <v>0</v>
      </c>
      <c r="GO23" s="4"/>
      <c r="GP23" s="3">
        <f t="shared" ca="1" si="146"/>
        <v>0.82927291769012601</v>
      </c>
      <c r="GQ23" s="3">
        <f t="shared" ca="1" si="100"/>
        <v>0</v>
      </c>
      <c r="GR23" s="3">
        <f t="shared" ca="1" si="101"/>
        <v>0</v>
      </c>
      <c r="GS23" s="3">
        <f t="shared" ca="1" si="102"/>
        <v>0.17072708230987385</v>
      </c>
      <c r="GT23" s="3">
        <f t="array" aca="1" ref="GT23" ca="1">SUM(GP23:GS23*$GU$6:$GX$6)</f>
        <v>0.99999999999999989</v>
      </c>
      <c r="GU23" s="3">
        <f t="shared" ca="1" si="147"/>
        <v>0.82927291769012612</v>
      </c>
      <c r="GV23" s="3">
        <f t="shared" ca="1" si="148"/>
        <v>0</v>
      </c>
      <c r="GW23" s="3">
        <f t="shared" ca="1" si="149"/>
        <v>0</v>
      </c>
      <c r="GX23" s="3">
        <f t="shared" ca="1" si="150"/>
        <v>0.17072708230987388</v>
      </c>
      <c r="GY23" s="11"/>
      <c r="GZ23" s="27">
        <v>65</v>
      </c>
      <c r="HA23" s="29">
        <v>0.04</v>
      </c>
      <c r="HB23" s="29">
        <f t="shared" ca="1" si="151"/>
        <v>7.5200000000000003E-2</v>
      </c>
      <c r="HC23" s="29">
        <v>7.5200000000000003E-2</v>
      </c>
      <c r="HD23" s="29">
        <v>7.2999999999999995E-2</v>
      </c>
      <c r="HE23" s="29">
        <v>5.5E-2</v>
      </c>
      <c r="HG23" s="27">
        <v>63</v>
      </c>
      <c r="HH23" s="30">
        <v>3.7000000000000005E-2</v>
      </c>
      <c r="HJ23">
        <f t="shared" si="153"/>
        <v>2026</v>
      </c>
      <c r="HK23" s="28">
        <f t="shared" si="157"/>
        <v>27220</v>
      </c>
      <c r="HL23" s="27">
        <f t="shared" si="155"/>
        <v>6500</v>
      </c>
      <c r="HM23" s="28">
        <f t="shared" si="156"/>
        <v>6704.4693099711649</v>
      </c>
      <c r="HO23">
        <f t="shared" ca="1" si="158"/>
        <v>500000</v>
      </c>
      <c r="HP23" s="4">
        <f t="shared" ca="1" si="159"/>
        <v>500000</v>
      </c>
      <c r="HQ23">
        <f t="shared" ca="1" si="160"/>
        <v>0.15</v>
      </c>
      <c r="HR23" s="4">
        <f t="shared" ca="1" si="161"/>
        <v>65883</v>
      </c>
      <c r="HU23" s="4"/>
      <c r="HV23" s="16"/>
    </row>
    <row r="24" spans="1:241" x14ac:dyDescent="0.25">
      <c r="A24" t="s">
        <v>370</v>
      </c>
      <c r="B24" s="64">
        <f>Inputs_Summary!AK21</f>
        <v>0</v>
      </c>
      <c r="D24">
        <f t="shared" si="106"/>
        <v>2034</v>
      </c>
      <c r="E24">
        <f t="shared" si="106"/>
        <v>39</v>
      </c>
      <c r="F24" s="8"/>
      <c r="G24" s="8"/>
      <c r="H24" s="9"/>
      <c r="I24" s="9"/>
      <c r="J24" s="92"/>
      <c r="K24" s="91"/>
      <c r="L24" s="91"/>
      <c r="N24" s="93">
        <f t="shared" si="107"/>
        <v>0.05</v>
      </c>
      <c r="O24" s="23">
        <f t="shared" si="108"/>
        <v>0</v>
      </c>
      <c r="P24" s="23">
        <f t="shared" si="109"/>
        <v>0.4</v>
      </c>
      <c r="Q24" s="4">
        <f t="shared" si="0"/>
        <v>0</v>
      </c>
      <c r="R24" s="4">
        <f t="shared" si="110"/>
        <v>0</v>
      </c>
      <c r="S24" s="4">
        <f t="shared" si="1"/>
        <v>0</v>
      </c>
      <c r="T24" s="4">
        <f t="shared" ca="1" si="2"/>
        <v>0</v>
      </c>
      <c r="V24" s="18" t="e">
        <f t="shared" ca="1" si="3"/>
        <v>#NAME?</v>
      </c>
      <c r="W24" s="18" t="e">
        <f t="shared" ca="1" si="4"/>
        <v>#NAME?</v>
      </c>
      <c r="X24" s="18">
        <f t="shared" si="5"/>
        <v>0</v>
      </c>
      <c r="Y24" s="18">
        <f t="shared" ca="1" si="6"/>
        <v>5.2160774231791711</v>
      </c>
      <c r="Z24" s="18">
        <f t="shared" ca="1" si="7"/>
        <v>2.6080387115895856</v>
      </c>
      <c r="AA24" s="18">
        <f t="shared" ca="1" si="8"/>
        <v>3.2943314514711051</v>
      </c>
      <c r="AB24" s="18">
        <f t="shared" ca="1" si="9"/>
        <v>0</v>
      </c>
      <c r="AC24" s="18">
        <f t="shared" ca="1" si="10"/>
        <v>220.44644885858187</v>
      </c>
      <c r="AD24" s="18">
        <f t="shared" ca="1" si="11"/>
        <v>52.818324341922647</v>
      </c>
      <c r="AE24" s="18">
        <f t="shared" ca="1" si="12"/>
        <v>46.341941692063216</v>
      </c>
      <c r="AF24" s="18">
        <f t="shared" ca="1" si="13"/>
        <v>0</v>
      </c>
      <c r="AG24" s="18">
        <f t="shared" ca="1" si="14"/>
        <v>319.60671489256771</v>
      </c>
      <c r="AI24">
        <f>Person1!E24</f>
        <v>39</v>
      </c>
      <c r="AJ24">
        <f>Person1!AZ24</f>
        <v>1</v>
      </c>
      <c r="AK24">
        <f>IF(AZ24&lt;&gt;3,Person1!FM24,0)</f>
        <v>0</v>
      </c>
      <c r="AL24" s="4">
        <f ca="1">IF($AZ24&lt;&gt;3,Person1!FN24+Person1!FT24,0)</f>
        <v>7768.3838716772279</v>
      </c>
      <c r="AM24">
        <f>IF($AZ24&lt;&gt;3,Person1!FO24,0)</f>
        <v>0</v>
      </c>
      <c r="AN24">
        <f>IF($AZ24&lt;&gt;3,Person1!FP24,0)</f>
        <v>0</v>
      </c>
      <c r="AO24">
        <f>IF($AZ24&lt;&gt;3,Person1!FQ24,0)</f>
        <v>0</v>
      </c>
      <c r="AP24">
        <f>IF($AZ24&lt;&gt;3,Person1!FR24,0)</f>
        <v>0</v>
      </c>
      <c r="AQ24" s="4">
        <f t="shared" si="15"/>
        <v>0</v>
      </c>
      <c r="AR24" s="4">
        <f>Person1!FS24</f>
        <v>0</v>
      </c>
      <c r="AS24" s="4">
        <f>$B$41*MAX(0,CHOOSE($AZ24,0,IF(AND(Person1!AW24&gt;=Person1!$B$36,AV24&gt;=$B$93),Person1!$B$35*(1+Person1!$B$37)^(Person1!$B$36-Person1!$B$11)*(1+Person1!$B$38)^(Person1!AW24-Person1!$B$36)-CHOOSE(Person1!$B$39+1,0,BD24,BE24,BD24+BE24),0),0,0))</f>
        <v>0</v>
      </c>
      <c r="AT24" s="4">
        <f t="shared" si="16"/>
        <v>0</v>
      </c>
      <c r="AV24">
        <f t="shared" ref="AV24:AW39" si="162">AV23+1</f>
        <v>2034</v>
      </c>
      <c r="AW24">
        <f t="shared" si="162"/>
        <v>39</v>
      </c>
      <c r="AX24">
        <f t="shared" si="112"/>
        <v>1.4002414191924248</v>
      </c>
      <c r="AY24">
        <f t="shared" si="113"/>
        <v>0.71416256246493548</v>
      </c>
      <c r="AZ24">
        <f t="shared" si="114"/>
        <v>1</v>
      </c>
      <c r="BB24" s="4">
        <f t="shared" si="17"/>
        <v>60864.730447083079</v>
      </c>
      <c r="BC24">
        <f t="shared" si="18"/>
        <v>0</v>
      </c>
      <c r="BD24" s="4">
        <f t="shared" si="19"/>
        <v>0</v>
      </c>
      <c r="BE24" s="4">
        <f t="shared" si="115"/>
        <v>0</v>
      </c>
      <c r="BF24" s="4">
        <f t="shared" si="116"/>
        <v>0</v>
      </c>
      <c r="BG24" s="4">
        <f t="shared" si="117"/>
        <v>0</v>
      </c>
      <c r="BH24" s="4">
        <f t="shared" si="20"/>
        <v>0</v>
      </c>
      <c r="BI24" s="4">
        <f t="shared" si="118"/>
        <v>60864.730447083079</v>
      </c>
      <c r="BJ24" s="4"/>
      <c r="BK24" s="4">
        <f t="shared" si="21"/>
        <v>35006.03547981062</v>
      </c>
      <c r="BL24" s="4">
        <f t="shared" si="119"/>
        <v>0</v>
      </c>
      <c r="BM24" s="4">
        <f t="shared" si="120"/>
        <v>35006.03547981062</v>
      </c>
      <c r="BN24" s="4">
        <v>10290.18413989936</v>
      </c>
      <c r="BO24" s="4">
        <f t="shared" si="121"/>
        <v>45296.219619709984</v>
      </c>
      <c r="BP24" s="4">
        <f t="shared" si="122"/>
        <v>15568.510827373095</v>
      </c>
      <c r="BQ24" s="4"/>
      <c r="BR24" s="4">
        <v>0</v>
      </c>
      <c r="BS24" s="4">
        <f t="shared" ca="1" si="22"/>
        <v>10955.651480474953</v>
      </c>
      <c r="BT24" s="4">
        <f t="shared" ca="1" si="23"/>
        <v>78678.817929016805</v>
      </c>
      <c r="BU24" s="4">
        <f t="shared" si="24"/>
        <v>0</v>
      </c>
      <c r="BV24" s="4">
        <f t="shared" si="25"/>
        <v>1</v>
      </c>
      <c r="BW24" s="4">
        <f t="shared" ca="1" si="26"/>
        <v>0</v>
      </c>
      <c r="BX24" s="4">
        <f t="shared" ca="1" si="27"/>
        <v>0</v>
      </c>
      <c r="BY24" s="4">
        <f t="shared" ca="1" si="28"/>
        <v>0</v>
      </c>
      <c r="BZ24" s="4">
        <f t="shared" ca="1" si="29"/>
        <v>0</v>
      </c>
      <c r="CA24" s="4">
        <f t="shared" ca="1" si="30"/>
        <v>0</v>
      </c>
      <c r="CB24" s="4">
        <f t="shared" ca="1" si="154"/>
        <v>0</v>
      </c>
      <c r="CC24" s="4"/>
      <c r="CD24" s="4">
        <f t="shared" ca="1" si="31"/>
        <v>60864.730447083079</v>
      </c>
      <c r="CE24" s="4">
        <f t="shared" ca="1" si="123"/>
        <v>46077.429703190057</v>
      </c>
      <c r="CF24" s="16">
        <f t="shared" si="32"/>
        <v>0</v>
      </c>
      <c r="CG24" s="4">
        <f t="shared" si="33"/>
        <v>3831.6492634180668</v>
      </c>
      <c r="CH24" s="4" t="e">
        <f t="shared" ca="1" si="34"/>
        <v>#NAME?</v>
      </c>
      <c r="CI24" s="4" t="e">
        <f t="shared" ca="1" si="35"/>
        <v>#NAME?</v>
      </c>
      <c r="CJ24" s="4" t="e">
        <f t="shared" ca="1" si="124"/>
        <v>#NAME?</v>
      </c>
      <c r="CK24" s="4" t="e">
        <f t="shared" ca="1" si="125"/>
        <v>#NAME?</v>
      </c>
      <c r="CL24" s="4" t="e">
        <f t="shared" ca="1" si="36"/>
        <v>#NAME?</v>
      </c>
      <c r="CM24" s="16"/>
      <c r="CN24" s="4">
        <f t="shared" si="37"/>
        <v>0</v>
      </c>
      <c r="CO24" s="4">
        <f t="shared" si="38"/>
        <v>0</v>
      </c>
      <c r="CP24" s="4">
        <f t="shared" ca="1" si="39"/>
        <v>447526.56004459772</v>
      </c>
      <c r="CQ24" s="4"/>
      <c r="CR24" s="4">
        <f t="shared" ca="1" si="40"/>
        <v>15568.510827373095</v>
      </c>
      <c r="CS24" s="4">
        <f t="shared" ca="1" si="41"/>
        <v>36230</v>
      </c>
      <c r="CT24" s="4">
        <f t="shared" ca="1" si="42"/>
        <v>10955.651480474953</v>
      </c>
      <c r="CU24" s="4"/>
      <c r="CV24" s="4">
        <f t="shared" ca="1" si="126"/>
        <v>15568.510827373095</v>
      </c>
      <c r="CW24" s="4">
        <f t="shared" ca="1" si="43"/>
        <v>3651.8838268249847</v>
      </c>
      <c r="CX24" s="4">
        <f t="shared" ca="1" si="44"/>
        <v>3651.8838268249847</v>
      </c>
      <c r="CY24" s="4">
        <f t="shared" ca="1" si="127"/>
        <v>11916.627000548109</v>
      </c>
      <c r="CZ24" s="4"/>
      <c r="DA24" s="4">
        <f t="shared" ca="1" si="45"/>
        <v>11916.627000548109</v>
      </c>
      <c r="DB24" s="4">
        <f t="shared" si="46"/>
        <v>0</v>
      </c>
      <c r="DC24" s="4">
        <f t="shared" ca="1" si="128"/>
        <v>3651.8838268249847</v>
      </c>
      <c r="DD24" s="4">
        <f t="shared" ca="1" si="47"/>
        <v>7303.7676536499685</v>
      </c>
      <c r="DE24" s="4">
        <f t="shared" ca="1" si="48"/>
        <v>7303.7676536499685</v>
      </c>
      <c r="DF24" s="4">
        <f t="shared" ca="1" si="129"/>
        <v>0</v>
      </c>
      <c r="DG24" s="4">
        <f t="shared" ca="1" si="130"/>
        <v>7303.7676536499685</v>
      </c>
      <c r="DH24" s="4">
        <f t="shared" ca="1" si="49"/>
        <v>0</v>
      </c>
      <c r="DI24" s="4"/>
      <c r="DJ24" s="4">
        <f t="shared" ca="1" si="50"/>
        <v>4612.8593468981408</v>
      </c>
      <c r="DK24" s="4">
        <f t="shared" ca="1" si="51"/>
        <v>8000</v>
      </c>
      <c r="DL24" s="4">
        <f t="shared" ca="1" si="52"/>
        <v>8000</v>
      </c>
      <c r="DM24" s="4">
        <f t="shared" ca="1" si="53"/>
        <v>78678.817929016805</v>
      </c>
      <c r="DN24" s="4">
        <f t="shared" ca="1" si="54"/>
        <v>4612.8593468981408</v>
      </c>
      <c r="DO24" s="4">
        <f t="shared" ca="1" si="55"/>
        <v>74065.958582118663</v>
      </c>
      <c r="DP24" s="4"/>
      <c r="DQ24" s="4">
        <f t="shared" ca="1" si="56"/>
        <v>0</v>
      </c>
      <c r="DR24" s="4"/>
      <c r="DS24" s="4">
        <f t="shared" si="131"/>
        <v>0</v>
      </c>
      <c r="DT24" s="4">
        <f t="shared" si="57"/>
        <v>0</v>
      </c>
      <c r="DU24" s="4">
        <f t="shared" si="58"/>
        <v>0</v>
      </c>
      <c r="DV24" s="4"/>
      <c r="DW24" s="4">
        <f t="shared" ca="1" si="132"/>
        <v>308678.24840567098</v>
      </c>
      <c r="DX24" s="4">
        <f t="shared" ca="1" si="59"/>
        <v>15072.151525327197</v>
      </c>
      <c r="DY24" s="4">
        <f t="shared" ca="1" si="133"/>
        <v>15433.91242028355</v>
      </c>
      <c r="DZ24" s="4">
        <f t="shared" ca="1" si="60"/>
        <v>0</v>
      </c>
      <c r="EA24" s="4">
        <f t="shared" ca="1" si="61"/>
        <v>0</v>
      </c>
      <c r="EB24" s="4">
        <f t="shared" ca="1" si="62"/>
        <v>324112.16082595452</v>
      </c>
      <c r="EC24" s="4">
        <f t="shared" si="63"/>
        <v>1</v>
      </c>
      <c r="ED24" s="4"/>
      <c r="EE24" s="4">
        <f t="shared" ca="1" si="134"/>
        <v>73958.405435899564</v>
      </c>
      <c r="EF24" s="4">
        <f t="shared" ca="1" si="64"/>
        <v>3651.8838268249847</v>
      </c>
      <c r="EG24" s="4">
        <f t="shared" ca="1" si="135"/>
        <v>3697.9202717949784</v>
      </c>
      <c r="EH24" s="4">
        <f t="shared" ca="1" si="65"/>
        <v>0</v>
      </c>
      <c r="EI24" s="4">
        <f t="shared" ca="1" si="66"/>
        <v>0</v>
      </c>
      <c r="EJ24" s="4">
        <f t="shared" ca="1" si="67"/>
        <v>0</v>
      </c>
      <c r="EK24" s="4">
        <f t="shared" si="68"/>
        <v>1</v>
      </c>
      <c r="EL24" s="4">
        <f t="shared" si="69"/>
        <v>0</v>
      </c>
      <c r="EM24" s="4"/>
      <c r="EN24" s="4">
        <f t="shared" ca="1" si="136"/>
        <v>64889.906203027196</v>
      </c>
      <c r="EO24" s="4">
        <f t="shared" ca="1" si="70"/>
        <v>4612.8593468981408</v>
      </c>
      <c r="EP24" s="4">
        <f t="shared" ca="1" si="137"/>
        <v>3244.4953101513602</v>
      </c>
      <c r="EQ24" s="4">
        <f t="shared" ca="1" si="71"/>
        <v>0</v>
      </c>
      <c r="ER24" s="4">
        <v>0</v>
      </c>
      <c r="ES24" s="4">
        <f t="shared" ca="1" si="138"/>
        <v>68134.401513178556</v>
      </c>
      <c r="ET24" s="4"/>
      <c r="EU24" s="4">
        <f t="shared" ca="1" si="139"/>
        <v>0</v>
      </c>
      <c r="EV24" s="4">
        <f t="shared" ca="1" si="72"/>
        <v>0</v>
      </c>
      <c r="EW24" s="4">
        <f t="shared" ca="1" si="140"/>
        <v>0</v>
      </c>
      <c r="EX24" s="4">
        <f t="shared" ca="1" si="73"/>
        <v>0</v>
      </c>
      <c r="EY24" s="4">
        <v>0</v>
      </c>
      <c r="EZ24" s="4">
        <f t="shared" ca="1" si="141"/>
        <v>0</v>
      </c>
      <c r="FA24" s="4">
        <f t="shared" ca="1" si="142"/>
        <v>0</v>
      </c>
      <c r="FB24" s="1">
        <f t="shared" ca="1" si="74"/>
        <v>0</v>
      </c>
      <c r="FC24" s="4">
        <f t="shared" ca="1" si="143"/>
        <v>0</v>
      </c>
      <c r="FD24" s="4">
        <f t="shared" ca="1" si="144"/>
        <v>0</v>
      </c>
      <c r="FE24" s="4">
        <f t="shared" ca="1" si="75"/>
        <v>0</v>
      </c>
      <c r="FF24" s="4">
        <f t="shared" ca="1" si="76"/>
        <v>0</v>
      </c>
      <c r="FG24" s="4">
        <f t="shared" ca="1" si="77"/>
        <v>0</v>
      </c>
      <c r="FH24" s="17">
        <f t="shared" ca="1" si="78"/>
        <v>0</v>
      </c>
      <c r="FI24" s="4">
        <f t="shared" ca="1" si="79"/>
        <v>0</v>
      </c>
      <c r="FJ24" s="4"/>
      <c r="FK24" s="4">
        <f t="shared" ca="1" si="80"/>
        <v>392246.56233913306</v>
      </c>
      <c r="FL24" s="4"/>
      <c r="FM24" s="4">
        <v>0</v>
      </c>
      <c r="FN24" s="4">
        <v>0</v>
      </c>
      <c r="FO24" s="4">
        <v>0</v>
      </c>
      <c r="FP24" s="4">
        <v>0</v>
      </c>
      <c r="FQ24" s="4">
        <v>0</v>
      </c>
      <c r="FR24" s="4">
        <v>0</v>
      </c>
      <c r="FS24" s="4">
        <f t="shared" si="81"/>
        <v>0</v>
      </c>
      <c r="FT24" s="4">
        <f t="shared" ca="1" si="82"/>
        <v>0</v>
      </c>
      <c r="FU24" s="4"/>
      <c r="FV24" s="3">
        <f t="shared" si="83"/>
        <v>0.71416256246493548</v>
      </c>
      <c r="FW24" s="3">
        <f t="shared" si="84"/>
        <v>0.71416256246493548</v>
      </c>
      <c r="FX24" s="4">
        <f t="shared" si="145"/>
        <v>2034</v>
      </c>
      <c r="FY24" s="4">
        <f t="shared" si="85"/>
        <v>43.467311859826424</v>
      </c>
      <c r="FZ24" s="4">
        <f t="shared" si="86"/>
        <v>0</v>
      </c>
      <c r="GA24" s="4">
        <f t="shared" si="87"/>
        <v>0</v>
      </c>
      <c r="GB24" s="4">
        <f t="shared" si="88"/>
        <v>0</v>
      </c>
      <c r="GC24" s="4">
        <f t="shared" ca="1" si="89"/>
        <v>0</v>
      </c>
      <c r="GD24" s="4">
        <f t="shared" ca="1" si="90"/>
        <v>0</v>
      </c>
      <c r="GE24" s="4">
        <f t="shared" ca="1" si="91"/>
        <v>0</v>
      </c>
      <c r="GF24" s="4">
        <f t="shared" ca="1" si="92"/>
        <v>0</v>
      </c>
      <c r="GG24" s="18" t="e">
        <f t="shared" ca="1" si="93"/>
        <v>#NAME?</v>
      </c>
      <c r="GH24" s="18" t="e">
        <f t="shared" ca="1" si="94"/>
        <v>#NAME?</v>
      </c>
      <c r="GI24" s="4"/>
      <c r="GJ24" s="4">
        <f t="shared" si="95"/>
        <v>2034</v>
      </c>
      <c r="GK24" s="4">
        <f t="shared" ca="1" si="96"/>
        <v>220.44644885858187</v>
      </c>
      <c r="GL24" s="4">
        <f t="shared" ca="1" si="97"/>
        <v>52.818324341922647</v>
      </c>
      <c r="GM24" s="4">
        <f t="shared" ca="1" si="98"/>
        <v>46.341941692063216</v>
      </c>
      <c r="GN24" s="4">
        <f t="shared" ca="1" si="99"/>
        <v>0</v>
      </c>
      <c r="GO24" s="4"/>
      <c r="GP24" s="3">
        <f t="shared" ca="1" si="146"/>
        <v>0.82629700791547001</v>
      </c>
      <c r="GQ24" s="3">
        <f t="shared" ca="1" si="100"/>
        <v>0</v>
      </c>
      <c r="GR24" s="3">
        <f t="shared" ca="1" si="101"/>
        <v>0</v>
      </c>
      <c r="GS24" s="3">
        <f t="shared" ca="1" si="102"/>
        <v>0.17370299208453005</v>
      </c>
      <c r="GT24" s="3">
        <f t="array" aca="1" ref="GT24" ca="1">SUM(GP24:GS24*$GU$6:$GX$6)</f>
        <v>1</v>
      </c>
      <c r="GU24" s="3">
        <f t="shared" ca="1" si="147"/>
        <v>0.82629700791547001</v>
      </c>
      <c r="GV24" s="3">
        <f t="shared" ca="1" si="148"/>
        <v>0</v>
      </c>
      <c r="GW24" s="3">
        <f t="shared" ca="1" si="149"/>
        <v>0</v>
      </c>
      <c r="GX24" s="3">
        <f t="shared" ca="1" si="150"/>
        <v>0.17370299208453005</v>
      </c>
      <c r="GY24" s="11"/>
      <c r="GZ24" s="27">
        <v>66</v>
      </c>
      <c r="HA24" s="29">
        <v>4.1700000000000001E-2</v>
      </c>
      <c r="HB24" s="29">
        <f t="shared" ca="1" si="151"/>
        <v>7.6700000000000004E-2</v>
      </c>
      <c r="HC24" s="29">
        <v>7.6700000000000004E-2</v>
      </c>
      <c r="HD24" s="29">
        <v>7.3999999999999996E-2</v>
      </c>
      <c r="HE24" s="29">
        <v>5.6399999999999999E-2</v>
      </c>
      <c r="HG24" s="27">
        <v>64</v>
      </c>
      <c r="HH24" s="30">
        <v>3.85E-2</v>
      </c>
      <c r="HJ24">
        <f t="shared" si="153"/>
        <v>2027</v>
      </c>
      <c r="HK24" s="28">
        <f t="shared" ref="HK24:HK78" si="163">ROUND(HK$13*(1+$B$15)^(HJ24-HJ$13)/10,0)*10</f>
        <v>31540</v>
      </c>
      <c r="HL24" s="27">
        <f t="shared" si="155"/>
        <v>7000</v>
      </c>
      <c r="HM24" s="28">
        <f t="shared" si="156"/>
        <v>6838.5586961705885</v>
      </c>
      <c r="HO24">
        <f t="shared" ca="1" si="158"/>
        <v>1000000</v>
      </c>
      <c r="HP24" s="4">
        <f t="shared" ca="1" si="159"/>
        <v>1000000</v>
      </c>
      <c r="HQ24">
        <f t="shared" ca="1" si="160"/>
        <v>0.15</v>
      </c>
      <c r="HR24" s="4">
        <f t="shared" ca="1" si="161"/>
        <v>140883</v>
      </c>
      <c r="HT24" t="s">
        <v>226</v>
      </c>
      <c r="HU24" s="4"/>
      <c r="HV24" s="16">
        <f ca="1">OFFSET(HR56,0,$HP$15-1)</f>
        <v>0.1</v>
      </c>
      <c r="HW24" s="16">
        <f ca="1">OFFSET(HR57,0,$HP$15-1)</f>
        <v>3.1E-2</v>
      </c>
      <c r="HX24" t="s">
        <v>632</v>
      </c>
    </row>
    <row r="25" spans="1:241" x14ac:dyDescent="0.25">
      <c r="A25" t="s">
        <v>174</v>
      </c>
      <c r="B25" s="62">
        <f>Inputs_Summary!AK22</f>
        <v>0</v>
      </c>
      <c r="D25">
        <f t="shared" si="106"/>
        <v>2035</v>
      </c>
      <c r="E25">
        <f t="shared" si="106"/>
        <v>40</v>
      </c>
      <c r="F25" s="8"/>
      <c r="G25" s="8"/>
      <c r="H25" s="9"/>
      <c r="I25" s="9"/>
      <c r="J25" s="92"/>
      <c r="K25" s="91"/>
      <c r="L25" s="91"/>
      <c r="N25" s="93">
        <f t="shared" si="107"/>
        <v>0.05</v>
      </c>
      <c r="O25" s="23">
        <f t="shared" si="108"/>
        <v>0</v>
      </c>
      <c r="P25" s="23">
        <f t="shared" si="109"/>
        <v>0.4</v>
      </c>
      <c r="Q25" s="4">
        <f t="shared" si="0"/>
        <v>0</v>
      </c>
      <c r="R25" s="4">
        <f t="shared" si="110"/>
        <v>0</v>
      </c>
      <c r="S25" s="4">
        <f t="shared" si="1"/>
        <v>0</v>
      </c>
      <c r="T25" s="4">
        <f t="shared" ca="1" si="2"/>
        <v>0</v>
      </c>
      <c r="V25" s="18" t="e">
        <f t="shared" ca="1" si="3"/>
        <v>#NAME?</v>
      </c>
      <c r="W25" s="18" t="e">
        <f t="shared" ca="1" si="4"/>
        <v>#NAME?</v>
      </c>
      <c r="X25" s="18">
        <f t="shared" si="5"/>
        <v>0</v>
      </c>
      <c r="Y25" s="18">
        <f t="shared" ca="1" si="6"/>
        <v>5.2416464301555399</v>
      </c>
      <c r="Z25" s="18">
        <f t="shared" ca="1" si="7"/>
        <v>2.6208232150777699</v>
      </c>
      <c r="AA25" s="18">
        <f t="shared" ca="1" si="8"/>
        <v>3.4130378189302695</v>
      </c>
      <c r="AB25" s="18">
        <f t="shared" ca="1" si="9"/>
        <v>0</v>
      </c>
      <c r="AC25" s="18">
        <f t="shared" ca="1" si="10"/>
        <v>237.48307613401801</v>
      </c>
      <c r="AD25" s="18">
        <f t="shared" ca="1" si="11"/>
        <v>56.928705167263097</v>
      </c>
      <c r="AE25" s="18">
        <f t="shared" ca="1" si="12"/>
        <v>50.934676694252424</v>
      </c>
      <c r="AF25" s="18">
        <f t="shared" ca="1" si="13"/>
        <v>0</v>
      </c>
      <c r="AG25" s="18">
        <f t="shared" ca="1" si="14"/>
        <v>345.34645799553351</v>
      </c>
      <c r="AI25">
        <f>Person1!E25</f>
        <v>40</v>
      </c>
      <c r="AJ25">
        <f>Person1!AZ25</f>
        <v>1</v>
      </c>
      <c r="AK25">
        <f>IF(AZ25&lt;&gt;3,Person1!FM25,0)</f>
        <v>0</v>
      </c>
      <c r="AL25" s="4">
        <f ca="1">IF($AZ25&lt;&gt;3,Person1!FN25+Person1!FT25,0)</f>
        <v>8001.4353878275451</v>
      </c>
      <c r="AM25">
        <f>IF($AZ25&lt;&gt;3,Person1!FO25,0)</f>
        <v>0</v>
      </c>
      <c r="AN25">
        <f>IF($AZ25&lt;&gt;3,Person1!FP25,0)</f>
        <v>0</v>
      </c>
      <c r="AO25">
        <f>IF($AZ25&lt;&gt;3,Person1!FQ25,0)</f>
        <v>0</v>
      </c>
      <c r="AP25">
        <f>IF($AZ25&lt;&gt;3,Person1!FR25,0)</f>
        <v>0</v>
      </c>
      <c r="AQ25" s="4">
        <f t="shared" si="15"/>
        <v>0</v>
      </c>
      <c r="AR25" s="4">
        <f>Person1!FS25</f>
        <v>0</v>
      </c>
      <c r="AS25" s="4">
        <f>$B$41*MAX(0,CHOOSE($AZ25,0,IF(AND(Person1!AW25&gt;=Person1!$B$36,AV25&gt;=$B$93),Person1!$B$35*(1+Person1!$B$37)^(Person1!$B$36-Person1!$B$11)*(1+Person1!$B$38)^(Person1!AW25-Person1!$B$36)-CHOOSE(Person1!$B$39+1,0,BD25,BE25,BD25+BE25),0),0,0))</f>
        <v>0</v>
      </c>
      <c r="AT25" s="4">
        <f t="shared" si="16"/>
        <v>0</v>
      </c>
      <c r="AV25">
        <f t="shared" si="162"/>
        <v>2035</v>
      </c>
      <c r="AW25">
        <f t="shared" si="162"/>
        <v>40</v>
      </c>
      <c r="AX25">
        <f t="shared" si="112"/>
        <v>1.4282462475762734</v>
      </c>
      <c r="AY25">
        <f t="shared" si="113"/>
        <v>0.70015937496562297</v>
      </c>
      <c r="AZ25">
        <f t="shared" si="114"/>
        <v>1</v>
      </c>
      <c r="BB25" s="4">
        <f t="shared" si="17"/>
        <v>62386.348708260157</v>
      </c>
      <c r="BC25">
        <f t="shared" si="18"/>
        <v>0</v>
      </c>
      <c r="BD25" s="4">
        <f t="shared" si="19"/>
        <v>0</v>
      </c>
      <c r="BE25" s="4">
        <f t="shared" si="115"/>
        <v>0</v>
      </c>
      <c r="BF25" s="4">
        <f t="shared" si="116"/>
        <v>0</v>
      </c>
      <c r="BG25" s="4">
        <f t="shared" si="117"/>
        <v>0</v>
      </c>
      <c r="BH25" s="4">
        <f t="shared" si="20"/>
        <v>0</v>
      </c>
      <c r="BI25" s="4">
        <f t="shared" si="118"/>
        <v>62386.348708260157</v>
      </c>
      <c r="BJ25" s="4"/>
      <c r="BK25" s="4">
        <f t="shared" si="21"/>
        <v>35706.156189406836</v>
      </c>
      <c r="BL25" s="4">
        <f t="shared" si="119"/>
        <v>0</v>
      </c>
      <c r="BM25" s="4">
        <f t="shared" si="120"/>
        <v>35706.156189406836</v>
      </c>
      <c r="BN25" s="4">
        <v>10575.991293643425</v>
      </c>
      <c r="BO25" s="4">
        <f t="shared" si="121"/>
        <v>46282.147483050263</v>
      </c>
      <c r="BP25" s="4">
        <f t="shared" si="122"/>
        <v>16104.201225209894</v>
      </c>
      <c r="BQ25" s="4"/>
      <c r="BR25" s="4">
        <v>0</v>
      </c>
      <c r="BS25" s="4">
        <f t="shared" ca="1" si="22"/>
        <v>11229.542767486828</v>
      </c>
      <c r="BT25" s="4">
        <f t="shared" ca="1" si="23"/>
        <v>82065.958582118663</v>
      </c>
      <c r="BU25" s="4">
        <f t="shared" si="24"/>
        <v>0</v>
      </c>
      <c r="BV25" s="4">
        <f t="shared" si="25"/>
        <v>1</v>
      </c>
      <c r="BW25" s="4">
        <f t="shared" ca="1" si="26"/>
        <v>0</v>
      </c>
      <c r="BX25" s="4">
        <f t="shared" ca="1" si="27"/>
        <v>0</v>
      </c>
      <c r="BY25" s="4">
        <f t="shared" ca="1" si="28"/>
        <v>0</v>
      </c>
      <c r="BZ25" s="4">
        <f t="shared" ca="1" si="29"/>
        <v>0</v>
      </c>
      <c r="CA25" s="4">
        <f t="shared" ca="1" si="30"/>
        <v>0</v>
      </c>
      <c r="CB25" s="4">
        <f t="shared" ca="1" si="154"/>
        <v>0</v>
      </c>
      <c r="CC25" s="4"/>
      <c r="CD25" s="4">
        <f t="shared" ca="1" si="31"/>
        <v>62386.348708260157</v>
      </c>
      <c r="CE25" s="4">
        <f t="shared" ca="1" si="123"/>
        <v>47225.034195769811</v>
      </c>
      <c r="CF25" s="16">
        <f t="shared" si="32"/>
        <v>0</v>
      </c>
      <c r="CG25" s="4">
        <f t="shared" si="33"/>
        <v>3931.7717450035184</v>
      </c>
      <c r="CH25" s="4" t="e">
        <f t="shared" ca="1" si="34"/>
        <v>#NAME?</v>
      </c>
      <c r="CI25" s="4" t="e">
        <f t="shared" ca="1" si="35"/>
        <v>#NAME?</v>
      </c>
      <c r="CJ25" s="4" t="e">
        <f t="shared" ca="1" si="124"/>
        <v>#NAME?</v>
      </c>
      <c r="CK25" s="4" t="e">
        <f t="shared" ca="1" si="125"/>
        <v>#NAME?</v>
      </c>
      <c r="CL25" s="4" t="e">
        <f t="shared" ca="1" si="36"/>
        <v>#NAME?</v>
      </c>
      <c r="CM25" s="16"/>
      <c r="CN25" s="4">
        <f t="shared" si="37"/>
        <v>0</v>
      </c>
      <c r="CO25" s="4">
        <f t="shared" si="38"/>
        <v>0</v>
      </c>
      <c r="CP25" s="4">
        <f t="shared" ca="1" si="39"/>
        <v>493239.78274587792</v>
      </c>
      <c r="CQ25" s="4"/>
      <c r="CR25" s="4">
        <f t="shared" ca="1" si="40"/>
        <v>16104.201225209894</v>
      </c>
      <c r="CS25" s="4">
        <f t="shared" ca="1" si="41"/>
        <v>36960</v>
      </c>
      <c r="CT25" s="4">
        <f t="shared" ca="1" si="42"/>
        <v>11229.542767486828</v>
      </c>
      <c r="CU25" s="4"/>
      <c r="CV25" s="4">
        <f t="shared" ca="1" si="126"/>
        <v>16104.201225209894</v>
      </c>
      <c r="CW25" s="4">
        <f t="shared" ca="1" si="43"/>
        <v>3743.1809224956091</v>
      </c>
      <c r="CX25" s="4">
        <f t="shared" ca="1" si="44"/>
        <v>3743.1809224956091</v>
      </c>
      <c r="CY25" s="4">
        <f t="shared" ca="1" si="127"/>
        <v>12361.020302714285</v>
      </c>
      <c r="CZ25" s="4"/>
      <c r="DA25" s="4">
        <f t="shared" ca="1" si="45"/>
        <v>12361.020302714285</v>
      </c>
      <c r="DB25" s="4">
        <f t="shared" si="46"/>
        <v>0</v>
      </c>
      <c r="DC25" s="4">
        <f t="shared" ca="1" si="128"/>
        <v>3743.1809224956091</v>
      </c>
      <c r="DD25" s="4">
        <f t="shared" ca="1" si="47"/>
        <v>7486.3618449912192</v>
      </c>
      <c r="DE25" s="4">
        <f t="shared" ca="1" si="48"/>
        <v>7486.3618449912192</v>
      </c>
      <c r="DF25" s="4">
        <f t="shared" ca="1" si="129"/>
        <v>0</v>
      </c>
      <c r="DG25" s="4">
        <f t="shared" ca="1" si="130"/>
        <v>7486.3618449912192</v>
      </c>
      <c r="DH25" s="4">
        <f t="shared" ca="1" si="49"/>
        <v>0</v>
      </c>
      <c r="DI25" s="4"/>
      <c r="DJ25" s="4">
        <f t="shared" ca="1" si="50"/>
        <v>4874.658457723066</v>
      </c>
      <c r="DK25" s="4">
        <f t="shared" ca="1" si="51"/>
        <v>8000</v>
      </c>
      <c r="DL25" s="4">
        <f t="shared" ca="1" si="52"/>
        <v>8000</v>
      </c>
      <c r="DM25" s="4">
        <f t="shared" ca="1" si="53"/>
        <v>82065.958582118663</v>
      </c>
      <c r="DN25" s="4">
        <f t="shared" ca="1" si="54"/>
        <v>4874.658457723066</v>
      </c>
      <c r="DO25" s="4">
        <f t="shared" ca="1" si="55"/>
        <v>77191.300124395595</v>
      </c>
      <c r="DP25" s="4"/>
      <c r="DQ25" s="4">
        <f t="shared" ca="1" si="56"/>
        <v>0</v>
      </c>
      <c r="DR25" s="4"/>
      <c r="DS25" s="4">
        <f t="shared" si="131"/>
        <v>0</v>
      </c>
      <c r="DT25" s="4">
        <f t="shared" si="57"/>
        <v>0</v>
      </c>
      <c r="DU25" s="4">
        <f t="shared" si="58"/>
        <v>0</v>
      </c>
      <c r="DV25" s="4"/>
      <c r="DW25" s="4">
        <f t="shared" ca="1" si="132"/>
        <v>339184.3123512817</v>
      </c>
      <c r="DX25" s="4">
        <f t="shared" ca="1" si="59"/>
        <v>15487.797232818764</v>
      </c>
      <c r="DY25" s="4">
        <f t="shared" ca="1" si="133"/>
        <v>16959.215617564085</v>
      </c>
      <c r="DZ25" s="4">
        <f t="shared" ca="1" si="60"/>
        <v>0</v>
      </c>
      <c r="EA25" s="4">
        <f t="shared" ca="1" si="61"/>
        <v>0</v>
      </c>
      <c r="EB25" s="4">
        <f t="shared" ca="1" si="62"/>
        <v>356143.5279688458</v>
      </c>
      <c r="EC25" s="4">
        <f t="shared" si="63"/>
        <v>1</v>
      </c>
      <c r="ED25" s="4"/>
      <c r="EE25" s="4">
        <f t="shared" ca="1" si="134"/>
        <v>81308.209534519527</v>
      </c>
      <c r="EF25" s="4">
        <f t="shared" ca="1" si="64"/>
        <v>3743.1809224956091</v>
      </c>
      <c r="EG25" s="4">
        <f t="shared" ca="1" si="135"/>
        <v>4065.4104767259764</v>
      </c>
      <c r="EH25" s="4">
        <f t="shared" ca="1" si="65"/>
        <v>0</v>
      </c>
      <c r="EI25" s="4">
        <f t="shared" ca="1" si="66"/>
        <v>0</v>
      </c>
      <c r="EJ25" s="4">
        <f t="shared" ca="1" si="67"/>
        <v>0</v>
      </c>
      <c r="EK25" s="4">
        <f t="shared" si="68"/>
        <v>1</v>
      </c>
      <c r="EL25" s="4">
        <f t="shared" si="69"/>
        <v>0</v>
      </c>
      <c r="EM25" s="4"/>
      <c r="EN25" s="4">
        <f t="shared" ca="1" si="136"/>
        <v>72747.260860076698</v>
      </c>
      <c r="EO25" s="4">
        <f t="shared" ca="1" si="70"/>
        <v>4874.658457723066</v>
      </c>
      <c r="EP25" s="4">
        <f t="shared" ca="1" si="137"/>
        <v>3637.3630430038352</v>
      </c>
      <c r="EQ25" s="4">
        <f t="shared" ca="1" si="71"/>
        <v>0</v>
      </c>
      <c r="ER25" s="4">
        <v>0</v>
      </c>
      <c r="ES25" s="4">
        <f t="shared" ca="1" si="138"/>
        <v>76384.62390308053</v>
      </c>
      <c r="ET25" s="4"/>
      <c r="EU25" s="4">
        <f t="shared" ca="1" si="139"/>
        <v>0</v>
      </c>
      <c r="EV25" s="4">
        <f t="shared" ca="1" si="72"/>
        <v>0</v>
      </c>
      <c r="EW25" s="4">
        <f t="shared" ca="1" si="140"/>
        <v>0</v>
      </c>
      <c r="EX25" s="4">
        <f t="shared" ca="1" si="73"/>
        <v>0</v>
      </c>
      <c r="EY25" s="4">
        <v>0</v>
      </c>
      <c r="EZ25" s="4">
        <f t="shared" ca="1" si="141"/>
        <v>0</v>
      </c>
      <c r="FA25" s="4">
        <f t="shared" ca="1" si="142"/>
        <v>0</v>
      </c>
      <c r="FB25" s="1">
        <f t="shared" ca="1" si="74"/>
        <v>0</v>
      </c>
      <c r="FC25" s="4">
        <f t="shared" ca="1" si="143"/>
        <v>0</v>
      </c>
      <c r="FD25" s="4">
        <f t="shared" ca="1" si="144"/>
        <v>0</v>
      </c>
      <c r="FE25" s="4">
        <f t="shared" ca="1" si="75"/>
        <v>0</v>
      </c>
      <c r="FF25" s="4">
        <f t="shared" ca="1" si="76"/>
        <v>0</v>
      </c>
      <c r="FG25" s="4">
        <f t="shared" ca="1" si="77"/>
        <v>0</v>
      </c>
      <c r="FH25" s="17">
        <f t="shared" ca="1" si="78"/>
        <v>0</v>
      </c>
      <c r="FI25" s="4">
        <f t="shared" ca="1" si="79"/>
        <v>0</v>
      </c>
      <c r="FJ25" s="4"/>
      <c r="FK25" s="4">
        <f t="shared" ca="1" si="80"/>
        <v>432528.15187192633</v>
      </c>
      <c r="FL25" s="4"/>
      <c r="FM25" s="4">
        <v>0</v>
      </c>
      <c r="FN25" s="4">
        <v>0</v>
      </c>
      <c r="FO25" s="4">
        <v>0</v>
      </c>
      <c r="FP25" s="4">
        <v>0</v>
      </c>
      <c r="FQ25" s="4">
        <v>0</v>
      </c>
      <c r="FR25" s="4">
        <v>0</v>
      </c>
      <c r="FS25" s="4">
        <f t="shared" si="81"/>
        <v>0</v>
      </c>
      <c r="FT25" s="4">
        <f t="shared" ca="1" si="82"/>
        <v>0</v>
      </c>
      <c r="FU25" s="4"/>
      <c r="FV25" s="3">
        <f t="shared" si="83"/>
        <v>0.70015937496562297</v>
      </c>
      <c r="FW25" s="3">
        <f t="shared" si="84"/>
        <v>0.70015937496562297</v>
      </c>
      <c r="FX25" s="4">
        <f t="shared" si="145"/>
        <v>2035</v>
      </c>
      <c r="FY25" s="4">
        <f t="shared" si="85"/>
        <v>43.680386917962828</v>
      </c>
      <c r="FZ25" s="4">
        <f t="shared" si="86"/>
        <v>0</v>
      </c>
      <c r="GA25" s="4">
        <f t="shared" si="87"/>
        <v>0</v>
      </c>
      <c r="GB25" s="4">
        <f t="shared" si="88"/>
        <v>0</v>
      </c>
      <c r="GC25" s="4">
        <f t="shared" ca="1" si="89"/>
        <v>0</v>
      </c>
      <c r="GD25" s="4">
        <f t="shared" ca="1" si="90"/>
        <v>0</v>
      </c>
      <c r="GE25" s="4">
        <f t="shared" ca="1" si="91"/>
        <v>0</v>
      </c>
      <c r="GF25" s="4">
        <f t="shared" ca="1" si="92"/>
        <v>0</v>
      </c>
      <c r="GG25" s="18" t="e">
        <f t="shared" ca="1" si="93"/>
        <v>#NAME?</v>
      </c>
      <c r="GH25" s="18" t="e">
        <f t="shared" ca="1" si="94"/>
        <v>#NAME?</v>
      </c>
      <c r="GI25" s="4"/>
      <c r="GJ25" s="4">
        <f t="shared" si="95"/>
        <v>2035</v>
      </c>
      <c r="GK25" s="4">
        <f t="shared" ca="1" si="96"/>
        <v>237.48307613401801</v>
      </c>
      <c r="GL25" s="4">
        <f t="shared" ca="1" si="97"/>
        <v>56.928705167263097</v>
      </c>
      <c r="GM25" s="4">
        <f t="shared" ca="1" si="98"/>
        <v>50.934676694252424</v>
      </c>
      <c r="GN25" s="4">
        <f t="shared" ca="1" si="99"/>
        <v>0</v>
      </c>
      <c r="GO25" s="4"/>
      <c r="GP25" s="3">
        <f t="shared" ca="1" si="146"/>
        <v>0.82339964792465492</v>
      </c>
      <c r="GQ25" s="3">
        <f t="shared" ca="1" si="100"/>
        <v>0</v>
      </c>
      <c r="GR25" s="3">
        <f t="shared" ca="1" si="101"/>
        <v>0</v>
      </c>
      <c r="GS25" s="3">
        <f t="shared" ca="1" si="102"/>
        <v>0.17660035207534511</v>
      </c>
      <c r="GT25" s="3">
        <f t="array" aca="1" ref="GT25" ca="1">SUM(GP25:GS25*$GU$6:$GX$6)</f>
        <v>1</v>
      </c>
      <c r="GU25" s="3">
        <f t="shared" ca="1" si="147"/>
        <v>0.82339964792465492</v>
      </c>
      <c r="GV25" s="3">
        <f t="shared" ca="1" si="148"/>
        <v>0</v>
      </c>
      <c r="GW25" s="3">
        <f t="shared" ca="1" si="149"/>
        <v>0</v>
      </c>
      <c r="GX25" s="3">
        <f t="shared" ca="1" si="150"/>
        <v>0.17660035207534511</v>
      </c>
      <c r="GY25" s="11"/>
      <c r="GZ25" s="27">
        <v>67</v>
      </c>
      <c r="HA25" s="29">
        <v>4.3499999999999997E-2</v>
      </c>
      <c r="HB25" s="29">
        <f t="shared" ca="1" si="151"/>
        <v>7.8299999999999995E-2</v>
      </c>
      <c r="HC25" s="29">
        <v>7.8299999999999995E-2</v>
      </c>
      <c r="HD25" s="29">
        <v>7.5999999999999998E-2</v>
      </c>
      <c r="HE25" s="29">
        <v>5.8000000000000003E-2</v>
      </c>
      <c r="HG25" s="27">
        <v>65</v>
      </c>
      <c r="HH25" s="30">
        <v>0.04</v>
      </c>
      <c r="HJ25">
        <f t="shared" si="153"/>
        <v>2028</v>
      </c>
      <c r="HK25" s="28">
        <f t="shared" si="163"/>
        <v>32180</v>
      </c>
      <c r="HL25" s="27">
        <f t="shared" si="155"/>
        <v>7000</v>
      </c>
      <c r="HM25" s="28">
        <f t="shared" si="156"/>
        <v>6975.3298700940004</v>
      </c>
    </row>
    <row r="26" spans="1:241" x14ac:dyDescent="0.25">
      <c r="A26" t="s">
        <v>175</v>
      </c>
      <c r="B26" s="62">
        <f>Inputs_Summary!AK23</f>
        <v>0</v>
      </c>
      <c r="D26">
        <f t="shared" si="106"/>
        <v>2036</v>
      </c>
      <c r="E26">
        <f t="shared" si="106"/>
        <v>41</v>
      </c>
      <c r="F26" s="8"/>
      <c r="G26" s="8"/>
      <c r="H26" s="9"/>
      <c r="I26" s="8"/>
      <c r="J26" s="92"/>
      <c r="K26" s="91"/>
      <c r="L26" s="91"/>
      <c r="N26" s="93">
        <f t="shared" si="107"/>
        <v>0.05</v>
      </c>
      <c r="O26" s="23">
        <f t="shared" si="108"/>
        <v>0</v>
      </c>
      <c r="P26" s="23">
        <f t="shared" si="109"/>
        <v>0.4</v>
      </c>
      <c r="Q26" s="4">
        <f t="shared" si="0"/>
        <v>0</v>
      </c>
      <c r="R26" s="4">
        <f t="shared" si="110"/>
        <v>0</v>
      </c>
      <c r="S26" s="4">
        <f t="shared" si="1"/>
        <v>0</v>
      </c>
      <c r="T26" s="4">
        <f t="shared" ca="1" si="2"/>
        <v>0</v>
      </c>
      <c r="V26" s="18" t="e">
        <f t="shared" ca="1" si="3"/>
        <v>#NAME?</v>
      </c>
      <c r="W26" s="18" t="e">
        <f t="shared" ca="1" si="4"/>
        <v>#NAME?</v>
      </c>
      <c r="X26" s="18">
        <f t="shared" si="5"/>
        <v>0</v>
      </c>
      <c r="Y26" s="18">
        <f t="shared" ca="1" si="6"/>
        <v>5.2673407754013999</v>
      </c>
      <c r="Z26" s="18">
        <f t="shared" ca="1" si="7"/>
        <v>2.6336703877007004</v>
      </c>
      <c r="AA26" s="18">
        <f t="shared" ca="1" si="8"/>
        <v>3.5323706768959933</v>
      </c>
      <c r="AB26" s="18">
        <f t="shared" ca="1" si="9"/>
        <v>0</v>
      </c>
      <c r="AC26" s="18">
        <f t="shared" ca="1" si="10"/>
        <v>255.0991729125918</v>
      </c>
      <c r="AD26" s="18">
        <f t="shared" ca="1" si="11"/>
        <v>61.172513373239234</v>
      </c>
      <c r="AE26" s="18">
        <f t="shared" ca="1" si="12"/>
        <v>55.778870929309136</v>
      </c>
      <c r="AF26" s="18">
        <f t="shared" ca="1" si="13"/>
        <v>0</v>
      </c>
      <c r="AG26" s="18">
        <f t="shared" ca="1" si="14"/>
        <v>372.0505572151402</v>
      </c>
      <c r="AI26">
        <f>Person1!E26</f>
        <v>41</v>
      </c>
      <c r="AJ26">
        <f>Person1!AZ26</f>
        <v>1</v>
      </c>
      <c r="AK26">
        <f>IF(AZ26&lt;&gt;3,Person1!FM26,0)</f>
        <v>0</v>
      </c>
      <c r="AL26" s="4">
        <f ca="1">IF($AZ26&lt;&gt;3,Person1!FN26+Person1!FT26,0)</f>
        <v>8241.4784494623709</v>
      </c>
      <c r="AM26">
        <f>IF($AZ26&lt;&gt;3,Person1!FO26,0)</f>
        <v>0</v>
      </c>
      <c r="AN26">
        <f>IF($AZ26&lt;&gt;3,Person1!FP26,0)</f>
        <v>0</v>
      </c>
      <c r="AO26">
        <f>IF($AZ26&lt;&gt;3,Person1!FQ26,0)</f>
        <v>0</v>
      </c>
      <c r="AP26">
        <f>IF($AZ26&lt;&gt;3,Person1!FR26,0)</f>
        <v>0</v>
      </c>
      <c r="AQ26" s="4">
        <f t="shared" si="15"/>
        <v>0</v>
      </c>
      <c r="AR26" s="4">
        <f>Person1!FS26</f>
        <v>0</v>
      </c>
      <c r="AS26" s="4">
        <f>$B$41*MAX(0,CHOOSE($AZ26,0,IF(AND(Person1!AW26&gt;=Person1!$B$36,AV26&gt;=$B$93),Person1!$B$35*(1+Person1!$B$37)^(Person1!$B$36-Person1!$B$11)*(1+Person1!$B$38)^(Person1!AW26-Person1!$B$36)-CHOOSE(Person1!$B$39+1,0,BD26,BE26,BD26+BE26),0),0,0))</f>
        <v>0</v>
      </c>
      <c r="AT26" s="4">
        <f t="shared" si="16"/>
        <v>0</v>
      </c>
      <c r="AV26">
        <f t="shared" si="162"/>
        <v>2036</v>
      </c>
      <c r="AW26">
        <f t="shared" si="162"/>
        <v>41</v>
      </c>
      <c r="AX26">
        <f t="shared" si="112"/>
        <v>1.4568111725277988</v>
      </c>
      <c r="AY26">
        <f t="shared" si="113"/>
        <v>0.68643075977021861</v>
      </c>
      <c r="AZ26">
        <f t="shared" si="114"/>
        <v>1</v>
      </c>
      <c r="BB26" s="4">
        <f t="shared" si="17"/>
        <v>63946.007425966665</v>
      </c>
      <c r="BC26">
        <f t="shared" si="18"/>
        <v>0</v>
      </c>
      <c r="BD26" s="4">
        <f t="shared" si="19"/>
        <v>0</v>
      </c>
      <c r="BE26" s="4">
        <f t="shared" si="115"/>
        <v>0</v>
      </c>
      <c r="BF26" s="4">
        <f t="shared" si="116"/>
        <v>0</v>
      </c>
      <c r="BG26" s="4">
        <f t="shared" si="117"/>
        <v>0</v>
      </c>
      <c r="BH26" s="4">
        <f t="shared" si="20"/>
        <v>0</v>
      </c>
      <c r="BI26" s="4">
        <f t="shared" si="118"/>
        <v>63946.007425966665</v>
      </c>
      <c r="BJ26" s="4"/>
      <c r="BK26" s="4">
        <f t="shared" si="21"/>
        <v>36420.279313194973</v>
      </c>
      <c r="BL26" s="4">
        <f t="shared" si="119"/>
        <v>0</v>
      </c>
      <c r="BM26" s="4">
        <f t="shared" si="120"/>
        <v>36420.279313194973</v>
      </c>
      <c r="BN26" s="4">
        <v>10869.449708486025</v>
      </c>
      <c r="BO26" s="4">
        <f t="shared" si="121"/>
        <v>47289.729021681</v>
      </c>
      <c r="BP26" s="4">
        <f t="shared" si="122"/>
        <v>16656.278404285666</v>
      </c>
      <c r="BQ26" s="4"/>
      <c r="BR26" s="4">
        <v>0</v>
      </c>
      <c r="BS26" s="4">
        <f t="shared" ca="1" si="22"/>
        <v>11510.281336673999</v>
      </c>
      <c r="BT26" s="4">
        <f t="shared" ca="1" si="23"/>
        <v>85191.300124395595</v>
      </c>
      <c r="BU26" s="4">
        <f t="shared" si="24"/>
        <v>0</v>
      </c>
      <c r="BV26" s="4">
        <f t="shared" si="25"/>
        <v>1</v>
      </c>
      <c r="BW26" s="4">
        <f t="shared" ca="1" si="26"/>
        <v>0</v>
      </c>
      <c r="BX26" s="4">
        <f t="shared" ca="1" si="27"/>
        <v>0</v>
      </c>
      <c r="BY26" s="4">
        <f t="shared" ca="1" si="28"/>
        <v>0</v>
      </c>
      <c r="BZ26" s="4">
        <f t="shared" ca="1" si="29"/>
        <v>0</v>
      </c>
      <c r="CA26" s="4">
        <f t="shared" ca="1" si="30"/>
        <v>0</v>
      </c>
      <c r="CB26" s="4">
        <f t="shared" ca="1" si="154"/>
        <v>0</v>
      </c>
      <c r="CC26" s="4"/>
      <c r="CD26" s="4">
        <f t="shared" ca="1" si="31"/>
        <v>63946.007425966665</v>
      </c>
      <c r="CE26" s="4">
        <f t="shared" ca="1" si="123"/>
        <v>48401.328800664058</v>
      </c>
      <c r="CF26" s="16">
        <f t="shared" si="32"/>
        <v>0</v>
      </c>
      <c r="CG26" s="4">
        <f t="shared" si="33"/>
        <v>4034.3972886286065</v>
      </c>
      <c r="CH26" s="4" t="e">
        <f t="shared" ca="1" si="34"/>
        <v>#NAME?</v>
      </c>
      <c r="CI26" s="4" t="e">
        <f t="shared" ca="1" si="35"/>
        <v>#NAME?</v>
      </c>
      <c r="CJ26" s="4" t="e">
        <f t="shared" ca="1" si="124"/>
        <v>#NAME?</v>
      </c>
      <c r="CK26" s="4" t="e">
        <f t="shared" ca="1" si="125"/>
        <v>#NAME?</v>
      </c>
      <c r="CL26" s="4" t="e">
        <f t="shared" ca="1" si="36"/>
        <v>#NAME?</v>
      </c>
      <c r="CM26" s="16"/>
      <c r="CN26" s="4">
        <f t="shared" si="37"/>
        <v>0</v>
      </c>
      <c r="CO26" s="4">
        <f t="shared" si="38"/>
        <v>0</v>
      </c>
      <c r="CP26" s="4">
        <f t="shared" ca="1" si="39"/>
        <v>542007.4084962093</v>
      </c>
      <c r="CQ26" s="4"/>
      <c r="CR26" s="4">
        <f t="shared" ca="1" si="40"/>
        <v>16656.278404285666</v>
      </c>
      <c r="CS26" s="4">
        <f t="shared" ca="1" si="41"/>
        <v>37700</v>
      </c>
      <c r="CT26" s="4">
        <f t="shared" ca="1" si="42"/>
        <v>11510.281336673999</v>
      </c>
      <c r="CU26" s="4"/>
      <c r="CV26" s="4">
        <f t="shared" ca="1" si="126"/>
        <v>16656.278404285666</v>
      </c>
      <c r="CW26" s="4">
        <f t="shared" ca="1" si="43"/>
        <v>3836.7604455579999</v>
      </c>
      <c r="CX26" s="4">
        <f t="shared" ca="1" si="44"/>
        <v>3836.7604455579999</v>
      </c>
      <c r="CY26" s="4">
        <f t="shared" ca="1" si="127"/>
        <v>12819.517958727665</v>
      </c>
      <c r="CZ26" s="4"/>
      <c r="DA26" s="4">
        <f t="shared" ca="1" si="45"/>
        <v>12819.517958727665</v>
      </c>
      <c r="DB26" s="4">
        <f t="shared" si="46"/>
        <v>0</v>
      </c>
      <c r="DC26" s="4">
        <f t="shared" ca="1" si="128"/>
        <v>3836.7604455579999</v>
      </c>
      <c r="DD26" s="4">
        <f t="shared" ca="1" si="47"/>
        <v>7673.5208911159989</v>
      </c>
      <c r="DE26" s="4">
        <f t="shared" ca="1" si="48"/>
        <v>7673.5208911159989</v>
      </c>
      <c r="DF26" s="4">
        <f t="shared" ca="1" si="129"/>
        <v>0</v>
      </c>
      <c r="DG26" s="4">
        <f t="shared" ca="1" si="130"/>
        <v>7673.5208911159989</v>
      </c>
      <c r="DH26" s="4">
        <f t="shared" ca="1" si="49"/>
        <v>0</v>
      </c>
      <c r="DI26" s="4"/>
      <c r="DJ26" s="4">
        <f t="shared" ca="1" si="50"/>
        <v>5145.9970676116664</v>
      </c>
      <c r="DK26" s="4">
        <f t="shared" ca="1" si="51"/>
        <v>8000</v>
      </c>
      <c r="DL26" s="4">
        <f t="shared" ca="1" si="52"/>
        <v>8000</v>
      </c>
      <c r="DM26" s="4">
        <f t="shared" ca="1" si="53"/>
        <v>85191.300124395595</v>
      </c>
      <c r="DN26" s="4">
        <f t="shared" ca="1" si="54"/>
        <v>5145.9970676116664</v>
      </c>
      <c r="DO26" s="4">
        <f t="shared" ca="1" si="55"/>
        <v>80045.303056783931</v>
      </c>
      <c r="DP26" s="4"/>
      <c r="DQ26" s="4">
        <f t="shared" ca="1" si="56"/>
        <v>0</v>
      </c>
      <c r="DR26" s="4"/>
      <c r="DS26" s="4">
        <f t="shared" si="131"/>
        <v>0</v>
      </c>
      <c r="DT26" s="4">
        <f t="shared" si="57"/>
        <v>0</v>
      </c>
      <c r="DU26" s="4">
        <f t="shared" si="58"/>
        <v>0</v>
      </c>
      <c r="DV26" s="4"/>
      <c r="DW26" s="4">
        <f t="shared" ca="1" si="132"/>
        <v>371631.32520166459</v>
      </c>
      <c r="DX26" s="4">
        <f t="shared" ca="1" si="59"/>
        <v>15914.99934057837</v>
      </c>
      <c r="DY26" s="4">
        <f t="shared" ca="1" si="133"/>
        <v>18581.566260083229</v>
      </c>
      <c r="DZ26" s="4">
        <f t="shared" ca="1" si="60"/>
        <v>0</v>
      </c>
      <c r="EA26" s="4">
        <f t="shared" ca="1" si="61"/>
        <v>0</v>
      </c>
      <c r="EB26" s="4">
        <f t="shared" ca="1" si="62"/>
        <v>390212.89146174781</v>
      </c>
      <c r="EC26" s="4">
        <f t="shared" si="63"/>
        <v>1</v>
      </c>
      <c r="ED26" s="4"/>
      <c r="EE26" s="4">
        <f t="shared" ca="1" si="134"/>
        <v>89116.800933741106</v>
      </c>
      <c r="EF26" s="4">
        <f t="shared" ca="1" si="64"/>
        <v>3836.7604455579999</v>
      </c>
      <c r="EG26" s="4">
        <f t="shared" ca="1" si="135"/>
        <v>4455.8400466870553</v>
      </c>
      <c r="EH26" s="4">
        <f t="shared" ca="1" si="65"/>
        <v>0</v>
      </c>
      <c r="EI26" s="4">
        <f t="shared" ca="1" si="66"/>
        <v>0</v>
      </c>
      <c r="EJ26" s="4">
        <f t="shared" ca="1" si="67"/>
        <v>0</v>
      </c>
      <c r="EK26" s="4">
        <f t="shared" si="68"/>
        <v>1</v>
      </c>
      <c r="EL26" s="4">
        <f t="shared" si="69"/>
        <v>0</v>
      </c>
      <c r="EM26" s="4"/>
      <c r="EN26" s="4">
        <f t="shared" ca="1" si="136"/>
        <v>81259.282360803598</v>
      </c>
      <c r="EO26" s="4">
        <f t="shared" ca="1" si="70"/>
        <v>5145.9970676116664</v>
      </c>
      <c r="EP26" s="4">
        <f t="shared" ca="1" si="137"/>
        <v>4062.96411804018</v>
      </c>
      <c r="EQ26" s="4">
        <f t="shared" ca="1" si="71"/>
        <v>0</v>
      </c>
      <c r="ER26" s="4">
        <v>0</v>
      </c>
      <c r="ES26" s="4">
        <f t="shared" ca="1" si="138"/>
        <v>85322.246478843779</v>
      </c>
      <c r="ET26" s="4"/>
      <c r="EU26" s="4">
        <f t="shared" ca="1" si="139"/>
        <v>0</v>
      </c>
      <c r="EV26" s="4">
        <f t="shared" ca="1" si="72"/>
        <v>0</v>
      </c>
      <c r="EW26" s="4">
        <f t="shared" ca="1" si="140"/>
        <v>0</v>
      </c>
      <c r="EX26" s="4">
        <f t="shared" ca="1" si="73"/>
        <v>0</v>
      </c>
      <c r="EY26" s="4">
        <v>0</v>
      </c>
      <c r="EZ26" s="4">
        <f t="shared" ca="1" si="141"/>
        <v>0</v>
      </c>
      <c r="FA26" s="4">
        <f t="shared" ca="1" si="142"/>
        <v>0</v>
      </c>
      <c r="FB26" s="1">
        <f t="shared" ca="1" si="74"/>
        <v>0</v>
      </c>
      <c r="FC26" s="4">
        <f t="shared" ca="1" si="143"/>
        <v>0</v>
      </c>
      <c r="FD26" s="4">
        <f t="shared" ca="1" si="144"/>
        <v>0</v>
      </c>
      <c r="FE26" s="4">
        <f t="shared" ca="1" si="75"/>
        <v>0</v>
      </c>
      <c r="FF26" s="4">
        <f t="shared" ca="1" si="76"/>
        <v>0</v>
      </c>
      <c r="FG26" s="4">
        <f t="shared" ca="1" si="77"/>
        <v>0</v>
      </c>
      <c r="FH26" s="17">
        <f t="shared" ca="1" si="78"/>
        <v>0</v>
      </c>
      <c r="FI26" s="4">
        <f t="shared" ca="1" si="79"/>
        <v>0</v>
      </c>
      <c r="FJ26" s="4"/>
      <c r="FK26" s="4">
        <f t="shared" ca="1" si="80"/>
        <v>475535.13794059161</v>
      </c>
      <c r="FL26" s="4"/>
      <c r="FM26" s="4">
        <v>0</v>
      </c>
      <c r="FN26" s="4">
        <v>0</v>
      </c>
      <c r="FO26" s="4">
        <v>0</v>
      </c>
      <c r="FP26" s="4">
        <v>0</v>
      </c>
      <c r="FQ26" s="4">
        <v>0</v>
      </c>
      <c r="FR26" s="4">
        <v>0</v>
      </c>
      <c r="FS26" s="4">
        <f t="shared" si="81"/>
        <v>0</v>
      </c>
      <c r="FT26" s="4">
        <f t="shared" ca="1" si="82"/>
        <v>0</v>
      </c>
      <c r="FU26" s="4"/>
      <c r="FV26" s="3">
        <f t="shared" si="83"/>
        <v>0.68643075977021861</v>
      </c>
      <c r="FW26" s="3">
        <f t="shared" si="84"/>
        <v>0.68643075977021861</v>
      </c>
      <c r="FX26" s="4">
        <f t="shared" si="145"/>
        <v>2036</v>
      </c>
      <c r="FY26" s="4">
        <f t="shared" si="85"/>
        <v>43.89450646167834</v>
      </c>
      <c r="FZ26" s="4">
        <f t="shared" si="86"/>
        <v>0</v>
      </c>
      <c r="GA26" s="4">
        <f t="shared" si="87"/>
        <v>0</v>
      </c>
      <c r="GB26" s="4">
        <f t="shared" si="88"/>
        <v>0</v>
      </c>
      <c r="GC26" s="4">
        <f t="shared" ca="1" si="89"/>
        <v>0</v>
      </c>
      <c r="GD26" s="4">
        <f t="shared" ca="1" si="90"/>
        <v>0</v>
      </c>
      <c r="GE26" s="4">
        <f t="shared" ca="1" si="91"/>
        <v>0</v>
      </c>
      <c r="GF26" s="4">
        <f t="shared" ca="1" si="92"/>
        <v>0</v>
      </c>
      <c r="GG26" s="18" t="e">
        <f t="shared" ca="1" si="93"/>
        <v>#NAME?</v>
      </c>
      <c r="GH26" s="18" t="e">
        <f t="shared" ca="1" si="94"/>
        <v>#NAME?</v>
      </c>
      <c r="GI26" s="4"/>
      <c r="GJ26" s="4">
        <f t="shared" si="95"/>
        <v>2036</v>
      </c>
      <c r="GK26" s="4">
        <f t="shared" ca="1" si="96"/>
        <v>255.0991729125918</v>
      </c>
      <c r="GL26" s="4">
        <f t="shared" ca="1" si="97"/>
        <v>61.172513373239234</v>
      </c>
      <c r="GM26" s="4">
        <f t="shared" ca="1" si="98"/>
        <v>55.778870929309136</v>
      </c>
      <c r="GN26" s="4">
        <f t="shared" ca="1" si="99"/>
        <v>0</v>
      </c>
      <c r="GO26" s="4"/>
      <c r="GP26" s="3">
        <f t="shared" ca="1" si="146"/>
        <v>0.82057635772542414</v>
      </c>
      <c r="GQ26" s="3">
        <f t="shared" ca="1" si="100"/>
        <v>0</v>
      </c>
      <c r="GR26" s="3">
        <f t="shared" ca="1" si="101"/>
        <v>0</v>
      </c>
      <c r="GS26" s="3">
        <f t="shared" ca="1" si="102"/>
        <v>0.17942364227457583</v>
      </c>
      <c r="GT26" s="3">
        <f t="array" aca="1" ref="GT26" ca="1">SUM(GP26:GS26*$GU$6:$GX$6)</f>
        <v>1</v>
      </c>
      <c r="GU26" s="3">
        <f t="shared" ca="1" si="147"/>
        <v>0.82057635772542414</v>
      </c>
      <c r="GV26" s="3">
        <f t="shared" ca="1" si="148"/>
        <v>0</v>
      </c>
      <c r="GW26" s="3">
        <f t="shared" ca="1" si="149"/>
        <v>0</v>
      </c>
      <c r="GX26" s="3">
        <f t="shared" ca="1" si="150"/>
        <v>0.17942364227457583</v>
      </c>
      <c r="GY26" s="11"/>
      <c r="GZ26" s="27">
        <v>68</v>
      </c>
      <c r="HA26" s="29">
        <v>4.5499999999999999E-2</v>
      </c>
      <c r="HB26" s="29">
        <f t="shared" ca="1" si="151"/>
        <v>8.0199999999999994E-2</v>
      </c>
      <c r="HC26" s="29">
        <v>8.0199999999999994E-2</v>
      </c>
      <c r="HD26" s="29">
        <v>7.6999999999999999E-2</v>
      </c>
      <c r="HE26" s="29">
        <v>5.9700000000000003E-2</v>
      </c>
      <c r="HG26" s="27">
        <v>66</v>
      </c>
      <c r="HH26" s="30">
        <v>4.1700000000000001E-2</v>
      </c>
      <c r="HJ26">
        <f t="shared" si="153"/>
        <v>2029</v>
      </c>
      <c r="HK26" s="28">
        <f t="shared" si="163"/>
        <v>32820</v>
      </c>
      <c r="HL26" s="27">
        <f t="shared" si="155"/>
        <v>7000</v>
      </c>
      <c r="HM26" s="28">
        <f t="shared" si="156"/>
        <v>7114.8364674958802</v>
      </c>
      <c r="HO26" t="s">
        <v>224</v>
      </c>
      <c r="HP26" s="27">
        <v>2017</v>
      </c>
      <c r="HQ26" t="s">
        <v>225</v>
      </c>
    </row>
    <row r="27" spans="1:241" x14ac:dyDescent="0.25">
      <c r="A27" s="15" t="s">
        <v>481</v>
      </c>
      <c r="D27">
        <f t="shared" si="106"/>
        <v>2037</v>
      </c>
      <c r="E27">
        <f t="shared" si="106"/>
        <v>42</v>
      </c>
      <c r="F27" s="8"/>
      <c r="G27" s="8"/>
      <c r="H27" s="9"/>
      <c r="I27" s="8"/>
      <c r="J27" s="92"/>
      <c r="K27" s="91"/>
      <c r="L27" s="91"/>
      <c r="N27" s="93">
        <f t="shared" si="107"/>
        <v>0.05</v>
      </c>
      <c r="O27" s="23">
        <f t="shared" si="108"/>
        <v>0</v>
      </c>
      <c r="P27" s="23">
        <f t="shared" si="109"/>
        <v>0.4</v>
      </c>
      <c r="Q27" s="4">
        <f t="shared" si="0"/>
        <v>0</v>
      </c>
      <c r="R27" s="4">
        <f t="shared" si="110"/>
        <v>0</v>
      </c>
      <c r="S27" s="4">
        <f t="shared" si="1"/>
        <v>0</v>
      </c>
      <c r="T27" s="4">
        <f t="shared" ca="1" si="2"/>
        <v>0</v>
      </c>
      <c r="V27" s="18" t="e">
        <f t="shared" ca="1" si="3"/>
        <v>#NAME?</v>
      </c>
      <c r="W27" s="18" t="e">
        <f t="shared" ca="1" si="4"/>
        <v>#NAME?</v>
      </c>
      <c r="X27" s="18">
        <f t="shared" si="5"/>
        <v>0</v>
      </c>
      <c r="Y27" s="18">
        <f t="shared" ca="1" si="6"/>
        <v>5.293161073320034</v>
      </c>
      <c r="Z27" s="18">
        <f t="shared" ca="1" si="7"/>
        <v>2.646580536660017</v>
      </c>
      <c r="AA27" s="18">
        <f t="shared" ca="1" si="8"/>
        <v>3.6523322219580372</v>
      </c>
      <c r="AB27" s="18">
        <f t="shared" ca="1" si="9"/>
        <v>0</v>
      </c>
      <c r="AC27" s="18">
        <f t="shared" ca="1" si="10"/>
        <v>273.31242808560501</v>
      </c>
      <c r="AD27" s="18">
        <f t="shared" ca="1" si="11"/>
        <v>65.553734734903813</v>
      </c>
      <c r="AE27" s="18">
        <f t="shared" ca="1" si="12"/>
        <v>60.882534463402536</v>
      </c>
      <c r="AF27" s="18">
        <f t="shared" ca="1" si="13"/>
        <v>0</v>
      </c>
      <c r="AG27" s="18">
        <f t="shared" ca="1" si="14"/>
        <v>399.74869728391133</v>
      </c>
      <c r="AI27">
        <f>Person1!E27</f>
        <v>42</v>
      </c>
      <c r="AJ27">
        <f>Person1!AZ27</f>
        <v>1</v>
      </c>
      <c r="AK27">
        <f>IF(AZ27&lt;&gt;3,Person1!FM27,0)</f>
        <v>0</v>
      </c>
      <c r="AL27" s="4">
        <f ca="1">IF($AZ27&lt;&gt;3,Person1!FN27+Person1!FT27,0)</f>
        <v>8488.7228029462422</v>
      </c>
      <c r="AM27">
        <f>IF($AZ27&lt;&gt;3,Person1!FO27,0)</f>
        <v>0</v>
      </c>
      <c r="AN27">
        <f>IF($AZ27&lt;&gt;3,Person1!FP27,0)</f>
        <v>0</v>
      </c>
      <c r="AO27">
        <f>IF($AZ27&lt;&gt;3,Person1!FQ27,0)</f>
        <v>0</v>
      </c>
      <c r="AP27">
        <f>IF($AZ27&lt;&gt;3,Person1!FR27,0)</f>
        <v>0</v>
      </c>
      <c r="AQ27" s="4">
        <f t="shared" si="15"/>
        <v>0</v>
      </c>
      <c r="AR27" s="4">
        <f>Person1!FS27</f>
        <v>0</v>
      </c>
      <c r="AS27" s="4">
        <f>$B$41*MAX(0,CHOOSE($AZ27,0,IF(AND(Person1!AW27&gt;=Person1!$B$36,AV27&gt;=$B$93),Person1!$B$35*(1+Person1!$B$37)^(Person1!$B$36-Person1!$B$11)*(1+Person1!$B$38)^(Person1!AW27-Person1!$B$36)-CHOOSE(Person1!$B$39+1,0,BD27,BE27,BD27+BE27),0),0,0))</f>
        <v>0</v>
      </c>
      <c r="AT27" s="4">
        <f t="shared" si="16"/>
        <v>0</v>
      </c>
      <c r="AV27">
        <f t="shared" si="162"/>
        <v>2037</v>
      </c>
      <c r="AW27">
        <f t="shared" si="162"/>
        <v>42</v>
      </c>
      <c r="AX27">
        <f t="shared" si="112"/>
        <v>1.4859473959783549</v>
      </c>
      <c r="AY27">
        <f t="shared" si="113"/>
        <v>0.67297133310805746</v>
      </c>
      <c r="AZ27">
        <f t="shared" si="114"/>
        <v>1</v>
      </c>
      <c r="BB27" s="4">
        <f t="shared" si="17"/>
        <v>65544.657611615825</v>
      </c>
      <c r="BC27">
        <f t="shared" si="18"/>
        <v>0</v>
      </c>
      <c r="BD27" s="4">
        <f t="shared" si="19"/>
        <v>0</v>
      </c>
      <c r="BE27" s="4">
        <f t="shared" si="115"/>
        <v>0</v>
      </c>
      <c r="BF27" s="4">
        <f t="shared" si="116"/>
        <v>0</v>
      </c>
      <c r="BG27" s="4">
        <f t="shared" si="117"/>
        <v>0</v>
      </c>
      <c r="BH27" s="4">
        <f t="shared" si="20"/>
        <v>0</v>
      </c>
      <c r="BI27" s="4">
        <f t="shared" si="118"/>
        <v>65544.657611615825</v>
      </c>
      <c r="BJ27" s="4"/>
      <c r="BK27" s="4">
        <f t="shared" si="21"/>
        <v>37148.684899458873</v>
      </c>
      <c r="BL27" s="4">
        <f t="shared" si="119"/>
        <v>0</v>
      </c>
      <c r="BM27" s="4">
        <f t="shared" si="120"/>
        <v>37148.684899458873</v>
      </c>
      <c r="BN27" s="4">
        <v>11170.76078759972</v>
      </c>
      <c r="BO27" s="4">
        <f t="shared" si="121"/>
        <v>48319.445687058593</v>
      </c>
      <c r="BP27" s="4">
        <f t="shared" si="122"/>
        <v>17225.211924557232</v>
      </c>
      <c r="BQ27" s="4"/>
      <c r="BR27" s="4">
        <v>0</v>
      </c>
      <c r="BS27" s="4">
        <f t="shared" ca="1" si="22"/>
        <v>11798.038370090848</v>
      </c>
      <c r="BT27" s="4">
        <f t="shared" ca="1" si="23"/>
        <v>88545.303056783931</v>
      </c>
      <c r="BU27" s="4">
        <f t="shared" si="24"/>
        <v>0</v>
      </c>
      <c r="BV27" s="4">
        <f t="shared" si="25"/>
        <v>1</v>
      </c>
      <c r="BW27" s="4">
        <f t="shared" ca="1" si="26"/>
        <v>0</v>
      </c>
      <c r="BX27" s="4">
        <f t="shared" ca="1" si="27"/>
        <v>0</v>
      </c>
      <c r="BY27" s="4">
        <f t="shared" ca="1" si="28"/>
        <v>0</v>
      </c>
      <c r="BZ27" s="4">
        <f t="shared" ca="1" si="29"/>
        <v>0</v>
      </c>
      <c r="CA27" s="4">
        <f t="shared" ca="1" si="30"/>
        <v>0</v>
      </c>
      <c r="CB27" s="4">
        <f t="shared" ca="1" si="154"/>
        <v>0</v>
      </c>
      <c r="CC27" s="4"/>
      <c r="CD27" s="4">
        <f t="shared" ca="1" si="31"/>
        <v>65544.657611615825</v>
      </c>
      <c r="CE27" s="4">
        <f t="shared" ca="1" si="123"/>
        <v>49607.030770680663</v>
      </c>
      <c r="CF27" s="16">
        <f t="shared" si="32"/>
        <v>0</v>
      </c>
      <c r="CG27" s="4">
        <f t="shared" si="33"/>
        <v>4139.5884708443209</v>
      </c>
      <c r="CH27" s="4" t="e">
        <f t="shared" ca="1" si="34"/>
        <v>#NAME?</v>
      </c>
      <c r="CI27" s="4" t="e">
        <f t="shared" ca="1" si="35"/>
        <v>#NAME?</v>
      </c>
      <c r="CJ27" s="4" t="e">
        <f t="shared" ca="1" si="124"/>
        <v>#NAME?</v>
      </c>
      <c r="CK27" s="4" t="e">
        <f t="shared" ca="1" si="125"/>
        <v>#NAME?</v>
      </c>
      <c r="CL27" s="4" t="e">
        <f t="shared" ca="1" si="36"/>
        <v>#NAME?</v>
      </c>
      <c r="CM27" s="16"/>
      <c r="CN27" s="4">
        <f t="shared" si="37"/>
        <v>0</v>
      </c>
      <c r="CO27" s="4">
        <f t="shared" si="38"/>
        <v>0</v>
      </c>
      <c r="CP27" s="4">
        <f t="shared" ca="1" si="39"/>
        <v>594005.53577476775</v>
      </c>
      <c r="CQ27" s="4"/>
      <c r="CR27" s="4">
        <f t="shared" ca="1" si="40"/>
        <v>17225.211924557232</v>
      </c>
      <c r="CS27" s="4">
        <f t="shared" ca="1" si="41"/>
        <v>38450</v>
      </c>
      <c r="CT27" s="4">
        <f t="shared" ca="1" si="42"/>
        <v>11798.038370090848</v>
      </c>
      <c r="CU27" s="4"/>
      <c r="CV27" s="4">
        <f t="shared" ca="1" si="126"/>
        <v>17225.211924557232</v>
      </c>
      <c r="CW27" s="4">
        <f t="shared" ca="1" si="43"/>
        <v>3932.6794566969493</v>
      </c>
      <c r="CX27" s="4">
        <f t="shared" ca="1" si="44"/>
        <v>3932.6794566969493</v>
      </c>
      <c r="CY27" s="4">
        <f t="shared" ca="1" si="127"/>
        <v>13292.532467860283</v>
      </c>
      <c r="CZ27" s="4"/>
      <c r="DA27" s="4">
        <f t="shared" ca="1" si="45"/>
        <v>13292.532467860283</v>
      </c>
      <c r="DB27" s="4">
        <f t="shared" si="46"/>
        <v>0</v>
      </c>
      <c r="DC27" s="4">
        <f t="shared" ca="1" si="128"/>
        <v>3932.6794566969493</v>
      </c>
      <c r="DD27" s="4">
        <f t="shared" ca="1" si="47"/>
        <v>7865.3589133938985</v>
      </c>
      <c r="DE27" s="4">
        <f t="shared" ca="1" si="48"/>
        <v>7865.3589133938985</v>
      </c>
      <c r="DF27" s="4">
        <f t="shared" ca="1" si="129"/>
        <v>0</v>
      </c>
      <c r="DG27" s="4">
        <f t="shared" ca="1" si="130"/>
        <v>7865.3589133938985</v>
      </c>
      <c r="DH27" s="4">
        <f t="shared" ca="1" si="49"/>
        <v>0</v>
      </c>
      <c r="DI27" s="4"/>
      <c r="DJ27" s="4">
        <f t="shared" ca="1" si="50"/>
        <v>5427.1735544663843</v>
      </c>
      <c r="DK27" s="4">
        <f t="shared" ca="1" si="51"/>
        <v>8500</v>
      </c>
      <c r="DL27" s="4">
        <f t="shared" ca="1" si="52"/>
        <v>8500</v>
      </c>
      <c r="DM27" s="4">
        <f t="shared" ca="1" si="53"/>
        <v>88545.303056783931</v>
      </c>
      <c r="DN27" s="4">
        <f t="shared" ca="1" si="54"/>
        <v>5427.1735544663843</v>
      </c>
      <c r="DO27" s="4">
        <f t="shared" ca="1" si="55"/>
        <v>83118.129502317548</v>
      </c>
      <c r="DP27" s="4"/>
      <c r="DQ27" s="4">
        <f t="shared" ca="1" si="56"/>
        <v>0</v>
      </c>
      <c r="DR27" s="4"/>
      <c r="DS27" s="4">
        <f t="shared" si="131"/>
        <v>0</v>
      </c>
      <c r="DT27" s="4">
        <f t="shared" si="57"/>
        <v>0</v>
      </c>
      <c r="DU27" s="4">
        <f t="shared" si="58"/>
        <v>0</v>
      </c>
      <c r="DV27" s="4"/>
      <c r="DW27" s="4">
        <f t="shared" ca="1" si="132"/>
        <v>406127.8908023262</v>
      </c>
      <c r="DX27" s="4">
        <f t="shared" ca="1" si="59"/>
        <v>16354.081716340141</v>
      </c>
      <c r="DY27" s="4">
        <f t="shared" ca="1" si="133"/>
        <v>20306.394540116311</v>
      </c>
      <c r="DZ27" s="4">
        <f t="shared" ca="1" si="60"/>
        <v>0</v>
      </c>
      <c r="EA27" s="4">
        <f t="shared" ca="1" si="61"/>
        <v>0</v>
      </c>
      <c r="EB27" s="4">
        <f t="shared" ca="1" si="62"/>
        <v>426434.28534244251</v>
      </c>
      <c r="EC27" s="4">
        <f t="shared" si="63"/>
        <v>1</v>
      </c>
      <c r="ED27" s="4"/>
      <c r="EE27" s="4">
        <f t="shared" ca="1" si="134"/>
        <v>97409.401425986158</v>
      </c>
      <c r="EF27" s="4">
        <f t="shared" ca="1" si="64"/>
        <v>3932.6794566969493</v>
      </c>
      <c r="EG27" s="4">
        <f t="shared" ca="1" si="135"/>
        <v>4870.4700712993081</v>
      </c>
      <c r="EH27" s="4">
        <f t="shared" ca="1" si="65"/>
        <v>0</v>
      </c>
      <c r="EI27" s="4">
        <f t="shared" ca="1" si="66"/>
        <v>0</v>
      </c>
      <c r="EJ27" s="4">
        <f t="shared" ca="1" si="67"/>
        <v>0</v>
      </c>
      <c r="EK27" s="4">
        <f t="shared" si="68"/>
        <v>1</v>
      </c>
      <c r="EL27" s="4">
        <f t="shared" si="69"/>
        <v>0</v>
      </c>
      <c r="EM27" s="4"/>
      <c r="EN27" s="4">
        <f t="shared" ca="1" si="136"/>
        <v>90468.243546455444</v>
      </c>
      <c r="EO27" s="4">
        <f t="shared" ca="1" si="70"/>
        <v>5427.1735544663843</v>
      </c>
      <c r="EP27" s="4">
        <f t="shared" ca="1" si="137"/>
        <v>4523.4121773227725</v>
      </c>
      <c r="EQ27" s="4">
        <f t="shared" ca="1" si="71"/>
        <v>0</v>
      </c>
      <c r="ER27" s="4">
        <v>0</v>
      </c>
      <c r="ES27" s="4">
        <f t="shared" ca="1" si="138"/>
        <v>94991.655723778211</v>
      </c>
      <c r="ET27" s="4"/>
      <c r="EU27" s="4">
        <f t="shared" ca="1" si="139"/>
        <v>0</v>
      </c>
      <c r="EV27" s="4">
        <f t="shared" ca="1" si="72"/>
        <v>0</v>
      </c>
      <c r="EW27" s="4">
        <f t="shared" ca="1" si="140"/>
        <v>0</v>
      </c>
      <c r="EX27" s="4">
        <f t="shared" ca="1" si="73"/>
        <v>0</v>
      </c>
      <c r="EY27" s="4">
        <v>0</v>
      </c>
      <c r="EZ27" s="4">
        <f t="shared" ca="1" si="141"/>
        <v>0</v>
      </c>
      <c r="FA27" s="4">
        <f t="shared" ca="1" si="142"/>
        <v>0</v>
      </c>
      <c r="FB27" s="1">
        <f t="shared" ca="1" si="74"/>
        <v>0</v>
      </c>
      <c r="FC27" s="4">
        <f t="shared" ca="1" si="143"/>
        <v>0</v>
      </c>
      <c r="FD27" s="4">
        <f t="shared" ca="1" si="144"/>
        <v>0</v>
      </c>
      <c r="FE27" s="4">
        <f t="shared" ca="1" si="75"/>
        <v>0</v>
      </c>
      <c r="FF27" s="4">
        <f t="shared" ca="1" si="76"/>
        <v>0</v>
      </c>
      <c r="FG27" s="4">
        <f t="shared" ca="1" si="77"/>
        <v>0</v>
      </c>
      <c r="FH27" s="17">
        <f t="shared" ca="1" si="78"/>
        <v>0</v>
      </c>
      <c r="FI27" s="4">
        <f t="shared" ca="1" si="79"/>
        <v>0</v>
      </c>
      <c r="FJ27" s="4"/>
      <c r="FK27" s="4">
        <f t="shared" ca="1" si="80"/>
        <v>521425.94106622075</v>
      </c>
      <c r="FL27" s="4"/>
      <c r="FM27" s="4">
        <v>0</v>
      </c>
      <c r="FN27" s="4">
        <v>0</v>
      </c>
      <c r="FO27" s="4">
        <v>0</v>
      </c>
      <c r="FP27" s="4">
        <v>0</v>
      </c>
      <c r="FQ27" s="4">
        <v>0</v>
      </c>
      <c r="FR27" s="4">
        <v>0</v>
      </c>
      <c r="FS27" s="4">
        <f t="shared" si="81"/>
        <v>0</v>
      </c>
      <c r="FT27" s="4">
        <f t="shared" ca="1" si="82"/>
        <v>0</v>
      </c>
      <c r="FU27" s="4"/>
      <c r="FV27" s="3">
        <f t="shared" si="83"/>
        <v>0.67297133310805746</v>
      </c>
      <c r="FW27" s="3">
        <f t="shared" si="84"/>
        <v>0.67297133310805746</v>
      </c>
      <c r="FX27" s="4">
        <f t="shared" si="145"/>
        <v>2037</v>
      </c>
      <c r="FY27" s="4">
        <f t="shared" si="85"/>
        <v>44.109675611000291</v>
      </c>
      <c r="FZ27" s="4">
        <f t="shared" si="86"/>
        <v>0</v>
      </c>
      <c r="GA27" s="4">
        <f t="shared" si="87"/>
        <v>0</v>
      </c>
      <c r="GB27" s="4">
        <f t="shared" si="88"/>
        <v>0</v>
      </c>
      <c r="GC27" s="4">
        <f t="shared" ca="1" si="89"/>
        <v>0</v>
      </c>
      <c r="GD27" s="4">
        <f t="shared" ca="1" si="90"/>
        <v>0</v>
      </c>
      <c r="GE27" s="4">
        <f t="shared" ca="1" si="91"/>
        <v>0</v>
      </c>
      <c r="GF27" s="4">
        <f t="shared" ca="1" si="92"/>
        <v>0</v>
      </c>
      <c r="GG27" s="18" t="e">
        <f t="shared" ca="1" si="93"/>
        <v>#NAME?</v>
      </c>
      <c r="GH27" s="18" t="e">
        <f t="shared" ca="1" si="94"/>
        <v>#NAME?</v>
      </c>
      <c r="GI27" s="4"/>
      <c r="GJ27" s="4">
        <f t="shared" si="95"/>
        <v>2037</v>
      </c>
      <c r="GK27" s="4">
        <f t="shared" ca="1" si="96"/>
        <v>273.31242808560501</v>
      </c>
      <c r="GL27" s="4">
        <f t="shared" ca="1" si="97"/>
        <v>65.553734734903813</v>
      </c>
      <c r="GM27" s="4">
        <f t="shared" ca="1" si="98"/>
        <v>60.882534463402536</v>
      </c>
      <c r="GN27" s="4">
        <f t="shared" ca="1" si="99"/>
        <v>0</v>
      </c>
      <c r="GO27" s="4"/>
      <c r="GP27" s="3">
        <f t="shared" ca="1" si="146"/>
        <v>0.81782330290369198</v>
      </c>
      <c r="GQ27" s="3">
        <f t="shared" ca="1" si="100"/>
        <v>0</v>
      </c>
      <c r="GR27" s="3">
        <f t="shared" ca="1" si="101"/>
        <v>0</v>
      </c>
      <c r="GS27" s="3">
        <f t="shared" ca="1" si="102"/>
        <v>0.18217669709630793</v>
      </c>
      <c r="GT27" s="3">
        <f t="array" aca="1" ref="GT27" ca="1">SUM(GP27:GS27*$GU$6:$GX$6)</f>
        <v>0.99999999999999989</v>
      </c>
      <c r="GU27" s="3">
        <f t="shared" ca="1" si="147"/>
        <v>0.8178233029036921</v>
      </c>
      <c r="GV27" s="3">
        <f t="shared" ca="1" si="148"/>
        <v>0</v>
      </c>
      <c r="GW27" s="3">
        <f t="shared" ca="1" si="149"/>
        <v>0</v>
      </c>
      <c r="GX27" s="3">
        <f t="shared" ca="1" si="150"/>
        <v>0.18217669709630796</v>
      </c>
      <c r="GY27" s="11"/>
      <c r="GZ27" s="27">
        <v>69</v>
      </c>
      <c r="HA27" s="29">
        <v>4.7600000000000003E-2</v>
      </c>
      <c r="HB27" s="29">
        <f t="shared" ca="1" si="151"/>
        <v>8.2199999999999995E-2</v>
      </c>
      <c r="HC27" s="29">
        <v>8.2199999999999995E-2</v>
      </c>
      <c r="HD27" s="29">
        <v>7.9000000000000001E-2</v>
      </c>
      <c r="HE27" s="29">
        <v>6.1699999999999998E-2</v>
      </c>
      <c r="HG27" s="27">
        <v>67</v>
      </c>
      <c r="HH27" s="30">
        <v>4.3499999999999997E-2</v>
      </c>
      <c r="HJ27">
        <f t="shared" si="153"/>
        <v>2030</v>
      </c>
      <c r="HK27" s="28">
        <f t="shared" si="163"/>
        <v>33480</v>
      </c>
      <c r="HL27" s="27">
        <f t="shared" si="155"/>
        <v>7500</v>
      </c>
      <c r="HM27" s="28">
        <f t="shared" si="156"/>
        <v>7257.133196845798</v>
      </c>
      <c r="HQ27" t="s">
        <v>173</v>
      </c>
      <c r="HR27" t="s">
        <v>148</v>
      </c>
      <c r="HS27" t="s">
        <v>149</v>
      </c>
      <c r="HT27" t="s">
        <v>151</v>
      </c>
      <c r="HU27" t="s">
        <v>150</v>
      </c>
      <c r="HV27" t="s">
        <v>152</v>
      </c>
      <c r="HW27" t="s">
        <v>153</v>
      </c>
      <c r="HX27" t="s">
        <v>154</v>
      </c>
      <c r="HY27" t="s">
        <v>155</v>
      </c>
      <c r="HZ27" t="s">
        <v>44</v>
      </c>
      <c r="IA27" t="s">
        <v>156</v>
      </c>
      <c r="IB27" t="s">
        <v>157</v>
      </c>
      <c r="IC27" t="s">
        <v>158</v>
      </c>
      <c r="ID27" t="s">
        <v>159</v>
      </c>
      <c r="IE27" t="s">
        <v>558</v>
      </c>
      <c r="IF27" t="s">
        <v>559</v>
      </c>
      <c r="IG27" t="s">
        <v>560</v>
      </c>
    </row>
    <row r="28" spans="1:241" x14ac:dyDescent="0.25">
      <c r="A28" t="s">
        <v>477</v>
      </c>
      <c r="B28" s="62">
        <f>Inputs_Summary!AK25</f>
        <v>25000</v>
      </c>
      <c r="D28">
        <f t="shared" si="106"/>
        <v>2038</v>
      </c>
      <c r="E28">
        <f t="shared" si="106"/>
        <v>43</v>
      </c>
      <c r="F28" s="8"/>
      <c r="G28" s="8"/>
      <c r="H28" s="9"/>
      <c r="I28" s="8"/>
      <c r="J28" s="92"/>
      <c r="K28" s="91"/>
      <c r="L28" s="91"/>
      <c r="N28" s="93">
        <f t="shared" si="107"/>
        <v>0.05</v>
      </c>
      <c r="O28" s="23">
        <f t="shared" si="108"/>
        <v>0</v>
      </c>
      <c r="P28" s="23">
        <f t="shared" si="109"/>
        <v>0.4</v>
      </c>
      <c r="Q28" s="4">
        <f t="shared" si="0"/>
        <v>0</v>
      </c>
      <c r="R28" s="4">
        <f t="shared" si="110"/>
        <v>0</v>
      </c>
      <c r="S28" s="4">
        <f t="shared" si="1"/>
        <v>0</v>
      </c>
      <c r="T28" s="4">
        <f t="shared" ca="1" si="2"/>
        <v>0</v>
      </c>
      <c r="V28" s="18" t="e">
        <f t="shared" ca="1" si="3"/>
        <v>#NAME?</v>
      </c>
      <c r="W28" s="18" t="e">
        <f t="shared" ca="1" si="4"/>
        <v>#NAME?</v>
      </c>
      <c r="X28" s="18">
        <f t="shared" si="5"/>
        <v>0</v>
      </c>
      <c r="Y28" s="18">
        <f t="shared" ca="1" si="6"/>
        <v>5.3191079413265037</v>
      </c>
      <c r="Z28" s="18">
        <f t="shared" ca="1" si="7"/>
        <v>2.6595539706632518</v>
      </c>
      <c r="AA28" s="18">
        <f t="shared" ca="1" si="8"/>
        <v>3.7729246786197002</v>
      </c>
      <c r="AB28" s="18">
        <f t="shared" ca="1" si="9"/>
        <v>0</v>
      </c>
      <c r="AC28" s="18">
        <f t="shared" ca="1" si="10"/>
        <v>292.14105653361651</v>
      </c>
      <c r="AD28" s="18">
        <f t="shared" ca="1" si="11"/>
        <v>70.076472557165701</v>
      </c>
      <c r="AE28" s="18">
        <f t="shared" ca="1" si="12"/>
        <v>66.253915106402644</v>
      </c>
      <c r="AF28" s="18">
        <f t="shared" ca="1" si="13"/>
        <v>0</v>
      </c>
      <c r="AG28" s="18">
        <f t="shared" ca="1" si="14"/>
        <v>428.47144419718495</v>
      </c>
      <c r="AI28">
        <f>Person1!E28</f>
        <v>43</v>
      </c>
      <c r="AJ28">
        <f>Person1!AZ28</f>
        <v>1</v>
      </c>
      <c r="AK28">
        <f>IF(AZ28&lt;&gt;3,Person1!FM28,0)</f>
        <v>0</v>
      </c>
      <c r="AL28" s="4">
        <f ca="1">IF($AZ28&lt;&gt;3,Person1!FN28+Person1!FT28,0)</f>
        <v>8743.3844870346275</v>
      </c>
      <c r="AM28">
        <f>IF($AZ28&lt;&gt;3,Person1!FO28,0)</f>
        <v>0</v>
      </c>
      <c r="AN28">
        <f>IF($AZ28&lt;&gt;3,Person1!FP28,0)</f>
        <v>0</v>
      </c>
      <c r="AO28">
        <f>IF($AZ28&lt;&gt;3,Person1!FQ28,0)</f>
        <v>0</v>
      </c>
      <c r="AP28">
        <f>IF($AZ28&lt;&gt;3,Person1!FR28,0)</f>
        <v>0</v>
      </c>
      <c r="AQ28" s="4">
        <f t="shared" si="15"/>
        <v>0</v>
      </c>
      <c r="AR28" s="4">
        <f>Person1!FS28</f>
        <v>0</v>
      </c>
      <c r="AS28" s="4">
        <f>$B$41*MAX(0,CHOOSE($AZ28,0,IF(AND(Person1!AW28&gt;=Person1!$B$36,AV28&gt;=$B$93),Person1!$B$35*(1+Person1!$B$37)^(Person1!$B$36-Person1!$B$11)*(1+Person1!$B$38)^(Person1!AW28-Person1!$B$36)-CHOOSE(Person1!$B$39+1,0,BD28,BE28,BD28+BE28),0),0,0))</f>
        <v>0</v>
      </c>
      <c r="AT28" s="4">
        <f t="shared" si="16"/>
        <v>0</v>
      </c>
      <c r="AV28">
        <f t="shared" si="162"/>
        <v>2038</v>
      </c>
      <c r="AW28">
        <f t="shared" si="162"/>
        <v>43</v>
      </c>
      <c r="AX28">
        <f t="shared" si="112"/>
        <v>1.5156663438979221</v>
      </c>
      <c r="AY28">
        <f t="shared" si="113"/>
        <v>0.65977581677260533</v>
      </c>
      <c r="AZ28">
        <f t="shared" si="114"/>
        <v>1</v>
      </c>
      <c r="BB28" s="4">
        <f t="shared" si="17"/>
        <v>67183.274051906206</v>
      </c>
      <c r="BC28">
        <f t="shared" si="18"/>
        <v>0</v>
      </c>
      <c r="BD28" s="4">
        <f t="shared" si="19"/>
        <v>0</v>
      </c>
      <c r="BE28" s="4">
        <f t="shared" si="115"/>
        <v>0</v>
      </c>
      <c r="BF28" s="4">
        <f t="shared" si="116"/>
        <v>0</v>
      </c>
      <c r="BG28" s="4">
        <f t="shared" si="117"/>
        <v>0</v>
      </c>
      <c r="BH28" s="4">
        <f t="shared" si="20"/>
        <v>0</v>
      </c>
      <c r="BI28" s="4">
        <f t="shared" si="118"/>
        <v>67183.274051906206</v>
      </c>
      <c r="BJ28" s="4"/>
      <c r="BK28" s="4">
        <f t="shared" si="21"/>
        <v>37891.658597448055</v>
      </c>
      <c r="BL28" s="4">
        <f t="shared" si="119"/>
        <v>0</v>
      </c>
      <c r="BM28" s="4">
        <f t="shared" si="120"/>
        <v>37891.658597448055</v>
      </c>
      <c r="BN28" s="4">
        <v>11480.131171669276</v>
      </c>
      <c r="BO28" s="4">
        <f t="shared" si="121"/>
        <v>49371.789769117328</v>
      </c>
      <c r="BP28" s="4">
        <f t="shared" si="122"/>
        <v>17811.484282788879</v>
      </c>
      <c r="BQ28" s="4"/>
      <c r="BR28" s="4">
        <v>0</v>
      </c>
      <c r="BS28" s="4">
        <f t="shared" ca="1" si="22"/>
        <v>12092.989329343116</v>
      </c>
      <c r="BT28" s="4">
        <f t="shared" ca="1" si="23"/>
        <v>91618.129502317548</v>
      </c>
      <c r="BU28" s="4">
        <f t="shared" si="24"/>
        <v>0</v>
      </c>
      <c r="BV28" s="4">
        <f t="shared" si="25"/>
        <v>1</v>
      </c>
      <c r="BW28" s="4">
        <f t="shared" ca="1" si="26"/>
        <v>0</v>
      </c>
      <c r="BX28" s="4">
        <f t="shared" ca="1" si="27"/>
        <v>0</v>
      </c>
      <c r="BY28" s="4">
        <f t="shared" ca="1" si="28"/>
        <v>0</v>
      </c>
      <c r="BZ28" s="4">
        <f t="shared" ca="1" si="29"/>
        <v>0</v>
      </c>
      <c r="CA28" s="4">
        <f t="shared" ca="1" si="30"/>
        <v>0</v>
      </c>
      <c r="CB28" s="4">
        <f t="shared" ca="1" si="154"/>
        <v>0</v>
      </c>
      <c r="CC28" s="4"/>
      <c r="CD28" s="4">
        <f t="shared" ca="1" si="31"/>
        <v>67183.274051906206</v>
      </c>
      <c r="CE28" s="4">
        <f t="shared" ca="1" si="123"/>
        <v>50842.87528994766</v>
      </c>
      <c r="CF28" s="16">
        <f t="shared" si="32"/>
        <v>0</v>
      </c>
      <c r="CG28" s="4">
        <f t="shared" si="33"/>
        <v>4247.4094326154282</v>
      </c>
      <c r="CH28" s="4" t="e">
        <f t="shared" ca="1" si="34"/>
        <v>#NAME?</v>
      </c>
      <c r="CI28" s="4" t="e">
        <f t="shared" ca="1" si="35"/>
        <v>#NAME?</v>
      </c>
      <c r="CJ28" s="4" t="e">
        <f t="shared" ca="1" si="124"/>
        <v>#NAME?</v>
      </c>
      <c r="CK28" s="4" t="e">
        <f t="shared" ca="1" si="125"/>
        <v>#NAME?</v>
      </c>
      <c r="CL28" s="4" t="e">
        <f t="shared" ca="1" si="36"/>
        <v>#NAME?</v>
      </c>
      <c r="CM28" s="16"/>
      <c r="CN28" s="4">
        <f t="shared" si="37"/>
        <v>0</v>
      </c>
      <c r="CO28" s="4">
        <f t="shared" si="38"/>
        <v>0</v>
      </c>
      <c r="CP28" s="4">
        <f t="shared" ca="1" si="39"/>
        <v>649419.74729100976</v>
      </c>
      <c r="CQ28" s="4"/>
      <c r="CR28" s="4">
        <f t="shared" ca="1" si="40"/>
        <v>17811.484282788879</v>
      </c>
      <c r="CS28" s="4">
        <f t="shared" ca="1" si="41"/>
        <v>39220</v>
      </c>
      <c r="CT28" s="4">
        <f t="shared" ca="1" si="42"/>
        <v>12092.989329343116</v>
      </c>
      <c r="CU28" s="4"/>
      <c r="CV28" s="4">
        <f t="shared" ca="1" si="126"/>
        <v>17811.484282788879</v>
      </c>
      <c r="CW28" s="4">
        <f t="shared" ca="1" si="43"/>
        <v>4030.9964431143721</v>
      </c>
      <c r="CX28" s="4">
        <f t="shared" ca="1" si="44"/>
        <v>4030.9964431143721</v>
      </c>
      <c r="CY28" s="4">
        <f t="shared" ca="1" si="127"/>
        <v>13780.487839674506</v>
      </c>
      <c r="CZ28" s="4"/>
      <c r="DA28" s="4">
        <f t="shared" ca="1" si="45"/>
        <v>13780.487839674506</v>
      </c>
      <c r="DB28" s="4">
        <f t="shared" si="46"/>
        <v>0</v>
      </c>
      <c r="DC28" s="4">
        <f t="shared" ca="1" si="128"/>
        <v>4030.9964431143721</v>
      </c>
      <c r="DD28" s="4">
        <f t="shared" ca="1" si="47"/>
        <v>8061.9928862287434</v>
      </c>
      <c r="DE28" s="4">
        <f t="shared" ca="1" si="48"/>
        <v>8061.9928862287434</v>
      </c>
      <c r="DF28" s="4">
        <f t="shared" ca="1" si="129"/>
        <v>0</v>
      </c>
      <c r="DG28" s="4">
        <f t="shared" ca="1" si="130"/>
        <v>8061.9928862287434</v>
      </c>
      <c r="DH28" s="4">
        <f t="shared" ca="1" si="49"/>
        <v>0</v>
      </c>
      <c r="DI28" s="4"/>
      <c r="DJ28" s="4">
        <f t="shared" ca="1" si="50"/>
        <v>5718.4949534457628</v>
      </c>
      <c r="DK28" s="4">
        <f t="shared" ca="1" si="51"/>
        <v>8500</v>
      </c>
      <c r="DL28" s="4">
        <f t="shared" ca="1" si="52"/>
        <v>8500</v>
      </c>
      <c r="DM28" s="4">
        <f t="shared" ca="1" si="53"/>
        <v>91618.129502317548</v>
      </c>
      <c r="DN28" s="4">
        <f t="shared" ca="1" si="54"/>
        <v>5718.4949534457628</v>
      </c>
      <c r="DO28" s="4">
        <f t="shared" ca="1" si="55"/>
        <v>85899.634548871778</v>
      </c>
      <c r="DP28" s="4"/>
      <c r="DQ28" s="4">
        <f t="shared" ca="1" si="56"/>
        <v>0</v>
      </c>
      <c r="DR28" s="4"/>
      <c r="DS28" s="4">
        <f t="shared" si="131"/>
        <v>0</v>
      </c>
      <c r="DT28" s="4">
        <f t="shared" si="57"/>
        <v>0</v>
      </c>
      <c r="DU28" s="4">
        <f t="shared" si="58"/>
        <v>0</v>
      </c>
      <c r="DV28" s="4"/>
      <c r="DW28" s="4">
        <f t="shared" ca="1" si="132"/>
        <v>442788.36705878266</v>
      </c>
      <c r="DX28" s="4">
        <f t="shared" ca="1" si="59"/>
        <v>16805.377373263371</v>
      </c>
      <c r="DY28" s="4">
        <f t="shared" ca="1" si="133"/>
        <v>22139.418352939134</v>
      </c>
      <c r="DZ28" s="4">
        <f t="shared" ca="1" si="60"/>
        <v>0</v>
      </c>
      <c r="EA28" s="4">
        <f t="shared" ca="1" si="61"/>
        <v>0</v>
      </c>
      <c r="EB28" s="4">
        <f t="shared" ca="1" si="62"/>
        <v>464927.78541172179</v>
      </c>
      <c r="EC28" s="4">
        <f t="shared" si="63"/>
        <v>1</v>
      </c>
      <c r="ED28" s="4"/>
      <c r="EE28" s="4">
        <f t="shared" ca="1" si="134"/>
        <v>106212.55095398241</v>
      </c>
      <c r="EF28" s="4">
        <f t="shared" ca="1" si="64"/>
        <v>4030.9964431143721</v>
      </c>
      <c r="EG28" s="4">
        <f t="shared" ca="1" si="135"/>
        <v>5310.6275476991214</v>
      </c>
      <c r="EH28" s="4">
        <f t="shared" ca="1" si="65"/>
        <v>0</v>
      </c>
      <c r="EI28" s="4">
        <f t="shared" ca="1" si="66"/>
        <v>0</v>
      </c>
      <c r="EJ28" s="4">
        <f t="shared" ca="1" si="67"/>
        <v>0</v>
      </c>
      <c r="EK28" s="4">
        <f t="shared" si="68"/>
        <v>1</v>
      </c>
      <c r="EL28" s="4">
        <f t="shared" si="69"/>
        <v>0</v>
      </c>
      <c r="EM28" s="4"/>
      <c r="EN28" s="4">
        <f t="shared" ca="1" si="136"/>
        <v>100418.82927824459</v>
      </c>
      <c r="EO28" s="4">
        <f t="shared" ca="1" si="70"/>
        <v>5718.4949534457628</v>
      </c>
      <c r="EP28" s="4">
        <f t="shared" ca="1" si="137"/>
        <v>5020.9414639122297</v>
      </c>
      <c r="EQ28" s="4">
        <f t="shared" ca="1" si="71"/>
        <v>0</v>
      </c>
      <c r="ER28" s="4">
        <v>0</v>
      </c>
      <c r="ES28" s="4">
        <f t="shared" ca="1" si="138"/>
        <v>105439.77074215682</v>
      </c>
      <c r="ET28" s="4"/>
      <c r="EU28" s="4">
        <f t="shared" ca="1" si="139"/>
        <v>0</v>
      </c>
      <c r="EV28" s="4">
        <f t="shared" ca="1" si="72"/>
        <v>0</v>
      </c>
      <c r="EW28" s="4">
        <f t="shared" ca="1" si="140"/>
        <v>0</v>
      </c>
      <c r="EX28" s="4">
        <f t="shared" ca="1" si="73"/>
        <v>0</v>
      </c>
      <c r="EY28" s="4">
        <v>0</v>
      </c>
      <c r="EZ28" s="4">
        <f t="shared" ca="1" si="141"/>
        <v>0</v>
      </c>
      <c r="FA28" s="4">
        <f t="shared" ca="1" si="142"/>
        <v>0</v>
      </c>
      <c r="FB28" s="1">
        <f t="shared" ca="1" si="74"/>
        <v>0</v>
      </c>
      <c r="FC28" s="4">
        <f t="shared" ca="1" si="143"/>
        <v>0</v>
      </c>
      <c r="FD28" s="4">
        <f t="shared" ca="1" si="144"/>
        <v>0</v>
      </c>
      <c r="FE28" s="4">
        <f t="shared" ca="1" si="75"/>
        <v>0</v>
      </c>
      <c r="FF28" s="4">
        <f t="shared" ca="1" si="76"/>
        <v>0</v>
      </c>
      <c r="FG28" s="4">
        <f t="shared" ca="1" si="77"/>
        <v>0</v>
      </c>
      <c r="FH28" s="17">
        <f t="shared" ca="1" si="78"/>
        <v>0</v>
      </c>
      <c r="FI28" s="4">
        <f t="shared" ca="1" si="79"/>
        <v>0</v>
      </c>
      <c r="FJ28" s="4"/>
      <c r="FK28" s="4">
        <f t="shared" ca="1" si="80"/>
        <v>570367.55615387857</v>
      </c>
      <c r="FL28" s="4"/>
      <c r="FM28" s="4">
        <v>0</v>
      </c>
      <c r="FN28" s="4">
        <v>0</v>
      </c>
      <c r="FO28" s="4">
        <v>0</v>
      </c>
      <c r="FP28" s="4">
        <v>0</v>
      </c>
      <c r="FQ28" s="4">
        <v>0</v>
      </c>
      <c r="FR28" s="4">
        <v>0</v>
      </c>
      <c r="FS28" s="4">
        <f t="shared" si="81"/>
        <v>0</v>
      </c>
      <c r="FT28" s="4">
        <f t="shared" ca="1" si="82"/>
        <v>0</v>
      </c>
      <c r="FU28" s="4"/>
      <c r="FV28" s="3">
        <f t="shared" si="83"/>
        <v>0.65977581677260533</v>
      </c>
      <c r="FW28" s="3">
        <f t="shared" si="84"/>
        <v>0.65977581677260533</v>
      </c>
      <c r="FX28" s="4">
        <f t="shared" si="145"/>
        <v>2038</v>
      </c>
      <c r="FY28" s="4">
        <f t="shared" si="85"/>
        <v>44.325899511054203</v>
      </c>
      <c r="FZ28" s="4">
        <f t="shared" si="86"/>
        <v>0</v>
      </c>
      <c r="GA28" s="4">
        <f t="shared" si="87"/>
        <v>0</v>
      </c>
      <c r="GB28" s="4">
        <f t="shared" si="88"/>
        <v>0</v>
      </c>
      <c r="GC28" s="4">
        <f t="shared" ca="1" si="89"/>
        <v>0</v>
      </c>
      <c r="GD28" s="4">
        <f t="shared" ca="1" si="90"/>
        <v>0</v>
      </c>
      <c r="GE28" s="4">
        <f t="shared" ca="1" si="91"/>
        <v>0</v>
      </c>
      <c r="GF28" s="4">
        <f t="shared" ca="1" si="92"/>
        <v>0</v>
      </c>
      <c r="GG28" s="18" t="e">
        <f t="shared" ca="1" si="93"/>
        <v>#NAME?</v>
      </c>
      <c r="GH28" s="18" t="e">
        <f t="shared" ca="1" si="94"/>
        <v>#NAME?</v>
      </c>
      <c r="GI28" s="4"/>
      <c r="GJ28" s="4">
        <f t="shared" si="95"/>
        <v>2038</v>
      </c>
      <c r="GK28" s="4">
        <f t="shared" ca="1" si="96"/>
        <v>292.14105653361651</v>
      </c>
      <c r="GL28" s="4">
        <f t="shared" ca="1" si="97"/>
        <v>70.076472557165701</v>
      </c>
      <c r="GM28" s="4">
        <f t="shared" ca="1" si="98"/>
        <v>66.253915106402644</v>
      </c>
      <c r="GN28" s="4">
        <f t="shared" ca="1" si="99"/>
        <v>0</v>
      </c>
      <c r="GO28" s="4"/>
      <c r="GP28" s="3">
        <f t="shared" ca="1" si="146"/>
        <v>0.81513715216699612</v>
      </c>
      <c r="GQ28" s="3">
        <f t="shared" ca="1" si="100"/>
        <v>0</v>
      </c>
      <c r="GR28" s="3">
        <f t="shared" ca="1" si="101"/>
        <v>0</v>
      </c>
      <c r="GS28" s="3">
        <f t="shared" ca="1" si="102"/>
        <v>0.184862847833004</v>
      </c>
      <c r="GT28" s="3">
        <f t="array" aca="1" ref="GT28" ca="1">SUM(GP28:GS28*$GU$6:$GX$6)</f>
        <v>1</v>
      </c>
      <c r="GU28" s="3">
        <f t="shared" ca="1" si="147"/>
        <v>0.81513715216699612</v>
      </c>
      <c r="GV28" s="3">
        <f t="shared" ca="1" si="148"/>
        <v>0</v>
      </c>
      <c r="GW28" s="3">
        <f t="shared" ca="1" si="149"/>
        <v>0</v>
      </c>
      <c r="GX28" s="3">
        <f t="shared" ca="1" si="150"/>
        <v>0.184862847833004</v>
      </c>
      <c r="GY28" s="11"/>
      <c r="GZ28" s="27">
        <v>70</v>
      </c>
      <c r="HA28" s="29">
        <v>0.05</v>
      </c>
      <c r="HB28" s="29">
        <f t="shared" ca="1" si="151"/>
        <v>8.4500000000000006E-2</v>
      </c>
      <c r="HC28" s="29">
        <v>8.4500000000000006E-2</v>
      </c>
      <c r="HD28" s="29">
        <v>8.1000000000000003E-2</v>
      </c>
      <c r="HE28" s="29">
        <v>6.4000000000000001E-2</v>
      </c>
      <c r="HG28" s="27">
        <v>68</v>
      </c>
      <c r="HH28" s="30">
        <v>4.5499999999999999E-2</v>
      </c>
      <c r="HJ28">
        <f t="shared" si="153"/>
        <v>2031</v>
      </c>
      <c r="HK28" s="28">
        <f t="shared" si="163"/>
        <v>34140</v>
      </c>
      <c r="HL28" s="27">
        <f t="shared" si="155"/>
        <v>7500</v>
      </c>
      <c r="HM28" s="28">
        <f t="shared" si="156"/>
        <v>7402.2758607827145</v>
      </c>
    </row>
    <row r="29" spans="1:241" x14ac:dyDescent="0.25">
      <c r="A29" t="s">
        <v>484</v>
      </c>
      <c r="B29" s="63">
        <f>Inputs_Summary!AK26</f>
        <v>0</v>
      </c>
      <c r="D29">
        <f t="shared" si="106"/>
        <v>2039</v>
      </c>
      <c r="E29">
        <f t="shared" si="106"/>
        <v>44</v>
      </c>
      <c r="F29" s="8"/>
      <c r="G29" s="8"/>
      <c r="H29" s="9"/>
      <c r="I29" s="8"/>
      <c r="J29" s="92"/>
      <c r="K29" s="91"/>
      <c r="L29" s="91"/>
      <c r="N29" s="93">
        <f t="shared" si="107"/>
        <v>0.05</v>
      </c>
      <c r="O29" s="23">
        <f t="shared" si="108"/>
        <v>0</v>
      </c>
      <c r="P29" s="23">
        <f t="shared" si="109"/>
        <v>0.4</v>
      </c>
      <c r="Q29" s="4">
        <f t="shared" si="0"/>
        <v>0</v>
      </c>
      <c r="R29" s="4">
        <f t="shared" si="110"/>
        <v>0</v>
      </c>
      <c r="S29" s="4">
        <f t="shared" si="1"/>
        <v>0</v>
      </c>
      <c r="T29" s="4">
        <f t="shared" ca="1" si="2"/>
        <v>0</v>
      </c>
      <c r="V29" s="18" t="e">
        <f t="shared" ca="1" si="3"/>
        <v>#NAME?</v>
      </c>
      <c r="W29" s="18" t="e">
        <f t="shared" ca="1" si="4"/>
        <v>#NAME?</v>
      </c>
      <c r="X29" s="18">
        <f t="shared" si="5"/>
        <v>0</v>
      </c>
      <c r="Y29" s="18">
        <f t="shared" ca="1" si="6"/>
        <v>5.345181999862417</v>
      </c>
      <c r="Z29" s="18">
        <f t="shared" ca="1" si="7"/>
        <v>2.6725909999312085</v>
      </c>
      <c r="AA29" s="18">
        <f t="shared" ca="1" si="8"/>
        <v>3.8941502990984258</v>
      </c>
      <c r="AB29" s="18">
        <f t="shared" ca="1" si="9"/>
        <v>0</v>
      </c>
      <c r="AC29" s="18">
        <f t="shared" ca="1" si="10"/>
        <v>311.60381464991565</v>
      </c>
      <c r="AD29" s="18">
        <f t="shared" ca="1" si="11"/>
        <v>74.744951133026717</v>
      </c>
      <c r="AE29" s="18">
        <f t="shared" ca="1" si="12"/>
        <v>71.901505431708301</v>
      </c>
      <c r="AF29" s="18">
        <f t="shared" ca="1" si="13"/>
        <v>0</v>
      </c>
      <c r="AG29" s="18">
        <f t="shared" ca="1" si="14"/>
        <v>458.25027121465058</v>
      </c>
      <c r="AI29">
        <f>Person1!E29</f>
        <v>44</v>
      </c>
      <c r="AJ29">
        <f>Person1!AZ29</f>
        <v>1</v>
      </c>
      <c r="AK29">
        <f>IF(AZ29&lt;&gt;3,Person1!FM29,0)</f>
        <v>0</v>
      </c>
      <c r="AL29" s="4">
        <f ca="1">IF($AZ29&lt;&gt;3,Person1!FN29+Person1!FT29,0)</f>
        <v>9005.686021645668</v>
      </c>
      <c r="AM29">
        <f>IF($AZ29&lt;&gt;3,Person1!FO29,0)</f>
        <v>0</v>
      </c>
      <c r="AN29">
        <f>IF($AZ29&lt;&gt;3,Person1!FP29,0)</f>
        <v>0</v>
      </c>
      <c r="AO29">
        <f>IF($AZ29&lt;&gt;3,Person1!FQ29,0)</f>
        <v>0</v>
      </c>
      <c r="AP29">
        <f>IF($AZ29&lt;&gt;3,Person1!FR29,0)</f>
        <v>0</v>
      </c>
      <c r="AQ29" s="4">
        <f t="shared" si="15"/>
        <v>0</v>
      </c>
      <c r="AR29" s="4">
        <f>Person1!FS29</f>
        <v>0</v>
      </c>
      <c r="AS29" s="4">
        <f>$B$41*MAX(0,CHOOSE($AZ29,0,IF(AND(Person1!AW29&gt;=Person1!$B$36,AV29&gt;=$B$93),Person1!$B$35*(1+Person1!$B$37)^(Person1!$B$36-Person1!$B$11)*(1+Person1!$B$38)^(Person1!AW29-Person1!$B$36)-CHOOSE(Person1!$B$39+1,0,BD29,BE29,BD29+BE29),0),0,0))</f>
        <v>0</v>
      </c>
      <c r="AT29" s="4">
        <f t="shared" si="16"/>
        <v>0</v>
      </c>
      <c r="AV29">
        <f t="shared" si="162"/>
        <v>2039</v>
      </c>
      <c r="AW29">
        <f t="shared" si="162"/>
        <v>44</v>
      </c>
      <c r="AX29">
        <f t="shared" si="112"/>
        <v>1.5459796707758806</v>
      </c>
      <c r="AY29">
        <f t="shared" si="113"/>
        <v>0.64683903605157378</v>
      </c>
      <c r="AZ29">
        <f t="shared" si="114"/>
        <v>1</v>
      </c>
      <c r="BB29" s="4">
        <f t="shared" si="17"/>
        <v>68862.855903203861</v>
      </c>
      <c r="BC29">
        <f t="shared" si="18"/>
        <v>0</v>
      </c>
      <c r="BD29" s="4">
        <f t="shared" si="19"/>
        <v>0</v>
      </c>
      <c r="BE29" s="4">
        <f t="shared" si="115"/>
        <v>0</v>
      </c>
      <c r="BF29" s="4">
        <f t="shared" si="116"/>
        <v>0</v>
      </c>
      <c r="BG29" s="4">
        <f t="shared" si="117"/>
        <v>0</v>
      </c>
      <c r="BH29" s="4">
        <f t="shared" si="20"/>
        <v>0</v>
      </c>
      <c r="BI29" s="4">
        <f t="shared" si="118"/>
        <v>68862.855903203861</v>
      </c>
      <c r="BJ29" s="4"/>
      <c r="BK29" s="4">
        <f t="shared" si="21"/>
        <v>38649.491769397013</v>
      </c>
      <c r="BL29" s="4">
        <f t="shared" si="119"/>
        <v>0</v>
      </c>
      <c r="BM29" s="4">
        <f t="shared" si="120"/>
        <v>38649.491769397013</v>
      </c>
      <c r="BN29" s="4">
        <v>11797.772873878172</v>
      </c>
      <c r="BO29" s="4">
        <f t="shared" si="121"/>
        <v>50447.264643275186</v>
      </c>
      <c r="BP29" s="4">
        <f t="shared" si="122"/>
        <v>18415.591259928675</v>
      </c>
      <c r="BQ29" s="4"/>
      <c r="BR29" s="4">
        <v>0</v>
      </c>
      <c r="BS29" s="4">
        <f t="shared" ca="1" si="22"/>
        <v>12395.314062576694</v>
      </c>
      <c r="BT29" s="4">
        <f t="shared" ca="1" si="23"/>
        <v>94399.634548871778</v>
      </c>
      <c r="BU29" s="4">
        <f t="shared" si="24"/>
        <v>0</v>
      </c>
      <c r="BV29" s="4">
        <f t="shared" si="25"/>
        <v>1</v>
      </c>
      <c r="BW29" s="4">
        <f t="shared" ca="1" si="26"/>
        <v>0</v>
      </c>
      <c r="BX29" s="4">
        <f t="shared" ca="1" si="27"/>
        <v>0</v>
      </c>
      <c r="BY29" s="4">
        <f t="shared" ca="1" si="28"/>
        <v>0</v>
      </c>
      <c r="BZ29" s="4">
        <f t="shared" ca="1" si="29"/>
        <v>0</v>
      </c>
      <c r="CA29" s="4">
        <f t="shared" ca="1" si="30"/>
        <v>0</v>
      </c>
      <c r="CB29" s="4">
        <f t="shared" ca="1" si="154"/>
        <v>0</v>
      </c>
      <c r="CC29" s="4"/>
      <c r="CD29" s="4">
        <f t="shared" ca="1" si="31"/>
        <v>68862.855903203861</v>
      </c>
      <c r="CE29" s="4">
        <f t="shared" ca="1" si="123"/>
        <v>52109.615922196346</v>
      </c>
      <c r="CF29" s="16">
        <f t="shared" si="32"/>
        <v>0</v>
      </c>
      <c r="CG29" s="4">
        <f t="shared" si="33"/>
        <v>4357.9259184308139</v>
      </c>
      <c r="CH29" s="4" t="e">
        <f t="shared" ca="1" si="34"/>
        <v>#NAME?</v>
      </c>
      <c r="CI29" s="4" t="e">
        <f t="shared" ca="1" si="35"/>
        <v>#NAME?</v>
      </c>
      <c r="CJ29" s="4" t="e">
        <f t="shared" ca="1" si="124"/>
        <v>#NAME?</v>
      </c>
      <c r="CK29" s="4" t="e">
        <f t="shared" ca="1" si="125"/>
        <v>#NAME?</v>
      </c>
      <c r="CL29" s="4" t="e">
        <f t="shared" ca="1" si="36"/>
        <v>#NAME?</v>
      </c>
      <c r="CM29" s="16"/>
      <c r="CN29" s="4">
        <f t="shared" si="37"/>
        <v>0</v>
      </c>
      <c r="CO29" s="4">
        <f t="shared" si="38"/>
        <v>0</v>
      </c>
      <c r="CP29" s="4">
        <f t="shared" ca="1" si="39"/>
        <v>708445.60342538357</v>
      </c>
      <c r="CQ29" s="4"/>
      <c r="CR29" s="4">
        <f t="shared" ca="1" si="40"/>
        <v>18415.591259928675</v>
      </c>
      <c r="CS29" s="4">
        <f t="shared" ca="1" si="41"/>
        <v>40010</v>
      </c>
      <c r="CT29" s="4">
        <f t="shared" ca="1" si="42"/>
        <v>12395.314062576694</v>
      </c>
      <c r="CU29" s="4"/>
      <c r="CV29" s="4">
        <f t="shared" ca="1" si="126"/>
        <v>18415.591259928675</v>
      </c>
      <c r="CW29" s="4">
        <f t="shared" ca="1" si="43"/>
        <v>4131.7713541922312</v>
      </c>
      <c r="CX29" s="4">
        <f t="shared" ca="1" si="44"/>
        <v>4131.7713541922312</v>
      </c>
      <c r="CY29" s="4">
        <f t="shared" ca="1" si="127"/>
        <v>14283.819905736444</v>
      </c>
      <c r="CZ29" s="4"/>
      <c r="DA29" s="4">
        <f t="shared" ca="1" si="45"/>
        <v>14283.819905736444</v>
      </c>
      <c r="DB29" s="4">
        <f t="shared" si="46"/>
        <v>0</v>
      </c>
      <c r="DC29" s="4">
        <f t="shared" ca="1" si="128"/>
        <v>4131.7713541922312</v>
      </c>
      <c r="DD29" s="4">
        <f t="shared" ca="1" si="47"/>
        <v>8263.5427083844625</v>
      </c>
      <c r="DE29" s="4">
        <f t="shared" ca="1" si="48"/>
        <v>8263.5427083844625</v>
      </c>
      <c r="DF29" s="4">
        <f t="shared" ca="1" si="129"/>
        <v>0</v>
      </c>
      <c r="DG29" s="4">
        <f t="shared" ca="1" si="130"/>
        <v>8263.5427083844625</v>
      </c>
      <c r="DH29" s="4">
        <f t="shared" ca="1" si="49"/>
        <v>0</v>
      </c>
      <c r="DI29" s="4"/>
      <c r="DJ29" s="4">
        <f t="shared" ca="1" si="50"/>
        <v>6020.2771973519812</v>
      </c>
      <c r="DK29" s="4">
        <f t="shared" ca="1" si="51"/>
        <v>8500</v>
      </c>
      <c r="DL29" s="4">
        <f t="shared" ca="1" si="52"/>
        <v>8500</v>
      </c>
      <c r="DM29" s="4">
        <f t="shared" ca="1" si="53"/>
        <v>94399.634548871778</v>
      </c>
      <c r="DN29" s="4">
        <f t="shared" ca="1" si="54"/>
        <v>6020.2771973519812</v>
      </c>
      <c r="DO29" s="4">
        <f t="shared" ca="1" si="55"/>
        <v>88379.357351519793</v>
      </c>
      <c r="DP29" s="4"/>
      <c r="DQ29" s="4">
        <f t="shared" ca="1" si="56"/>
        <v>0</v>
      </c>
      <c r="DR29" s="4"/>
      <c r="DS29" s="4">
        <f t="shared" si="131"/>
        <v>0</v>
      </c>
      <c r="DT29" s="4">
        <f t="shared" si="57"/>
        <v>0</v>
      </c>
      <c r="DU29" s="4">
        <f t="shared" si="58"/>
        <v>0</v>
      </c>
      <c r="DV29" s="4"/>
      <c r="DW29" s="4">
        <f t="shared" ca="1" si="132"/>
        <v>481733.16278498515</v>
      </c>
      <c r="DX29" s="4">
        <f t="shared" ca="1" si="59"/>
        <v>17269.228730030132</v>
      </c>
      <c r="DY29" s="4">
        <f t="shared" ca="1" si="133"/>
        <v>24086.658139249259</v>
      </c>
      <c r="DZ29" s="4">
        <f t="shared" ca="1" si="60"/>
        <v>0</v>
      </c>
      <c r="EA29" s="4">
        <f t="shared" ca="1" si="61"/>
        <v>0</v>
      </c>
      <c r="EB29" s="4">
        <f t="shared" ca="1" si="62"/>
        <v>505819.8209242344</v>
      </c>
      <c r="EC29" s="4">
        <f t="shared" si="63"/>
        <v>1</v>
      </c>
      <c r="ED29" s="4"/>
      <c r="EE29" s="4">
        <f t="shared" ca="1" si="134"/>
        <v>115554.17494479592</v>
      </c>
      <c r="EF29" s="4">
        <f t="shared" ca="1" si="64"/>
        <v>4131.7713541922312</v>
      </c>
      <c r="EG29" s="4">
        <f t="shared" ca="1" si="135"/>
        <v>5777.7087472397961</v>
      </c>
      <c r="EH29" s="4">
        <f t="shared" ca="1" si="65"/>
        <v>0</v>
      </c>
      <c r="EI29" s="4">
        <f t="shared" ca="1" si="66"/>
        <v>0</v>
      </c>
      <c r="EJ29" s="4">
        <f t="shared" ca="1" si="67"/>
        <v>0</v>
      </c>
      <c r="EK29" s="4">
        <f t="shared" si="68"/>
        <v>1</v>
      </c>
      <c r="EL29" s="4">
        <f t="shared" si="69"/>
        <v>0</v>
      </c>
      <c r="EM29" s="4"/>
      <c r="EN29" s="4">
        <f t="shared" ca="1" si="136"/>
        <v>111158.26569560257</v>
      </c>
      <c r="EO29" s="4">
        <f t="shared" ca="1" si="70"/>
        <v>6020.2771973519812</v>
      </c>
      <c r="EP29" s="4">
        <f t="shared" ca="1" si="137"/>
        <v>5557.9132847801293</v>
      </c>
      <c r="EQ29" s="4">
        <f t="shared" ca="1" si="71"/>
        <v>0</v>
      </c>
      <c r="ER29" s="4">
        <v>0</v>
      </c>
      <c r="ES29" s="4">
        <f t="shared" ca="1" si="138"/>
        <v>116716.1789803827</v>
      </c>
      <c r="ET29" s="4"/>
      <c r="EU29" s="4">
        <f t="shared" ca="1" si="139"/>
        <v>0</v>
      </c>
      <c r="EV29" s="4">
        <f t="shared" ca="1" si="72"/>
        <v>0</v>
      </c>
      <c r="EW29" s="4">
        <f t="shared" ca="1" si="140"/>
        <v>0</v>
      </c>
      <c r="EX29" s="4">
        <f t="shared" ca="1" si="73"/>
        <v>0</v>
      </c>
      <c r="EY29" s="4">
        <v>0</v>
      </c>
      <c r="EZ29" s="4">
        <f t="shared" ca="1" si="141"/>
        <v>0</v>
      </c>
      <c r="FA29" s="4">
        <f t="shared" ca="1" si="142"/>
        <v>0</v>
      </c>
      <c r="FB29" s="1">
        <f t="shared" ca="1" si="74"/>
        <v>0</v>
      </c>
      <c r="FC29" s="4">
        <f t="shared" ca="1" si="143"/>
        <v>0</v>
      </c>
      <c r="FD29" s="4">
        <f t="shared" ca="1" si="144"/>
        <v>0</v>
      </c>
      <c r="FE29" s="4">
        <f t="shared" ca="1" si="75"/>
        <v>0</v>
      </c>
      <c r="FF29" s="4">
        <f t="shared" ca="1" si="76"/>
        <v>0</v>
      </c>
      <c r="FG29" s="4">
        <f t="shared" ca="1" si="77"/>
        <v>0</v>
      </c>
      <c r="FH29" s="17">
        <f t="shared" ca="1" si="78"/>
        <v>0</v>
      </c>
      <c r="FI29" s="4">
        <f t="shared" ca="1" si="79"/>
        <v>0</v>
      </c>
      <c r="FJ29" s="4"/>
      <c r="FK29" s="4">
        <f t="shared" ca="1" si="80"/>
        <v>622535.99990461709</v>
      </c>
      <c r="FL29" s="4"/>
      <c r="FM29" s="4">
        <v>0</v>
      </c>
      <c r="FN29" s="4">
        <v>0</v>
      </c>
      <c r="FO29" s="4">
        <v>0</v>
      </c>
      <c r="FP29" s="4">
        <v>0</v>
      </c>
      <c r="FQ29" s="4">
        <v>0</v>
      </c>
      <c r="FR29" s="4">
        <v>0</v>
      </c>
      <c r="FS29" s="4">
        <f t="shared" si="81"/>
        <v>0</v>
      </c>
      <c r="FT29" s="4">
        <f t="shared" ca="1" si="82"/>
        <v>0</v>
      </c>
      <c r="FU29" s="4"/>
      <c r="FV29" s="3">
        <f t="shared" si="83"/>
        <v>0.64683903605157378</v>
      </c>
      <c r="FW29" s="3">
        <f t="shared" si="84"/>
        <v>0.64683903605157378</v>
      </c>
      <c r="FX29" s="4">
        <f t="shared" si="145"/>
        <v>2039</v>
      </c>
      <c r="FY29" s="4">
        <f t="shared" si="85"/>
        <v>44.543183332186814</v>
      </c>
      <c r="FZ29" s="4">
        <f t="shared" si="86"/>
        <v>0</v>
      </c>
      <c r="GA29" s="4">
        <f t="shared" si="87"/>
        <v>0</v>
      </c>
      <c r="GB29" s="4">
        <f t="shared" si="88"/>
        <v>0</v>
      </c>
      <c r="GC29" s="4">
        <f t="shared" ca="1" si="89"/>
        <v>0</v>
      </c>
      <c r="GD29" s="4">
        <f t="shared" ca="1" si="90"/>
        <v>0</v>
      </c>
      <c r="GE29" s="4">
        <f t="shared" ca="1" si="91"/>
        <v>0</v>
      </c>
      <c r="GF29" s="4">
        <f t="shared" ca="1" si="92"/>
        <v>0</v>
      </c>
      <c r="GG29" s="18" t="e">
        <f t="shared" ca="1" si="93"/>
        <v>#NAME?</v>
      </c>
      <c r="GH29" s="18" t="e">
        <f t="shared" ca="1" si="94"/>
        <v>#NAME?</v>
      </c>
      <c r="GI29" s="4"/>
      <c r="GJ29" s="4">
        <f t="shared" si="95"/>
        <v>2039</v>
      </c>
      <c r="GK29" s="4">
        <f t="shared" ca="1" si="96"/>
        <v>311.60381464991565</v>
      </c>
      <c r="GL29" s="4">
        <f t="shared" ca="1" si="97"/>
        <v>74.744951133026717</v>
      </c>
      <c r="GM29" s="4">
        <f t="shared" ca="1" si="98"/>
        <v>71.901505431708301</v>
      </c>
      <c r="GN29" s="4">
        <f t="shared" ca="1" si="99"/>
        <v>0</v>
      </c>
      <c r="GO29" s="4"/>
      <c r="GP29" s="3">
        <f t="shared" ca="1" si="146"/>
        <v>0.81251497263087513</v>
      </c>
      <c r="GQ29" s="3">
        <f t="shared" ca="1" si="100"/>
        <v>0</v>
      </c>
      <c r="GR29" s="3">
        <f t="shared" ca="1" si="101"/>
        <v>0</v>
      </c>
      <c r="GS29" s="3">
        <f t="shared" ca="1" si="102"/>
        <v>0.18748502736912495</v>
      </c>
      <c r="GT29" s="3">
        <f t="array" aca="1" ref="GT29" ca="1">SUM(GP29:GS29*$GU$6:$GX$6)</f>
        <v>1</v>
      </c>
      <c r="GU29" s="3">
        <f t="shared" ca="1" si="147"/>
        <v>0.81251497263087513</v>
      </c>
      <c r="GV29" s="3">
        <f t="shared" ca="1" si="148"/>
        <v>0</v>
      </c>
      <c r="GW29" s="3">
        <f t="shared" ca="1" si="149"/>
        <v>0</v>
      </c>
      <c r="GX29" s="3">
        <f t="shared" ca="1" si="150"/>
        <v>0.18748502736912495</v>
      </c>
      <c r="GY29" s="11"/>
      <c r="GZ29" s="27">
        <v>71</v>
      </c>
      <c r="HA29" s="30">
        <v>5.28E-2</v>
      </c>
      <c r="HB29" s="29">
        <f t="shared" ca="1" si="151"/>
        <v>8.7099999999999997E-2</v>
      </c>
      <c r="HC29" s="29">
        <v>8.7099999999999997E-2</v>
      </c>
      <c r="HD29" s="29">
        <v>8.3000000000000004E-2</v>
      </c>
      <c r="HE29" s="29">
        <v>6.6600000000000006E-2</v>
      </c>
      <c r="HG29" s="27">
        <v>69</v>
      </c>
      <c r="HH29" s="30">
        <v>4.7599999999999996E-2</v>
      </c>
      <c r="HJ29">
        <f t="shared" si="153"/>
        <v>2032</v>
      </c>
      <c r="HK29" s="28">
        <f t="shared" si="163"/>
        <v>34830</v>
      </c>
      <c r="HL29" s="27">
        <f t="shared" si="155"/>
        <v>7500</v>
      </c>
      <c r="HM29" s="28">
        <f t="shared" si="156"/>
        <v>7550.3213779983689</v>
      </c>
      <c r="HO29" t="s">
        <v>168</v>
      </c>
      <c r="HQ29" s="27">
        <v>0</v>
      </c>
      <c r="HR29" s="27">
        <v>0</v>
      </c>
      <c r="HS29" s="27">
        <v>0</v>
      </c>
      <c r="HT29" s="27">
        <v>0</v>
      </c>
      <c r="HU29" s="27">
        <v>0</v>
      </c>
      <c r="HV29" s="27">
        <v>0</v>
      </c>
      <c r="HW29" s="27">
        <v>0</v>
      </c>
      <c r="HX29" s="27">
        <v>0</v>
      </c>
      <c r="HY29" s="27">
        <v>0</v>
      </c>
      <c r="HZ29" s="27">
        <v>0</v>
      </c>
      <c r="IA29" s="27">
        <v>0</v>
      </c>
      <c r="IB29" s="27">
        <v>0</v>
      </c>
      <c r="IC29" s="27">
        <v>0</v>
      </c>
      <c r="ID29" s="27">
        <v>0</v>
      </c>
      <c r="IE29" s="27">
        <v>0</v>
      </c>
      <c r="IF29" s="27">
        <v>0</v>
      </c>
      <c r="IG29" s="27">
        <v>0</v>
      </c>
    </row>
    <row r="30" spans="1:241" x14ac:dyDescent="0.25">
      <c r="A30" t="s">
        <v>482</v>
      </c>
      <c r="B30" s="62">
        <f>Inputs_Summary!AK27</f>
        <v>25000</v>
      </c>
      <c r="D30">
        <f t="shared" si="106"/>
        <v>2040</v>
      </c>
      <c r="E30">
        <f t="shared" si="106"/>
        <v>45</v>
      </c>
      <c r="F30" s="8"/>
      <c r="G30" s="8"/>
      <c r="H30" s="9"/>
      <c r="I30" s="8"/>
      <c r="J30" s="92"/>
      <c r="K30" s="91"/>
      <c r="L30" s="91"/>
      <c r="N30" s="93">
        <f t="shared" si="107"/>
        <v>0.05</v>
      </c>
      <c r="O30" s="23">
        <f t="shared" si="108"/>
        <v>0</v>
      </c>
      <c r="P30" s="23">
        <f t="shared" si="109"/>
        <v>0.4</v>
      </c>
      <c r="Q30" s="4">
        <f t="shared" si="0"/>
        <v>0</v>
      </c>
      <c r="R30" s="4">
        <f t="shared" si="110"/>
        <v>0</v>
      </c>
      <c r="S30" s="4">
        <f t="shared" si="1"/>
        <v>0</v>
      </c>
      <c r="T30" s="4">
        <f t="shared" ca="1" si="2"/>
        <v>0</v>
      </c>
      <c r="V30" s="18" t="e">
        <f t="shared" ca="1" si="3"/>
        <v>#NAME?</v>
      </c>
      <c r="W30" s="18" t="e">
        <f t="shared" ca="1" si="4"/>
        <v>#NAME?</v>
      </c>
      <c r="X30" s="18">
        <f t="shared" si="5"/>
        <v>0</v>
      </c>
      <c r="Y30" s="18">
        <f t="shared" ca="1" si="6"/>
        <v>5.371383872410763</v>
      </c>
      <c r="Z30" s="18">
        <f t="shared" ca="1" si="7"/>
        <v>2.6856919362053819</v>
      </c>
      <c r="AA30" s="18">
        <f t="shared" ca="1" si="8"/>
        <v>4.0160113631320744</v>
      </c>
      <c r="AB30" s="18">
        <f t="shared" ca="1" si="9"/>
        <v>0</v>
      </c>
      <c r="AC30" s="18">
        <f t="shared" ca="1" si="10"/>
        <v>331.7200163210768</v>
      </c>
      <c r="AD30" s="18">
        <f t="shared" ca="1" si="11"/>
        <v>79.563519303538484</v>
      </c>
      <c r="AE30" s="18">
        <f t="shared" ca="1" si="12"/>
        <v>77.834050002345236</v>
      </c>
      <c r="AF30" s="18">
        <f t="shared" ca="1" si="13"/>
        <v>0</v>
      </c>
      <c r="AG30" s="18">
        <f t="shared" ca="1" si="14"/>
        <v>489.11758562696042</v>
      </c>
      <c r="AI30">
        <f>Person1!E30</f>
        <v>45</v>
      </c>
      <c r="AJ30">
        <f>Person1!AZ30</f>
        <v>1</v>
      </c>
      <c r="AK30">
        <f>IF(AZ30&lt;&gt;3,Person1!FM30,0)</f>
        <v>0</v>
      </c>
      <c r="AL30" s="4">
        <f ca="1">IF($AZ30&lt;&gt;3,Person1!FN30+Person1!FT30,0)</f>
        <v>9275.8566022950399</v>
      </c>
      <c r="AM30">
        <f>IF($AZ30&lt;&gt;3,Person1!FO30,0)</f>
        <v>0</v>
      </c>
      <c r="AN30">
        <f>IF($AZ30&lt;&gt;3,Person1!FP30,0)</f>
        <v>0</v>
      </c>
      <c r="AO30">
        <f>IF($AZ30&lt;&gt;3,Person1!FQ30,0)</f>
        <v>0</v>
      </c>
      <c r="AP30">
        <f>IF($AZ30&lt;&gt;3,Person1!FR30,0)</f>
        <v>0</v>
      </c>
      <c r="AQ30" s="4">
        <f t="shared" si="15"/>
        <v>0</v>
      </c>
      <c r="AR30" s="4">
        <f>Person1!FS30</f>
        <v>0</v>
      </c>
      <c r="AS30" s="4">
        <f>$B$41*MAX(0,CHOOSE($AZ30,0,IF(AND(Person1!AW30&gt;=Person1!$B$36,AV30&gt;=$B$93),Person1!$B$35*(1+Person1!$B$37)^(Person1!$B$36-Person1!$B$11)*(1+Person1!$B$38)^(Person1!AW30-Person1!$B$36)-CHOOSE(Person1!$B$39+1,0,BD30,BE30,BD30+BE30),0),0,0))</f>
        <v>0</v>
      </c>
      <c r="AT30" s="4">
        <f t="shared" si="16"/>
        <v>0</v>
      </c>
      <c r="AV30">
        <f t="shared" si="162"/>
        <v>2040</v>
      </c>
      <c r="AW30">
        <f t="shared" si="162"/>
        <v>45</v>
      </c>
      <c r="AX30">
        <f t="shared" si="112"/>
        <v>1.5768992641913981</v>
      </c>
      <c r="AY30">
        <f t="shared" si="113"/>
        <v>0.63415591769762136</v>
      </c>
      <c r="AZ30">
        <f t="shared" si="114"/>
        <v>1</v>
      </c>
      <c r="BB30" s="4">
        <f t="shared" si="17"/>
        <v>70584.427300783966</v>
      </c>
      <c r="BC30">
        <f t="shared" si="18"/>
        <v>0</v>
      </c>
      <c r="BD30" s="4">
        <f t="shared" si="19"/>
        <v>0</v>
      </c>
      <c r="BE30" s="4">
        <f t="shared" si="115"/>
        <v>0</v>
      </c>
      <c r="BF30" s="4">
        <f t="shared" si="116"/>
        <v>0</v>
      </c>
      <c r="BG30" s="4">
        <f t="shared" si="117"/>
        <v>0</v>
      </c>
      <c r="BH30" s="4">
        <f t="shared" si="20"/>
        <v>0</v>
      </c>
      <c r="BI30" s="4">
        <f t="shared" si="118"/>
        <v>70584.427300783966</v>
      </c>
      <c r="BJ30" s="4"/>
      <c r="BK30" s="4">
        <f t="shared" si="21"/>
        <v>39422.481604784953</v>
      </c>
      <c r="BL30" s="4">
        <f t="shared" si="119"/>
        <v>0</v>
      </c>
      <c r="BM30" s="4">
        <f t="shared" si="120"/>
        <v>39422.481604784953</v>
      </c>
      <c r="BN30" s="4">
        <v>12123.903418350641</v>
      </c>
      <c r="BO30" s="4">
        <f t="shared" si="121"/>
        <v>51546.38502313559</v>
      </c>
      <c r="BP30" s="4">
        <f t="shared" si="122"/>
        <v>19038.042277648376</v>
      </c>
      <c r="BQ30" s="4"/>
      <c r="BR30" s="4">
        <v>0</v>
      </c>
      <c r="BS30" s="4">
        <f t="shared" ca="1" si="22"/>
        <v>12705.196914141114</v>
      </c>
      <c r="BT30" s="4">
        <f t="shared" ca="1" si="23"/>
        <v>97379.357351519793</v>
      </c>
      <c r="BU30" s="4">
        <f t="shared" si="24"/>
        <v>0</v>
      </c>
      <c r="BV30" s="4">
        <f t="shared" si="25"/>
        <v>1</v>
      </c>
      <c r="BW30" s="4">
        <f t="shared" ca="1" si="26"/>
        <v>0</v>
      </c>
      <c r="BX30" s="4">
        <f t="shared" ca="1" si="27"/>
        <v>0</v>
      </c>
      <c r="BY30" s="4">
        <f t="shared" ca="1" si="28"/>
        <v>0</v>
      </c>
      <c r="BZ30" s="4">
        <f t="shared" ca="1" si="29"/>
        <v>0</v>
      </c>
      <c r="CA30" s="4">
        <f t="shared" ca="1" si="30"/>
        <v>0</v>
      </c>
      <c r="CB30" s="4">
        <f t="shared" ca="1" si="154"/>
        <v>0</v>
      </c>
      <c r="CC30" s="4"/>
      <c r="CD30" s="4">
        <f t="shared" ca="1" si="31"/>
        <v>70584.427300783966</v>
      </c>
      <c r="CE30" s="4">
        <f t="shared" ca="1" si="123"/>
        <v>53408.025070251264</v>
      </c>
      <c r="CF30" s="16">
        <f t="shared" si="32"/>
        <v>0</v>
      </c>
      <c r="CG30" s="4">
        <f t="shared" si="33"/>
        <v>4471.2053163915853</v>
      </c>
      <c r="CH30" s="4" t="e">
        <f t="shared" ca="1" si="34"/>
        <v>#NAME?</v>
      </c>
      <c r="CI30" s="4" t="e">
        <f t="shared" ca="1" si="35"/>
        <v>#NAME?</v>
      </c>
      <c r="CJ30" s="4" t="e">
        <f t="shared" ca="1" si="124"/>
        <v>#NAME?</v>
      </c>
      <c r="CK30" s="4" t="e">
        <f t="shared" ca="1" si="125"/>
        <v>#NAME?</v>
      </c>
      <c r="CL30" s="4" t="e">
        <f t="shared" ca="1" si="36"/>
        <v>#NAME?</v>
      </c>
      <c r="CM30" s="16"/>
      <c r="CN30" s="4">
        <f t="shared" si="37"/>
        <v>0</v>
      </c>
      <c r="CO30" s="4">
        <f t="shared" si="38"/>
        <v>0</v>
      </c>
      <c r="CP30" s="4">
        <f t="shared" ca="1" si="39"/>
        <v>771289.16087822709</v>
      </c>
      <c r="CQ30" s="4"/>
      <c r="CR30" s="4">
        <f t="shared" ca="1" si="40"/>
        <v>19038.042277648376</v>
      </c>
      <c r="CS30" s="4">
        <f t="shared" ca="1" si="41"/>
        <v>40810</v>
      </c>
      <c r="CT30" s="4">
        <f t="shared" ca="1" si="42"/>
        <v>12705.196914141114</v>
      </c>
      <c r="CU30" s="4"/>
      <c r="CV30" s="4">
        <f t="shared" ca="1" si="126"/>
        <v>19038.042277648376</v>
      </c>
      <c r="CW30" s="4">
        <f t="shared" ca="1" si="43"/>
        <v>4235.0656380470382</v>
      </c>
      <c r="CX30" s="4">
        <f t="shared" ca="1" si="44"/>
        <v>4235.0656380470382</v>
      </c>
      <c r="CY30" s="4">
        <f t="shared" ca="1" si="127"/>
        <v>14802.976639601337</v>
      </c>
      <c r="CZ30" s="4"/>
      <c r="DA30" s="4">
        <f t="shared" ca="1" si="45"/>
        <v>14802.976639601337</v>
      </c>
      <c r="DB30" s="4">
        <f t="shared" si="46"/>
        <v>0</v>
      </c>
      <c r="DC30" s="4">
        <f t="shared" ca="1" si="128"/>
        <v>4235.0656380470382</v>
      </c>
      <c r="DD30" s="4">
        <f t="shared" ca="1" si="47"/>
        <v>8470.1312760940746</v>
      </c>
      <c r="DE30" s="4">
        <f t="shared" ca="1" si="48"/>
        <v>8470.1312760940746</v>
      </c>
      <c r="DF30" s="4">
        <f t="shared" ca="1" si="129"/>
        <v>0</v>
      </c>
      <c r="DG30" s="4">
        <f t="shared" ca="1" si="130"/>
        <v>8470.1312760940746</v>
      </c>
      <c r="DH30" s="4">
        <f t="shared" ca="1" si="49"/>
        <v>0</v>
      </c>
      <c r="DI30" s="4"/>
      <c r="DJ30" s="4">
        <f t="shared" ca="1" si="50"/>
        <v>6332.8453635072619</v>
      </c>
      <c r="DK30" s="4">
        <f t="shared" ca="1" si="51"/>
        <v>9000</v>
      </c>
      <c r="DL30" s="4">
        <f t="shared" ca="1" si="52"/>
        <v>9000</v>
      </c>
      <c r="DM30" s="4">
        <f t="shared" ca="1" si="53"/>
        <v>97379.357351519793</v>
      </c>
      <c r="DN30" s="4">
        <f t="shared" ca="1" si="54"/>
        <v>6332.8453635072619</v>
      </c>
      <c r="DO30" s="4">
        <f t="shared" ca="1" si="55"/>
        <v>91046.511988012528</v>
      </c>
      <c r="DP30" s="4"/>
      <c r="DQ30" s="4">
        <f t="shared" ca="1" si="56"/>
        <v>0</v>
      </c>
      <c r="DR30" s="4"/>
      <c r="DS30" s="4">
        <f t="shared" si="131"/>
        <v>0</v>
      </c>
      <c r="DT30" s="4">
        <f t="shared" si="57"/>
        <v>0</v>
      </c>
      <c r="DU30" s="4">
        <f t="shared" si="58"/>
        <v>0</v>
      </c>
      <c r="DV30" s="4"/>
      <c r="DW30" s="4">
        <f t="shared" ca="1" si="132"/>
        <v>523089.04965426453</v>
      </c>
      <c r="DX30" s="4">
        <f t="shared" ca="1" si="59"/>
        <v>17745.987878389114</v>
      </c>
      <c r="DY30" s="4">
        <f t="shared" ca="1" si="133"/>
        <v>26154.452482713226</v>
      </c>
      <c r="DZ30" s="4">
        <f t="shared" ca="1" si="60"/>
        <v>0</v>
      </c>
      <c r="EA30" s="4">
        <f t="shared" ca="1" si="61"/>
        <v>0</v>
      </c>
      <c r="EB30" s="4">
        <f t="shared" ca="1" si="62"/>
        <v>549243.50213697774</v>
      </c>
      <c r="EC30" s="4">
        <f t="shared" si="63"/>
        <v>1</v>
      </c>
      <c r="ED30" s="4"/>
      <c r="EE30" s="4">
        <f t="shared" ca="1" si="134"/>
        <v>125463.65504622794</v>
      </c>
      <c r="EF30" s="4">
        <f t="shared" ca="1" si="64"/>
        <v>4235.0656380470382</v>
      </c>
      <c r="EG30" s="4">
        <f t="shared" ca="1" si="135"/>
        <v>6273.1827523113971</v>
      </c>
      <c r="EH30" s="4">
        <f t="shared" ca="1" si="65"/>
        <v>0</v>
      </c>
      <c r="EI30" s="4">
        <f t="shared" ca="1" si="66"/>
        <v>0</v>
      </c>
      <c r="EJ30" s="4">
        <f t="shared" ca="1" si="67"/>
        <v>0</v>
      </c>
      <c r="EK30" s="4">
        <f t="shared" si="68"/>
        <v>1</v>
      </c>
      <c r="EL30" s="4">
        <f t="shared" si="69"/>
        <v>0</v>
      </c>
      <c r="EM30" s="4"/>
      <c r="EN30" s="4">
        <f t="shared" ca="1" si="136"/>
        <v>122736.45617773468</v>
      </c>
      <c r="EO30" s="4">
        <f t="shared" ca="1" si="70"/>
        <v>6332.8453635072619</v>
      </c>
      <c r="EP30" s="4">
        <f t="shared" ca="1" si="137"/>
        <v>6136.8228088867345</v>
      </c>
      <c r="EQ30" s="4">
        <f t="shared" ca="1" si="71"/>
        <v>0</v>
      </c>
      <c r="ER30" s="4">
        <v>0</v>
      </c>
      <c r="ES30" s="4">
        <f t="shared" ca="1" si="138"/>
        <v>128873.27898662142</v>
      </c>
      <c r="ET30" s="4"/>
      <c r="EU30" s="4">
        <f t="shared" ca="1" si="139"/>
        <v>0</v>
      </c>
      <c r="EV30" s="4">
        <f t="shared" ca="1" si="72"/>
        <v>0</v>
      </c>
      <c r="EW30" s="4">
        <f t="shared" ca="1" si="140"/>
        <v>0</v>
      </c>
      <c r="EX30" s="4">
        <f t="shared" ca="1" si="73"/>
        <v>0</v>
      </c>
      <c r="EY30" s="4">
        <v>0</v>
      </c>
      <c r="EZ30" s="4">
        <f t="shared" ca="1" si="141"/>
        <v>0</v>
      </c>
      <c r="FA30" s="4">
        <f t="shared" ca="1" si="142"/>
        <v>0</v>
      </c>
      <c r="FB30" s="1">
        <f t="shared" ca="1" si="74"/>
        <v>0</v>
      </c>
      <c r="FC30" s="4">
        <f t="shared" ca="1" si="143"/>
        <v>0</v>
      </c>
      <c r="FD30" s="4">
        <f t="shared" ca="1" si="144"/>
        <v>0</v>
      </c>
      <c r="FE30" s="4">
        <f t="shared" ca="1" si="75"/>
        <v>0</v>
      </c>
      <c r="FF30" s="4">
        <f t="shared" ca="1" si="76"/>
        <v>0</v>
      </c>
      <c r="FG30" s="4">
        <f t="shared" ca="1" si="77"/>
        <v>0</v>
      </c>
      <c r="FH30" s="17">
        <f t="shared" ca="1" si="78"/>
        <v>0</v>
      </c>
      <c r="FI30" s="4">
        <f t="shared" ca="1" si="79"/>
        <v>0</v>
      </c>
      <c r="FJ30" s="4"/>
      <c r="FK30" s="4">
        <f t="shared" ca="1" si="80"/>
        <v>678116.78112359915</v>
      </c>
      <c r="FL30" s="4"/>
      <c r="FM30" s="4">
        <v>0</v>
      </c>
      <c r="FN30" s="4">
        <v>0</v>
      </c>
      <c r="FO30" s="4">
        <v>0</v>
      </c>
      <c r="FP30" s="4">
        <v>0</v>
      </c>
      <c r="FQ30" s="4">
        <v>0</v>
      </c>
      <c r="FR30" s="4">
        <v>0</v>
      </c>
      <c r="FS30" s="4">
        <f t="shared" si="81"/>
        <v>0</v>
      </c>
      <c r="FT30" s="4">
        <f t="shared" ca="1" si="82"/>
        <v>0</v>
      </c>
      <c r="FU30" s="4"/>
      <c r="FV30" s="3">
        <f t="shared" si="83"/>
        <v>0.63415591769762136</v>
      </c>
      <c r="FW30" s="3">
        <f t="shared" si="84"/>
        <v>0.63415591769762136</v>
      </c>
      <c r="FX30" s="4">
        <f t="shared" si="145"/>
        <v>2040</v>
      </c>
      <c r="FY30" s="4">
        <f t="shared" si="85"/>
        <v>44.761532270089695</v>
      </c>
      <c r="FZ30" s="4">
        <f t="shared" si="86"/>
        <v>0</v>
      </c>
      <c r="GA30" s="4">
        <f t="shared" si="87"/>
        <v>0</v>
      </c>
      <c r="GB30" s="4">
        <f t="shared" si="88"/>
        <v>0</v>
      </c>
      <c r="GC30" s="4">
        <f t="shared" ca="1" si="89"/>
        <v>0</v>
      </c>
      <c r="GD30" s="4">
        <f t="shared" ca="1" si="90"/>
        <v>0</v>
      </c>
      <c r="GE30" s="4">
        <f t="shared" ca="1" si="91"/>
        <v>0</v>
      </c>
      <c r="GF30" s="4">
        <f t="shared" ca="1" si="92"/>
        <v>0</v>
      </c>
      <c r="GG30" s="18" t="e">
        <f t="shared" ca="1" si="93"/>
        <v>#NAME?</v>
      </c>
      <c r="GH30" s="18" t="e">
        <f t="shared" ca="1" si="94"/>
        <v>#NAME?</v>
      </c>
      <c r="GI30" s="4"/>
      <c r="GJ30" s="4">
        <f t="shared" si="95"/>
        <v>2040</v>
      </c>
      <c r="GK30" s="4">
        <f t="shared" ca="1" si="96"/>
        <v>331.7200163210768</v>
      </c>
      <c r="GL30" s="4">
        <f t="shared" ca="1" si="97"/>
        <v>79.563519303538484</v>
      </c>
      <c r="GM30" s="4">
        <f t="shared" ca="1" si="98"/>
        <v>77.834050002345236</v>
      </c>
      <c r="GN30" s="4">
        <f t="shared" ca="1" si="99"/>
        <v>0</v>
      </c>
      <c r="GO30" s="4"/>
      <c r="GP30" s="3">
        <f t="shared" ca="1" si="146"/>
        <v>0.8099541515945291</v>
      </c>
      <c r="GQ30" s="3">
        <f t="shared" ca="1" si="100"/>
        <v>0</v>
      </c>
      <c r="GR30" s="3">
        <f t="shared" ca="1" si="101"/>
        <v>0</v>
      </c>
      <c r="GS30" s="3">
        <f t="shared" ca="1" si="102"/>
        <v>0.1900458484054709</v>
      </c>
      <c r="GT30" s="3">
        <f t="array" aca="1" ref="GT30" ca="1">SUM(GP30:GS30*$GU$6:$GX$6)</f>
        <v>1</v>
      </c>
      <c r="GU30" s="3">
        <f t="shared" ca="1" si="147"/>
        <v>0.8099541515945291</v>
      </c>
      <c r="GV30" s="3">
        <f t="shared" ca="1" si="148"/>
        <v>0</v>
      </c>
      <c r="GW30" s="3">
        <f t="shared" ca="1" si="149"/>
        <v>0</v>
      </c>
      <c r="GX30" s="3">
        <f t="shared" ca="1" si="150"/>
        <v>0.1900458484054709</v>
      </c>
      <c r="GY30" s="11"/>
      <c r="GZ30" s="27">
        <v>72</v>
      </c>
      <c r="HA30" s="30">
        <v>5.3999999999999999E-2</v>
      </c>
      <c r="HB30" s="29">
        <f t="shared" ca="1" si="151"/>
        <v>0.09</v>
      </c>
      <c r="HC30" s="29">
        <v>0.09</v>
      </c>
      <c r="HD30" s="29">
        <v>8.5000000000000006E-2</v>
      </c>
      <c r="HE30" s="29">
        <v>6.9599999999999995E-2</v>
      </c>
      <c r="HG30" s="27">
        <v>70</v>
      </c>
      <c r="HH30" s="30">
        <v>0.05</v>
      </c>
      <c r="HJ30">
        <f t="shared" si="153"/>
        <v>2033</v>
      </c>
      <c r="HK30" s="28">
        <f t="shared" si="163"/>
        <v>35520</v>
      </c>
      <c r="HL30" s="27">
        <f t="shared" si="155"/>
        <v>7500</v>
      </c>
      <c r="HM30" s="28">
        <f t="shared" si="156"/>
        <v>7701.3278055583369</v>
      </c>
      <c r="HQ30" s="28">
        <v>45916</v>
      </c>
      <c r="HR30" s="27">
        <v>35851</v>
      </c>
      <c r="HS30" s="27">
        <v>31984</v>
      </c>
      <c r="HT30" s="27">
        <v>29590</v>
      </c>
      <c r="HU30" s="27">
        <v>41059</v>
      </c>
      <c r="HV30" s="27">
        <v>42705</v>
      </c>
      <c r="HW30" s="27">
        <v>42201</v>
      </c>
      <c r="HX30" s="27">
        <v>31465</v>
      </c>
      <c r="HY30" s="27">
        <v>45225</v>
      </c>
      <c r="HZ30" s="27">
        <v>126625</v>
      </c>
      <c r="IA30" s="27">
        <v>38898</v>
      </c>
      <c r="IB30" s="27">
        <v>45916</v>
      </c>
      <c r="IC30" s="27">
        <v>41585</v>
      </c>
      <c r="ID30" s="27">
        <v>43780</v>
      </c>
      <c r="IE30" s="28">
        <v>45916</v>
      </c>
      <c r="IF30" s="28">
        <v>45916</v>
      </c>
      <c r="IG30" s="28">
        <v>45916</v>
      </c>
    </row>
    <row r="31" spans="1:241" x14ac:dyDescent="0.25">
      <c r="A31" t="s">
        <v>483</v>
      </c>
      <c r="B31" s="63">
        <f>Inputs_Summary!AK28</f>
        <v>0</v>
      </c>
      <c r="D31">
        <f t="shared" si="106"/>
        <v>2041</v>
      </c>
      <c r="E31">
        <f t="shared" si="106"/>
        <v>46</v>
      </c>
      <c r="F31" s="8"/>
      <c r="G31" s="8"/>
      <c r="H31" s="9"/>
      <c r="I31" s="8"/>
      <c r="J31" s="92"/>
      <c r="K31" s="91"/>
      <c r="L31" s="91"/>
      <c r="N31" s="93">
        <f t="shared" si="107"/>
        <v>0.05</v>
      </c>
      <c r="O31" s="23">
        <f t="shared" si="108"/>
        <v>0</v>
      </c>
      <c r="P31" s="23">
        <f t="shared" si="109"/>
        <v>0.4</v>
      </c>
      <c r="Q31" s="4">
        <f t="shared" si="0"/>
        <v>0</v>
      </c>
      <c r="R31" s="4">
        <f t="shared" si="110"/>
        <v>0</v>
      </c>
      <c r="S31" s="4">
        <f t="shared" si="1"/>
        <v>0</v>
      </c>
      <c r="T31" s="4">
        <f t="shared" ca="1" si="2"/>
        <v>0</v>
      </c>
      <c r="V31" s="18" t="e">
        <f t="shared" ca="1" si="3"/>
        <v>#NAME?</v>
      </c>
      <c r="W31" s="18" t="e">
        <f t="shared" ca="1" si="4"/>
        <v>#NAME?</v>
      </c>
      <c r="X31" s="18">
        <f t="shared" si="5"/>
        <v>0</v>
      </c>
      <c r="Y31" s="18">
        <f t="shared" ca="1" si="6"/>
        <v>5.3977141855108162</v>
      </c>
      <c r="Z31" s="18">
        <f t="shared" ca="1" si="7"/>
        <v>2.6988570927554072</v>
      </c>
      <c r="AA31" s="18">
        <f t="shared" ca="1" si="8"/>
        <v>4.1385101777906552</v>
      </c>
      <c r="AB31" s="18">
        <f t="shared" ca="1" si="9"/>
        <v>0</v>
      </c>
      <c r="AC31" s="18">
        <f t="shared" ca="1" si="10"/>
        <v>352.5095493780405</v>
      </c>
      <c r="AD31" s="18">
        <f t="shared" ca="1" si="11"/>
        <v>84.536654122471376</v>
      </c>
      <c r="AE31" s="18">
        <f t="shared" ca="1" si="12"/>
        <v>84.060552809406431</v>
      </c>
      <c r="AF31" s="18">
        <f t="shared" ca="1" si="13"/>
        <v>0</v>
      </c>
      <c r="AG31" s="18">
        <f t="shared" ca="1" si="14"/>
        <v>521.1067563099183</v>
      </c>
      <c r="AI31">
        <f>Person1!E31</f>
        <v>46</v>
      </c>
      <c r="AJ31">
        <f>Person1!AZ31</f>
        <v>1</v>
      </c>
      <c r="AK31">
        <f>IF(AZ31&lt;&gt;3,Person1!FM31,0)</f>
        <v>0</v>
      </c>
      <c r="AL31" s="4">
        <f ca="1">IF($AZ31&lt;&gt;3,Person1!FN31+Person1!FT31,0)</f>
        <v>9554.1323003638881</v>
      </c>
      <c r="AM31">
        <f>IF($AZ31&lt;&gt;3,Person1!FO31,0)</f>
        <v>0</v>
      </c>
      <c r="AN31">
        <f>IF($AZ31&lt;&gt;3,Person1!FP31,0)</f>
        <v>0</v>
      </c>
      <c r="AO31">
        <f>IF($AZ31&lt;&gt;3,Person1!FQ31,0)</f>
        <v>0</v>
      </c>
      <c r="AP31">
        <f>IF($AZ31&lt;&gt;3,Person1!FR31,0)</f>
        <v>0</v>
      </c>
      <c r="AQ31" s="4">
        <f t="shared" si="15"/>
        <v>0</v>
      </c>
      <c r="AR31" s="4">
        <f>Person1!FS31</f>
        <v>0</v>
      </c>
      <c r="AS31" s="4">
        <f>$B$41*MAX(0,CHOOSE($AZ31,0,IF(AND(Person1!AW31&gt;=Person1!$B$36,AV31&gt;=$B$93),Person1!$B$35*(1+Person1!$B$37)^(Person1!$B$36-Person1!$B$11)*(1+Person1!$B$38)^(Person1!AW31-Person1!$B$36)-CHOOSE(Person1!$B$39+1,0,BD31,BE31,BD31+BE31),0),0,0))</f>
        <v>0</v>
      </c>
      <c r="AT31" s="4">
        <f t="shared" si="16"/>
        <v>0</v>
      </c>
      <c r="AV31">
        <f t="shared" si="162"/>
        <v>2041</v>
      </c>
      <c r="AW31">
        <f t="shared" si="162"/>
        <v>46</v>
      </c>
      <c r="AX31">
        <f t="shared" si="112"/>
        <v>1.6084372494752261</v>
      </c>
      <c r="AY31">
        <f t="shared" si="113"/>
        <v>0.62172148793884452</v>
      </c>
      <c r="AZ31">
        <f t="shared" si="114"/>
        <v>1</v>
      </c>
      <c r="BB31" s="4">
        <f t="shared" si="17"/>
        <v>72349.037983303555</v>
      </c>
      <c r="BC31">
        <f t="shared" si="18"/>
        <v>0</v>
      </c>
      <c r="BD31" s="4">
        <f t="shared" si="19"/>
        <v>0</v>
      </c>
      <c r="BE31" s="4">
        <f t="shared" si="115"/>
        <v>0</v>
      </c>
      <c r="BF31" s="4">
        <f t="shared" si="116"/>
        <v>0</v>
      </c>
      <c r="BG31" s="4">
        <f t="shared" si="117"/>
        <v>0</v>
      </c>
      <c r="BH31" s="4">
        <f t="shared" si="20"/>
        <v>0</v>
      </c>
      <c r="BI31" s="4">
        <f t="shared" si="118"/>
        <v>72349.037983303555</v>
      </c>
      <c r="BJ31" s="4"/>
      <c r="BK31" s="4">
        <f t="shared" si="21"/>
        <v>40210.931236880657</v>
      </c>
      <c r="BL31" s="4">
        <f t="shared" si="119"/>
        <v>0</v>
      </c>
      <c r="BM31" s="4">
        <f t="shared" si="120"/>
        <v>40210.931236880657</v>
      </c>
      <c r="BN31" s="4">
        <v>12458.745982137427</v>
      </c>
      <c r="BO31" s="4">
        <f t="shared" si="121"/>
        <v>52669.677219018085</v>
      </c>
      <c r="BP31" s="4">
        <f t="shared" si="122"/>
        <v>19679.360764285469</v>
      </c>
      <c r="BQ31" s="4"/>
      <c r="BR31" s="4">
        <v>0</v>
      </c>
      <c r="BS31" s="4">
        <f t="shared" ca="1" si="22"/>
        <v>13022.82683699464</v>
      </c>
      <c r="BT31" s="4">
        <f t="shared" ca="1" si="23"/>
        <v>100046.51198801253</v>
      </c>
      <c r="BU31" s="4">
        <f t="shared" si="24"/>
        <v>0</v>
      </c>
      <c r="BV31" s="4">
        <f t="shared" si="25"/>
        <v>1</v>
      </c>
      <c r="BW31" s="4">
        <f t="shared" ca="1" si="26"/>
        <v>0</v>
      </c>
      <c r="BX31" s="4">
        <f t="shared" ca="1" si="27"/>
        <v>0</v>
      </c>
      <c r="BY31" s="4">
        <f t="shared" ca="1" si="28"/>
        <v>0</v>
      </c>
      <c r="BZ31" s="4">
        <f t="shared" ca="1" si="29"/>
        <v>0</v>
      </c>
      <c r="CA31" s="4">
        <f t="shared" ca="1" si="30"/>
        <v>0</v>
      </c>
      <c r="CB31" s="4">
        <f t="shared" ca="1" si="154"/>
        <v>0</v>
      </c>
      <c r="CC31" s="4"/>
      <c r="CD31" s="4">
        <f t="shared" ca="1" si="31"/>
        <v>72349.037983303555</v>
      </c>
      <c r="CE31" s="4">
        <f t="shared" ca="1" si="123"/>
        <v>54738.894447007544</v>
      </c>
      <c r="CF31" s="16">
        <f t="shared" si="32"/>
        <v>0</v>
      </c>
      <c r="CG31" s="4">
        <f t="shared" si="33"/>
        <v>4587.3166993013738</v>
      </c>
      <c r="CH31" s="4" t="e">
        <f t="shared" ca="1" si="34"/>
        <v>#NAME?</v>
      </c>
      <c r="CI31" s="4" t="e">
        <f t="shared" ca="1" si="35"/>
        <v>#NAME?</v>
      </c>
      <c r="CJ31" s="4" t="e">
        <f t="shared" ca="1" si="124"/>
        <v>#NAME?</v>
      </c>
      <c r="CK31" s="4" t="e">
        <f t="shared" ca="1" si="125"/>
        <v>#NAME?</v>
      </c>
      <c r="CL31" s="4" t="e">
        <f t="shared" ca="1" si="36"/>
        <v>#NAME?</v>
      </c>
      <c r="CM31" s="16"/>
      <c r="CN31" s="4">
        <f t="shared" si="37"/>
        <v>0</v>
      </c>
      <c r="CO31" s="4">
        <f t="shared" si="38"/>
        <v>0</v>
      </c>
      <c r="CP31" s="4">
        <f t="shared" ca="1" si="39"/>
        <v>838167.51780208189</v>
      </c>
      <c r="CQ31" s="4"/>
      <c r="CR31" s="4">
        <f t="shared" ca="1" si="40"/>
        <v>19679.360764285469</v>
      </c>
      <c r="CS31" s="4">
        <f t="shared" ca="1" si="41"/>
        <v>41620</v>
      </c>
      <c r="CT31" s="4">
        <f t="shared" ca="1" si="42"/>
        <v>13022.82683699464</v>
      </c>
      <c r="CU31" s="4"/>
      <c r="CV31" s="4">
        <f t="shared" ca="1" si="126"/>
        <v>19679.360764285469</v>
      </c>
      <c r="CW31" s="4">
        <f t="shared" ca="1" si="43"/>
        <v>4340.9422789982127</v>
      </c>
      <c r="CX31" s="4">
        <f t="shared" ca="1" si="44"/>
        <v>4340.9422789982127</v>
      </c>
      <c r="CY31" s="4">
        <f t="shared" ca="1" si="127"/>
        <v>15338.418485287257</v>
      </c>
      <c r="CZ31" s="4"/>
      <c r="DA31" s="4">
        <f t="shared" ca="1" si="45"/>
        <v>15338.418485287257</v>
      </c>
      <c r="DB31" s="4">
        <f t="shared" si="46"/>
        <v>0</v>
      </c>
      <c r="DC31" s="4">
        <f t="shared" ca="1" si="128"/>
        <v>4340.9422789982127</v>
      </c>
      <c r="DD31" s="4">
        <f t="shared" ca="1" si="47"/>
        <v>8681.8845579964272</v>
      </c>
      <c r="DE31" s="4">
        <f t="shared" ca="1" si="48"/>
        <v>8681.8845579964272</v>
      </c>
      <c r="DF31" s="4">
        <f t="shared" ca="1" si="129"/>
        <v>0</v>
      </c>
      <c r="DG31" s="4">
        <f t="shared" ca="1" si="130"/>
        <v>8681.8845579964272</v>
      </c>
      <c r="DH31" s="4">
        <f t="shared" ca="1" si="49"/>
        <v>0</v>
      </c>
      <c r="DI31" s="4"/>
      <c r="DJ31" s="4">
        <f t="shared" ca="1" si="50"/>
        <v>6656.5339272908295</v>
      </c>
      <c r="DK31" s="4">
        <f t="shared" ca="1" si="51"/>
        <v>9000</v>
      </c>
      <c r="DL31" s="4">
        <f t="shared" ca="1" si="52"/>
        <v>9000</v>
      </c>
      <c r="DM31" s="4">
        <f t="shared" ca="1" si="53"/>
        <v>100046.51198801253</v>
      </c>
      <c r="DN31" s="4">
        <f t="shared" ca="1" si="54"/>
        <v>6656.5339272908295</v>
      </c>
      <c r="DO31" s="4">
        <f t="shared" ca="1" si="55"/>
        <v>93389.978060721696</v>
      </c>
      <c r="DP31" s="4"/>
      <c r="DQ31" s="4">
        <f t="shared" ca="1" si="56"/>
        <v>0</v>
      </c>
      <c r="DR31" s="4"/>
      <c r="DS31" s="4">
        <f t="shared" si="131"/>
        <v>0</v>
      </c>
      <c r="DT31" s="4">
        <f t="shared" si="57"/>
        <v>0</v>
      </c>
      <c r="DU31" s="4">
        <f t="shared" si="58"/>
        <v>0</v>
      </c>
      <c r="DV31" s="4"/>
      <c r="DW31" s="4">
        <f t="shared" ca="1" si="132"/>
        <v>566989.49001536681</v>
      </c>
      <c r="DX31" s="4">
        <f t="shared" ca="1" si="59"/>
        <v>18236.016858360315</v>
      </c>
      <c r="DY31" s="4">
        <f t="shared" ca="1" si="133"/>
        <v>28349.474500768341</v>
      </c>
      <c r="DZ31" s="4">
        <f t="shared" ca="1" si="60"/>
        <v>0</v>
      </c>
      <c r="EA31" s="4">
        <f t="shared" ca="1" si="61"/>
        <v>0</v>
      </c>
      <c r="EB31" s="4">
        <f t="shared" ca="1" si="62"/>
        <v>595338.96451613517</v>
      </c>
      <c r="EC31" s="4">
        <f t="shared" si="63"/>
        <v>1</v>
      </c>
      <c r="ED31" s="4"/>
      <c r="EE31" s="4">
        <f t="shared" ca="1" si="134"/>
        <v>135971.90343658638</v>
      </c>
      <c r="EF31" s="4">
        <f t="shared" ca="1" si="64"/>
        <v>4340.9422789982127</v>
      </c>
      <c r="EG31" s="4">
        <f t="shared" ca="1" si="135"/>
        <v>6798.595171829319</v>
      </c>
      <c r="EH31" s="4">
        <f t="shared" ca="1" si="65"/>
        <v>0</v>
      </c>
      <c r="EI31" s="4">
        <f t="shared" ca="1" si="66"/>
        <v>0</v>
      </c>
      <c r="EJ31" s="4">
        <f t="shared" ca="1" si="67"/>
        <v>0</v>
      </c>
      <c r="EK31" s="4">
        <f t="shared" si="68"/>
        <v>1</v>
      </c>
      <c r="EL31" s="4">
        <f t="shared" si="69"/>
        <v>0</v>
      </c>
      <c r="EM31" s="4"/>
      <c r="EN31" s="4">
        <f t="shared" ca="1" si="136"/>
        <v>135206.12435012867</v>
      </c>
      <c r="EO31" s="4">
        <f t="shared" ca="1" si="70"/>
        <v>6656.5339272908295</v>
      </c>
      <c r="EP31" s="4">
        <f t="shared" ca="1" si="137"/>
        <v>6760.3062175064333</v>
      </c>
      <c r="EQ31" s="4">
        <f t="shared" ca="1" si="71"/>
        <v>0</v>
      </c>
      <c r="ER31" s="4">
        <v>0</v>
      </c>
      <c r="ES31" s="4">
        <f t="shared" ca="1" si="138"/>
        <v>141966.43056763511</v>
      </c>
      <c r="ET31" s="4"/>
      <c r="EU31" s="4">
        <f t="shared" ca="1" si="139"/>
        <v>0</v>
      </c>
      <c r="EV31" s="4">
        <f t="shared" ca="1" si="72"/>
        <v>0</v>
      </c>
      <c r="EW31" s="4">
        <f t="shared" ca="1" si="140"/>
        <v>0</v>
      </c>
      <c r="EX31" s="4">
        <f t="shared" ca="1" si="73"/>
        <v>0</v>
      </c>
      <c r="EY31" s="4">
        <v>0</v>
      </c>
      <c r="EZ31" s="4">
        <f t="shared" ca="1" si="141"/>
        <v>0</v>
      </c>
      <c r="FA31" s="4">
        <f t="shared" ca="1" si="142"/>
        <v>0</v>
      </c>
      <c r="FB31" s="1">
        <f t="shared" ca="1" si="74"/>
        <v>0</v>
      </c>
      <c r="FC31" s="4">
        <f t="shared" ca="1" si="143"/>
        <v>0</v>
      </c>
      <c r="FD31" s="4">
        <f t="shared" ca="1" si="144"/>
        <v>0</v>
      </c>
      <c r="FE31" s="4">
        <f t="shared" ca="1" si="75"/>
        <v>0</v>
      </c>
      <c r="FF31" s="4">
        <f t="shared" ca="1" si="76"/>
        <v>0</v>
      </c>
      <c r="FG31" s="4">
        <f t="shared" ca="1" si="77"/>
        <v>0</v>
      </c>
      <c r="FH31" s="17">
        <f t="shared" ca="1" si="78"/>
        <v>0</v>
      </c>
      <c r="FI31" s="4">
        <f t="shared" ca="1" si="79"/>
        <v>0</v>
      </c>
      <c r="FJ31" s="4"/>
      <c r="FK31" s="4">
        <f t="shared" ca="1" si="80"/>
        <v>737305.39508377027</v>
      </c>
      <c r="FL31" s="4"/>
      <c r="FM31" s="4">
        <v>0</v>
      </c>
      <c r="FN31" s="4">
        <v>0</v>
      </c>
      <c r="FO31" s="4">
        <v>0</v>
      </c>
      <c r="FP31" s="4">
        <v>0</v>
      </c>
      <c r="FQ31" s="4">
        <v>0</v>
      </c>
      <c r="FR31" s="4">
        <v>0</v>
      </c>
      <c r="FS31" s="4">
        <f t="shared" si="81"/>
        <v>0</v>
      </c>
      <c r="FT31" s="4">
        <f t="shared" ca="1" si="82"/>
        <v>0</v>
      </c>
      <c r="FU31" s="4"/>
      <c r="FV31" s="3">
        <f t="shared" si="83"/>
        <v>0.62172148793884452</v>
      </c>
      <c r="FW31" s="3">
        <f t="shared" si="84"/>
        <v>0.62172148793884452</v>
      </c>
      <c r="FX31" s="4">
        <f t="shared" si="145"/>
        <v>2041</v>
      </c>
      <c r="FY31" s="4">
        <f t="shared" si="85"/>
        <v>44.980951545923467</v>
      </c>
      <c r="FZ31" s="4">
        <f t="shared" si="86"/>
        <v>0</v>
      </c>
      <c r="GA31" s="4">
        <f t="shared" si="87"/>
        <v>0</v>
      </c>
      <c r="GB31" s="4">
        <f t="shared" si="88"/>
        <v>0</v>
      </c>
      <c r="GC31" s="4">
        <f t="shared" ca="1" si="89"/>
        <v>0</v>
      </c>
      <c r="GD31" s="4">
        <f t="shared" ca="1" si="90"/>
        <v>0</v>
      </c>
      <c r="GE31" s="4">
        <f t="shared" ca="1" si="91"/>
        <v>0</v>
      </c>
      <c r="GF31" s="4">
        <f t="shared" ca="1" si="92"/>
        <v>0</v>
      </c>
      <c r="GG31" s="18" t="e">
        <f t="shared" ca="1" si="93"/>
        <v>#NAME?</v>
      </c>
      <c r="GH31" s="18" t="e">
        <f t="shared" ca="1" si="94"/>
        <v>#NAME?</v>
      </c>
      <c r="GI31" s="4"/>
      <c r="GJ31" s="4">
        <f t="shared" si="95"/>
        <v>2041</v>
      </c>
      <c r="GK31" s="4">
        <f t="shared" ca="1" si="96"/>
        <v>352.5095493780405</v>
      </c>
      <c r="GL31" s="4">
        <f t="shared" ca="1" si="97"/>
        <v>84.536654122471376</v>
      </c>
      <c r="GM31" s="4">
        <f t="shared" ca="1" si="98"/>
        <v>84.060552809406431</v>
      </c>
      <c r="GN31" s="4">
        <f t="shared" ca="1" si="99"/>
        <v>0</v>
      </c>
      <c r="GO31" s="4"/>
      <c r="GP31" s="3">
        <f t="shared" ca="1" si="146"/>
        <v>0.80745233723468779</v>
      </c>
      <c r="GQ31" s="3">
        <f t="shared" ca="1" si="100"/>
        <v>0</v>
      </c>
      <c r="GR31" s="3">
        <f t="shared" ca="1" si="101"/>
        <v>0</v>
      </c>
      <c r="GS31" s="3">
        <f t="shared" ca="1" si="102"/>
        <v>0.19254766276531224</v>
      </c>
      <c r="GT31" s="3">
        <f t="array" aca="1" ref="GT31" ca="1">SUM(GP31:GS31*$GU$6:$GX$6)</f>
        <v>1</v>
      </c>
      <c r="GU31" s="3">
        <f t="shared" ca="1" si="147"/>
        <v>0.80745233723468779</v>
      </c>
      <c r="GV31" s="3">
        <f t="shared" ca="1" si="148"/>
        <v>0</v>
      </c>
      <c r="GW31" s="3">
        <f t="shared" ca="1" si="149"/>
        <v>0</v>
      </c>
      <c r="GX31" s="3">
        <f t="shared" ca="1" si="150"/>
        <v>0.19254766276531224</v>
      </c>
      <c r="GY31" s="11"/>
      <c r="GZ31" s="27">
        <v>73</v>
      </c>
      <c r="HA31" s="30">
        <v>5.5300000000000002E-2</v>
      </c>
      <c r="HB31" s="29">
        <f t="shared" ca="1" si="151"/>
        <v>9.3399999999999997E-2</v>
      </c>
      <c r="HC31" s="29">
        <v>9.3399999999999997E-2</v>
      </c>
      <c r="HD31" s="29">
        <v>8.7999999999999995E-2</v>
      </c>
      <c r="HE31" s="29">
        <v>7.3099999999999998E-2</v>
      </c>
      <c r="HG31" s="27">
        <v>71</v>
      </c>
      <c r="HH31" s="30">
        <v>5.28E-2</v>
      </c>
      <c r="HJ31">
        <f t="shared" si="153"/>
        <v>2034</v>
      </c>
      <c r="HK31" s="28">
        <f t="shared" si="163"/>
        <v>36230</v>
      </c>
      <c r="HL31" s="27">
        <f t="shared" si="155"/>
        <v>8000</v>
      </c>
      <c r="HM31" s="28">
        <f t="shared" si="156"/>
        <v>7855.3543616695033</v>
      </c>
      <c r="HQ31" s="28">
        <v>91831</v>
      </c>
      <c r="HR31" s="27">
        <v>71701</v>
      </c>
      <c r="HS31" s="27">
        <f>HS30+31985</f>
        <v>63969</v>
      </c>
      <c r="HT31" s="27">
        <f>HT30+29590</f>
        <v>59180</v>
      </c>
      <c r="HU31" s="27">
        <v>82119</v>
      </c>
      <c r="HV31" s="27">
        <v>85405</v>
      </c>
      <c r="HW31" s="27">
        <v>84404</v>
      </c>
      <c r="HX31" s="27">
        <v>68005</v>
      </c>
      <c r="HY31" s="27">
        <v>129214</v>
      </c>
      <c r="HZ31" s="27">
        <v>151950</v>
      </c>
      <c r="IA31" s="27">
        <v>77797</v>
      </c>
      <c r="IB31" s="27">
        <v>91831</v>
      </c>
      <c r="IC31" s="27">
        <v>83172</v>
      </c>
      <c r="ID31" s="27">
        <v>87560</v>
      </c>
      <c r="IE31" s="28">
        <v>91831</v>
      </c>
      <c r="IF31" s="28">
        <v>91831</v>
      </c>
      <c r="IG31" s="28">
        <v>91831</v>
      </c>
    </row>
    <row r="32" spans="1:241" x14ac:dyDescent="0.25">
      <c r="A32" t="s">
        <v>321</v>
      </c>
      <c r="B32" s="62">
        <f>Inputs_Summary!AK29</f>
        <v>40000</v>
      </c>
      <c r="D32">
        <f t="shared" si="106"/>
        <v>2042</v>
      </c>
      <c r="E32">
        <f t="shared" si="106"/>
        <v>47</v>
      </c>
      <c r="F32" s="8"/>
      <c r="G32" s="8"/>
      <c r="H32" s="9"/>
      <c r="I32" s="8"/>
      <c r="J32" s="92"/>
      <c r="K32" s="91"/>
      <c r="L32" s="91"/>
      <c r="N32" s="93">
        <f t="shared" si="107"/>
        <v>0.05</v>
      </c>
      <c r="O32" s="23">
        <f t="shared" si="108"/>
        <v>0</v>
      </c>
      <c r="P32" s="23">
        <f t="shared" si="109"/>
        <v>0.4</v>
      </c>
      <c r="Q32" s="4">
        <f t="shared" si="0"/>
        <v>0</v>
      </c>
      <c r="R32" s="4">
        <f t="shared" si="110"/>
        <v>0</v>
      </c>
      <c r="S32" s="4">
        <f t="shared" si="1"/>
        <v>0</v>
      </c>
      <c r="T32" s="4">
        <f t="shared" ca="1" si="2"/>
        <v>0</v>
      </c>
      <c r="V32" s="18" t="e">
        <f t="shared" ca="1" si="3"/>
        <v>#NAME?</v>
      </c>
      <c r="W32" s="18" t="e">
        <f t="shared" ca="1" si="4"/>
        <v>#NAME?</v>
      </c>
      <c r="X32" s="18">
        <f t="shared" si="5"/>
        <v>0</v>
      </c>
      <c r="Y32" s="18">
        <f t="shared" ca="1" si="6"/>
        <v>5.4241735687731225</v>
      </c>
      <c r="Z32" s="18">
        <f t="shared" ca="1" si="7"/>
        <v>2.7120867843865617</v>
      </c>
      <c r="AA32" s="18">
        <f t="shared" ca="1" si="8"/>
        <v>4.2616490772935798</v>
      </c>
      <c r="AB32" s="18">
        <f t="shared" ca="1" si="9"/>
        <v>0</v>
      </c>
      <c r="AC32" s="18">
        <f t="shared" ca="1" si="10"/>
        <v>373.99289253156871</v>
      </c>
      <c r="AD32" s="18">
        <f t="shared" ca="1" si="11"/>
        <v>89.66896462877483</v>
      </c>
      <c r="AE32" s="18">
        <f t="shared" ca="1" si="12"/>
        <v>90.590284929085684</v>
      </c>
      <c r="AF32" s="18">
        <f t="shared" ca="1" si="13"/>
        <v>0</v>
      </c>
      <c r="AG32" s="18">
        <f t="shared" ca="1" si="14"/>
        <v>554.2521420894293</v>
      </c>
      <c r="AI32">
        <f>Person1!E32</f>
        <v>47</v>
      </c>
      <c r="AJ32">
        <f>Person1!AZ32</f>
        <v>1</v>
      </c>
      <c r="AK32">
        <f>IF(AZ32&lt;&gt;3,Person1!FM32,0)</f>
        <v>0</v>
      </c>
      <c r="AL32" s="4">
        <f ca="1">IF($AZ32&lt;&gt;3,Person1!FN32+Person1!FT32,0)</f>
        <v>9840.7562693748041</v>
      </c>
      <c r="AM32">
        <f>IF($AZ32&lt;&gt;3,Person1!FO32,0)</f>
        <v>0</v>
      </c>
      <c r="AN32">
        <f>IF($AZ32&lt;&gt;3,Person1!FP32,0)</f>
        <v>0</v>
      </c>
      <c r="AO32">
        <f>IF($AZ32&lt;&gt;3,Person1!FQ32,0)</f>
        <v>0</v>
      </c>
      <c r="AP32">
        <f>IF($AZ32&lt;&gt;3,Person1!FR32,0)</f>
        <v>0</v>
      </c>
      <c r="AQ32" s="4">
        <f t="shared" si="15"/>
        <v>0</v>
      </c>
      <c r="AR32" s="4">
        <f>Person1!FS32</f>
        <v>0</v>
      </c>
      <c r="AS32" s="4">
        <f>$B$41*MAX(0,CHOOSE($AZ32,0,IF(AND(Person1!AW32&gt;=Person1!$B$36,AV32&gt;=$B$93),Person1!$B$35*(1+Person1!$B$37)^(Person1!$B$36-Person1!$B$11)*(1+Person1!$B$38)^(Person1!AW32-Person1!$B$36)-CHOOSE(Person1!$B$39+1,0,BD32,BE32,BD32+BE32),0),0,0))</f>
        <v>0</v>
      </c>
      <c r="AT32" s="4">
        <f t="shared" si="16"/>
        <v>0</v>
      </c>
      <c r="AV32">
        <f t="shared" si="162"/>
        <v>2042</v>
      </c>
      <c r="AW32">
        <f t="shared" si="162"/>
        <v>47</v>
      </c>
      <c r="AX32">
        <f t="shared" si="112"/>
        <v>1.6406059944647307</v>
      </c>
      <c r="AY32">
        <f t="shared" si="113"/>
        <v>0.60953087052827892</v>
      </c>
      <c r="AZ32">
        <f t="shared" si="114"/>
        <v>1</v>
      </c>
      <c r="BB32" s="4">
        <f t="shared" si="17"/>
        <v>74157.763932886141</v>
      </c>
      <c r="BC32">
        <f t="shared" si="18"/>
        <v>0</v>
      </c>
      <c r="BD32" s="4">
        <f t="shared" si="19"/>
        <v>0</v>
      </c>
      <c r="BE32" s="4">
        <f t="shared" si="115"/>
        <v>0</v>
      </c>
      <c r="BF32" s="4">
        <f t="shared" si="116"/>
        <v>0</v>
      </c>
      <c r="BG32" s="4">
        <f t="shared" si="117"/>
        <v>0</v>
      </c>
      <c r="BH32" s="4">
        <f t="shared" si="20"/>
        <v>0</v>
      </c>
      <c r="BI32" s="4">
        <f t="shared" si="118"/>
        <v>74157.763932886141</v>
      </c>
      <c r="BJ32" s="4"/>
      <c r="BK32" s="4">
        <f t="shared" si="21"/>
        <v>41015.149861618265</v>
      </c>
      <c r="BL32" s="4">
        <f t="shared" si="119"/>
        <v>0</v>
      </c>
      <c r="BM32" s="4">
        <f t="shared" si="120"/>
        <v>41015.149861618265</v>
      </c>
      <c r="BN32" s="4">
        <v>12802.529540835438</v>
      </c>
      <c r="BO32" s="4">
        <f t="shared" si="121"/>
        <v>53817.679402453701</v>
      </c>
      <c r="BP32" s="4">
        <f t="shared" si="122"/>
        <v>20340.084530432439</v>
      </c>
      <c r="BQ32" s="4"/>
      <c r="BR32" s="4">
        <v>0</v>
      </c>
      <c r="BS32" s="4">
        <f t="shared" ca="1" si="22"/>
        <v>13348.397507919504</v>
      </c>
      <c r="BT32" s="4">
        <f t="shared" ca="1" si="23"/>
        <v>102389.9780607217</v>
      </c>
      <c r="BU32" s="4">
        <f t="shared" si="24"/>
        <v>0</v>
      </c>
      <c r="BV32" s="4">
        <f t="shared" si="25"/>
        <v>1</v>
      </c>
      <c r="BW32" s="4">
        <f t="shared" ca="1" si="26"/>
        <v>0</v>
      </c>
      <c r="BX32" s="4">
        <f t="shared" ca="1" si="27"/>
        <v>0</v>
      </c>
      <c r="BY32" s="4">
        <f t="shared" ca="1" si="28"/>
        <v>0</v>
      </c>
      <c r="BZ32" s="4">
        <f t="shared" ca="1" si="29"/>
        <v>0</v>
      </c>
      <c r="CA32" s="4">
        <f t="shared" ca="1" si="30"/>
        <v>0</v>
      </c>
      <c r="CB32" s="4">
        <f t="shared" ca="1" si="154"/>
        <v>0</v>
      </c>
      <c r="CC32" s="4"/>
      <c r="CD32" s="4">
        <f t="shared" ca="1" si="31"/>
        <v>74157.763932886141</v>
      </c>
      <c r="CE32" s="4">
        <f t="shared" ca="1" si="123"/>
        <v>56103.035558182724</v>
      </c>
      <c r="CF32" s="16">
        <f t="shared" si="32"/>
        <v>0</v>
      </c>
      <c r="CG32" s="4">
        <f t="shared" si="33"/>
        <v>4706.3308667839083</v>
      </c>
      <c r="CH32" s="4" t="e">
        <f t="shared" ca="1" si="34"/>
        <v>#NAME?</v>
      </c>
      <c r="CI32" s="4" t="e">
        <f t="shared" ca="1" si="35"/>
        <v>#NAME?</v>
      </c>
      <c r="CJ32" s="4" t="e">
        <f t="shared" ca="1" si="124"/>
        <v>#NAME?</v>
      </c>
      <c r="CK32" s="4" t="e">
        <f t="shared" ca="1" si="125"/>
        <v>#NAME?</v>
      </c>
      <c r="CL32" s="4" t="e">
        <f t="shared" ca="1" si="36"/>
        <v>#NAME?</v>
      </c>
      <c r="CM32" s="16"/>
      <c r="CN32" s="4">
        <f t="shared" si="37"/>
        <v>0</v>
      </c>
      <c r="CO32" s="4">
        <f t="shared" si="38"/>
        <v>0</v>
      </c>
      <c r="CP32" s="4">
        <f t="shared" ca="1" si="39"/>
        <v>909309.38675683527</v>
      </c>
      <c r="CQ32" s="4"/>
      <c r="CR32" s="4">
        <f t="shared" ca="1" si="40"/>
        <v>20340.084530432439</v>
      </c>
      <c r="CS32" s="4">
        <f t="shared" ca="1" si="41"/>
        <v>42450</v>
      </c>
      <c r="CT32" s="4">
        <f t="shared" ca="1" si="42"/>
        <v>13348.397507919504</v>
      </c>
      <c r="CU32" s="4"/>
      <c r="CV32" s="4">
        <f t="shared" ca="1" si="126"/>
        <v>20340.084530432439</v>
      </c>
      <c r="CW32" s="4">
        <f t="shared" ca="1" si="43"/>
        <v>4449.4658359731684</v>
      </c>
      <c r="CX32" s="4">
        <f t="shared" ca="1" si="44"/>
        <v>4449.4658359731684</v>
      </c>
      <c r="CY32" s="4">
        <f t="shared" ca="1" si="127"/>
        <v>15890.61869445927</v>
      </c>
      <c r="CZ32" s="4"/>
      <c r="DA32" s="4">
        <f t="shared" ca="1" si="45"/>
        <v>15890.61869445927</v>
      </c>
      <c r="DB32" s="4">
        <f t="shared" si="46"/>
        <v>0</v>
      </c>
      <c r="DC32" s="4">
        <f t="shared" ca="1" si="128"/>
        <v>4449.4658359731684</v>
      </c>
      <c r="DD32" s="4">
        <f t="shared" ca="1" si="47"/>
        <v>8898.931671946335</v>
      </c>
      <c r="DE32" s="4">
        <f t="shared" ca="1" si="48"/>
        <v>8898.931671946335</v>
      </c>
      <c r="DF32" s="4">
        <f t="shared" ca="1" si="129"/>
        <v>0</v>
      </c>
      <c r="DG32" s="4">
        <f t="shared" ca="1" si="130"/>
        <v>8898.931671946335</v>
      </c>
      <c r="DH32" s="4">
        <f t="shared" ca="1" si="49"/>
        <v>0</v>
      </c>
      <c r="DI32" s="4"/>
      <c r="DJ32" s="4">
        <f t="shared" ca="1" si="50"/>
        <v>6991.6870225129351</v>
      </c>
      <c r="DK32" s="4">
        <f t="shared" ca="1" si="51"/>
        <v>9000</v>
      </c>
      <c r="DL32" s="4">
        <f t="shared" ca="1" si="52"/>
        <v>9000</v>
      </c>
      <c r="DM32" s="4">
        <f t="shared" ca="1" si="53"/>
        <v>102389.9780607217</v>
      </c>
      <c r="DN32" s="4">
        <f t="shared" ca="1" si="54"/>
        <v>6991.6870225129351</v>
      </c>
      <c r="DO32" s="4">
        <f t="shared" ca="1" si="55"/>
        <v>95398.291038208758</v>
      </c>
      <c r="DP32" s="4"/>
      <c r="DQ32" s="4">
        <f t="shared" ca="1" si="56"/>
        <v>0</v>
      </c>
      <c r="DR32" s="4"/>
      <c r="DS32" s="4">
        <f t="shared" si="131"/>
        <v>0</v>
      </c>
      <c r="DT32" s="4">
        <f t="shared" si="57"/>
        <v>0</v>
      </c>
      <c r="DU32" s="4">
        <f t="shared" si="58"/>
        <v>0</v>
      </c>
      <c r="DV32" s="4"/>
      <c r="DW32" s="4">
        <f t="shared" ca="1" si="132"/>
        <v>613574.98137449543</v>
      </c>
      <c r="DX32" s="4">
        <f t="shared" ca="1" si="59"/>
        <v>18739.687941321139</v>
      </c>
      <c r="DY32" s="4">
        <f t="shared" ca="1" si="133"/>
        <v>30678.749068724774</v>
      </c>
      <c r="DZ32" s="4">
        <f t="shared" ca="1" si="60"/>
        <v>0</v>
      </c>
      <c r="EA32" s="4">
        <f t="shared" ca="1" si="61"/>
        <v>0</v>
      </c>
      <c r="EB32" s="4">
        <f t="shared" ca="1" si="62"/>
        <v>644253.73044322024</v>
      </c>
      <c r="EC32" s="4">
        <f t="shared" si="63"/>
        <v>1</v>
      </c>
      <c r="ED32" s="4"/>
      <c r="EE32" s="4">
        <f t="shared" ca="1" si="134"/>
        <v>147111.44088741389</v>
      </c>
      <c r="EF32" s="4">
        <f t="shared" ca="1" si="64"/>
        <v>4449.4658359731684</v>
      </c>
      <c r="EG32" s="4">
        <f t="shared" ca="1" si="135"/>
        <v>7355.572044370695</v>
      </c>
      <c r="EH32" s="4">
        <f t="shared" ca="1" si="65"/>
        <v>0</v>
      </c>
      <c r="EI32" s="4">
        <f t="shared" ca="1" si="66"/>
        <v>0</v>
      </c>
      <c r="EJ32" s="4">
        <f t="shared" ca="1" si="67"/>
        <v>0</v>
      </c>
      <c r="EK32" s="4">
        <f t="shared" si="68"/>
        <v>1</v>
      </c>
      <c r="EL32" s="4">
        <f t="shared" si="69"/>
        <v>0</v>
      </c>
      <c r="EM32" s="4"/>
      <c r="EN32" s="4">
        <f t="shared" ca="1" si="136"/>
        <v>148622.96449492592</v>
      </c>
      <c r="EO32" s="4">
        <f t="shared" ca="1" si="70"/>
        <v>6991.6870225129351</v>
      </c>
      <c r="EP32" s="4">
        <f t="shared" ca="1" si="137"/>
        <v>7431.1482247462964</v>
      </c>
      <c r="EQ32" s="4">
        <f t="shared" ca="1" si="71"/>
        <v>0</v>
      </c>
      <c r="ER32" s="4">
        <v>0</v>
      </c>
      <c r="ES32" s="4">
        <f t="shared" ca="1" si="138"/>
        <v>156054.11271967221</v>
      </c>
      <c r="ET32" s="4"/>
      <c r="EU32" s="4">
        <f t="shared" ca="1" si="139"/>
        <v>0</v>
      </c>
      <c r="EV32" s="4">
        <f t="shared" ca="1" si="72"/>
        <v>0</v>
      </c>
      <c r="EW32" s="4">
        <f t="shared" ca="1" si="140"/>
        <v>0</v>
      </c>
      <c r="EX32" s="4">
        <f t="shared" ca="1" si="73"/>
        <v>0</v>
      </c>
      <c r="EY32" s="4">
        <v>0</v>
      </c>
      <c r="EZ32" s="4">
        <f t="shared" ca="1" si="141"/>
        <v>0</v>
      </c>
      <c r="FA32" s="4">
        <f t="shared" ca="1" si="142"/>
        <v>0</v>
      </c>
      <c r="FB32" s="1">
        <f t="shared" ca="1" si="74"/>
        <v>0</v>
      </c>
      <c r="FC32" s="4">
        <f t="shared" ca="1" si="143"/>
        <v>0</v>
      </c>
      <c r="FD32" s="4">
        <f t="shared" ca="1" si="144"/>
        <v>0</v>
      </c>
      <c r="FE32" s="4">
        <f t="shared" ca="1" si="75"/>
        <v>0</v>
      </c>
      <c r="FF32" s="4">
        <f t="shared" ca="1" si="76"/>
        <v>0</v>
      </c>
      <c r="FG32" s="4">
        <f t="shared" ca="1" si="77"/>
        <v>0</v>
      </c>
      <c r="FH32" s="17">
        <f t="shared" ca="1" si="78"/>
        <v>0</v>
      </c>
      <c r="FI32" s="4">
        <f t="shared" ca="1" si="79"/>
        <v>0</v>
      </c>
      <c r="FJ32" s="4"/>
      <c r="FK32" s="4">
        <f t="shared" ca="1" si="80"/>
        <v>800307.84316289239</v>
      </c>
      <c r="FL32" s="4"/>
      <c r="FM32" s="4">
        <v>0</v>
      </c>
      <c r="FN32" s="4">
        <v>0</v>
      </c>
      <c r="FO32" s="4">
        <v>0</v>
      </c>
      <c r="FP32" s="4">
        <v>0</v>
      </c>
      <c r="FQ32" s="4">
        <v>0</v>
      </c>
      <c r="FR32" s="4">
        <v>0</v>
      </c>
      <c r="FS32" s="4">
        <f t="shared" si="81"/>
        <v>0</v>
      </c>
      <c r="FT32" s="4">
        <f t="shared" ca="1" si="82"/>
        <v>0</v>
      </c>
      <c r="FU32" s="4"/>
      <c r="FV32" s="3">
        <f t="shared" si="83"/>
        <v>0.60953087052827892</v>
      </c>
      <c r="FW32" s="3">
        <f t="shared" si="84"/>
        <v>0.60953087052827892</v>
      </c>
      <c r="FX32" s="4">
        <f t="shared" si="145"/>
        <v>2042</v>
      </c>
      <c r="FY32" s="4">
        <f t="shared" si="85"/>
        <v>45.201446406442692</v>
      </c>
      <c r="FZ32" s="4">
        <f t="shared" si="86"/>
        <v>0</v>
      </c>
      <c r="GA32" s="4">
        <f t="shared" si="87"/>
        <v>0</v>
      </c>
      <c r="GB32" s="4">
        <f t="shared" si="88"/>
        <v>0</v>
      </c>
      <c r="GC32" s="4">
        <f t="shared" ca="1" si="89"/>
        <v>0</v>
      </c>
      <c r="GD32" s="4">
        <f t="shared" ca="1" si="90"/>
        <v>0</v>
      </c>
      <c r="GE32" s="4">
        <f t="shared" ca="1" si="91"/>
        <v>0</v>
      </c>
      <c r="GF32" s="4">
        <f t="shared" ca="1" si="92"/>
        <v>0</v>
      </c>
      <c r="GG32" s="18" t="e">
        <f t="shared" ca="1" si="93"/>
        <v>#NAME?</v>
      </c>
      <c r="GH32" s="18" t="e">
        <f t="shared" ca="1" si="94"/>
        <v>#NAME?</v>
      </c>
      <c r="GI32" s="4"/>
      <c r="GJ32" s="4">
        <f t="shared" si="95"/>
        <v>2042</v>
      </c>
      <c r="GK32" s="4">
        <f t="shared" ca="1" si="96"/>
        <v>373.99289253156871</v>
      </c>
      <c r="GL32" s="4">
        <f t="shared" ca="1" si="97"/>
        <v>89.66896462877483</v>
      </c>
      <c r="GM32" s="4">
        <f t="shared" ca="1" si="98"/>
        <v>90.590284929085684</v>
      </c>
      <c r="GN32" s="4">
        <f t="shared" ca="1" si="99"/>
        <v>0</v>
      </c>
      <c r="GO32" s="4"/>
      <c r="GP32" s="3">
        <f t="shared" ca="1" si="146"/>
        <v>0.80500739302649904</v>
      </c>
      <c r="GQ32" s="3">
        <f t="shared" ca="1" si="100"/>
        <v>0</v>
      </c>
      <c r="GR32" s="3">
        <f t="shared" ca="1" si="101"/>
        <v>0</v>
      </c>
      <c r="GS32" s="3">
        <f t="shared" ca="1" si="102"/>
        <v>0.19499260697350107</v>
      </c>
      <c r="GT32" s="3">
        <f t="array" aca="1" ref="GT32" ca="1">SUM(GP32:GS32*$GU$6:$GX$6)</f>
        <v>1</v>
      </c>
      <c r="GU32" s="3">
        <f t="shared" ca="1" si="147"/>
        <v>0.80500739302649904</v>
      </c>
      <c r="GV32" s="3">
        <f t="shared" ca="1" si="148"/>
        <v>0</v>
      </c>
      <c r="GW32" s="3">
        <f t="shared" ca="1" si="149"/>
        <v>0</v>
      </c>
      <c r="GX32" s="3">
        <f t="shared" ca="1" si="150"/>
        <v>0.19499260697350107</v>
      </c>
      <c r="GY32" s="11"/>
      <c r="GZ32" s="27">
        <v>74</v>
      </c>
      <c r="HA32" s="30">
        <v>5.67E-2</v>
      </c>
      <c r="HB32" s="29">
        <f t="shared" ca="1" si="151"/>
        <v>9.7100000000000006E-2</v>
      </c>
      <c r="HC32" s="29">
        <v>9.7100000000000006E-2</v>
      </c>
      <c r="HD32" s="29">
        <v>9.0999999999999998E-2</v>
      </c>
      <c r="HE32" s="29">
        <v>7.7100000000000002E-2</v>
      </c>
      <c r="HG32" s="27">
        <v>72</v>
      </c>
      <c r="HH32" s="30">
        <v>5.3999999999999999E-2</v>
      </c>
      <c r="HJ32">
        <f t="shared" si="153"/>
        <v>2035</v>
      </c>
      <c r="HK32" s="28">
        <f t="shared" si="163"/>
        <v>36960</v>
      </c>
      <c r="HL32" s="27">
        <f t="shared" si="155"/>
        <v>8000</v>
      </c>
      <c r="HM32" s="28">
        <f t="shared" si="156"/>
        <v>8012.4614489028936</v>
      </c>
      <c r="HQ32" s="28">
        <v>142363</v>
      </c>
      <c r="HR32" s="27">
        <v>128010</v>
      </c>
      <c r="HS32" s="27">
        <v>98145</v>
      </c>
      <c r="HT32" s="27">
        <f>HT31+33820</f>
        <v>93000</v>
      </c>
      <c r="HU32" s="27">
        <v>133507</v>
      </c>
      <c r="HV32" s="27">
        <v>103915</v>
      </c>
      <c r="HW32" s="27">
        <v>150000</v>
      </c>
      <c r="HX32" s="27">
        <v>200000</v>
      </c>
      <c r="HY32" s="27">
        <v>200000</v>
      </c>
      <c r="HZ32" s="27">
        <v>202600</v>
      </c>
      <c r="IA32" s="27">
        <v>89320</v>
      </c>
      <c r="IB32" s="27">
        <v>142353</v>
      </c>
      <c r="IC32" s="27">
        <v>135219</v>
      </c>
      <c r="ID32" s="27">
        <v>142353</v>
      </c>
      <c r="IE32" s="28">
        <v>142363</v>
      </c>
      <c r="IF32" s="28">
        <v>142363</v>
      </c>
      <c r="IG32" s="28">
        <v>142363</v>
      </c>
    </row>
    <row r="33" spans="1:241" x14ac:dyDescent="0.25">
      <c r="A33" t="s">
        <v>355</v>
      </c>
      <c r="B33" t="s">
        <v>334</v>
      </c>
      <c r="D33">
        <f t="shared" si="106"/>
        <v>2043</v>
      </c>
      <c r="E33">
        <f t="shared" si="106"/>
        <v>48</v>
      </c>
      <c r="F33" s="8"/>
      <c r="G33" s="8"/>
      <c r="H33" s="9"/>
      <c r="I33" s="8"/>
      <c r="J33" s="92"/>
      <c r="K33" s="91"/>
      <c r="L33" s="91"/>
      <c r="N33" s="93">
        <f t="shared" si="107"/>
        <v>0.05</v>
      </c>
      <c r="O33" s="23">
        <f t="shared" si="108"/>
        <v>0</v>
      </c>
      <c r="P33" s="23">
        <f t="shared" si="109"/>
        <v>0.4</v>
      </c>
      <c r="Q33" s="4">
        <f t="shared" si="0"/>
        <v>0</v>
      </c>
      <c r="R33" s="4">
        <f t="shared" si="110"/>
        <v>0</v>
      </c>
      <c r="S33" s="4">
        <f t="shared" si="1"/>
        <v>0</v>
      </c>
      <c r="T33" s="4">
        <f t="shared" ca="1" si="2"/>
        <v>0</v>
      </c>
      <c r="V33" s="18" t="e">
        <f t="shared" ca="1" si="3"/>
        <v>#NAME?</v>
      </c>
      <c r="W33" s="18" t="e">
        <f t="shared" ca="1" si="4"/>
        <v>#NAME?</v>
      </c>
      <c r="X33" s="18">
        <f t="shared" si="5"/>
        <v>0</v>
      </c>
      <c r="Y33" s="18">
        <f t="shared" ca="1" si="6"/>
        <v>5.4507626548945591</v>
      </c>
      <c r="Z33" s="18">
        <f t="shared" ca="1" si="7"/>
        <v>2.7253813274472796</v>
      </c>
      <c r="AA33" s="18">
        <f t="shared" ca="1" si="8"/>
        <v>4.3854304228320444</v>
      </c>
      <c r="AB33" s="18">
        <f t="shared" ca="1" si="9"/>
        <v>0</v>
      </c>
      <c r="AC33" s="18">
        <f t="shared" ca="1" si="10"/>
        <v>396.19113280632251</v>
      </c>
      <c r="AD33" s="18">
        <f t="shared" ca="1" si="11"/>
        <v>94.965195730000119</v>
      </c>
      <c r="AE33" s="18">
        <f t="shared" ca="1" si="12"/>
        <v>97.432792404738763</v>
      </c>
      <c r="AF33" s="18">
        <f t="shared" ca="1" si="13"/>
        <v>0</v>
      </c>
      <c r="AG33" s="18">
        <f t="shared" ca="1" si="14"/>
        <v>588.58912094106142</v>
      </c>
      <c r="AI33">
        <f>Person1!E33</f>
        <v>48</v>
      </c>
      <c r="AJ33">
        <f>Person1!AZ33</f>
        <v>1</v>
      </c>
      <c r="AK33">
        <f>IF(AZ33&lt;&gt;3,Person1!FM33,0)</f>
        <v>0</v>
      </c>
      <c r="AL33" s="4">
        <f ca="1">IF($AZ33&lt;&gt;3,Person1!FN33+Person1!FT33,0)</f>
        <v>10135.978957456049</v>
      </c>
      <c r="AM33">
        <f>IF($AZ33&lt;&gt;3,Person1!FO33,0)</f>
        <v>0</v>
      </c>
      <c r="AN33">
        <f>IF($AZ33&lt;&gt;3,Person1!FP33,0)</f>
        <v>0</v>
      </c>
      <c r="AO33">
        <f>IF($AZ33&lt;&gt;3,Person1!FQ33,0)</f>
        <v>0</v>
      </c>
      <c r="AP33">
        <f>IF($AZ33&lt;&gt;3,Person1!FR33,0)</f>
        <v>0</v>
      </c>
      <c r="AQ33" s="4">
        <f t="shared" si="15"/>
        <v>0</v>
      </c>
      <c r="AR33" s="4">
        <f>Person1!FS33</f>
        <v>0</v>
      </c>
      <c r="AS33" s="4">
        <f>$B$41*MAX(0,CHOOSE($AZ33,0,IF(AND(Person1!AW33&gt;=Person1!$B$36,AV33&gt;=$B$93),Person1!$B$35*(1+Person1!$B$37)^(Person1!$B$36-Person1!$B$11)*(1+Person1!$B$38)^(Person1!AW33-Person1!$B$36)-CHOOSE(Person1!$B$39+1,0,BD33,BE33,BD33+BE33),0),0,0))</f>
        <v>0</v>
      </c>
      <c r="AT33" s="4">
        <f t="shared" si="16"/>
        <v>0</v>
      </c>
      <c r="AV33">
        <f t="shared" si="162"/>
        <v>2043</v>
      </c>
      <c r="AW33">
        <f t="shared" si="162"/>
        <v>48</v>
      </c>
      <c r="AX33">
        <f t="shared" si="112"/>
        <v>1.6734181143540252</v>
      </c>
      <c r="AY33">
        <f t="shared" si="113"/>
        <v>0.59757928483164602</v>
      </c>
      <c r="AZ33">
        <f t="shared" si="114"/>
        <v>1</v>
      </c>
      <c r="BB33" s="4">
        <f t="shared" si="17"/>
        <v>76011.708031208284</v>
      </c>
      <c r="BC33">
        <f t="shared" si="18"/>
        <v>0</v>
      </c>
      <c r="BD33" s="4">
        <f t="shared" si="19"/>
        <v>0</v>
      </c>
      <c r="BE33" s="4">
        <f t="shared" si="115"/>
        <v>0</v>
      </c>
      <c r="BF33" s="4">
        <f t="shared" si="116"/>
        <v>0</v>
      </c>
      <c r="BG33" s="4">
        <f t="shared" si="117"/>
        <v>0</v>
      </c>
      <c r="BH33" s="4">
        <f t="shared" si="20"/>
        <v>0</v>
      </c>
      <c r="BI33" s="4">
        <f t="shared" si="118"/>
        <v>76011.708031208284</v>
      </c>
      <c r="BJ33" s="4"/>
      <c r="BK33" s="4">
        <f t="shared" si="21"/>
        <v>41835.452858850629</v>
      </c>
      <c r="BL33" s="4">
        <f t="shared" si="119"/>
        <v>0</v>
      </c>
      <c r="BM33" s="4">
        <f t="shared" si="120"/>
        <v>41835.452858850629</v>
      </c>
      <c r="BN33" s="4">
        <v>13155.489017933791</v>
      </c>
      <c r="BO33" s="4">
        <f t="shared" si="121"/>
        <v>54990.941876784418</v>
      </c>
      <c r="BP33" s="4">
        <f t="shared" si="122"/>
        <v>21020.766154423865</v>
      </c>
      <c r="BQ33" s="4"/>
      <c r="BR33" s="4">
        <v>0</v>
      </c>
      <c r="BS33" s="4">
        <f t="shared" ca="1" si="22"/>
        <v>13682.10744561749</v>
      </c>
      <c r="BT33" s="4">
        <f t="shared" ca="1" si="23"/>
        <v>104898.29103820876</v>
      </c>
      <c r="BU33" s="4">
        <f t="shared" si="24"/>
        <v>0</v>
      </c>
      <c r="BV33" s="4">
        <f t="shared" si="25"/>
        <v>1</v>
      </c>
      <c r="BW33" s="4">
        <f t="shared" ca="1" si="26"/>
        <v>0</v>
      </c>
      <c r="BX33" s="4">
        <f t="shared" ca="1" si="27"/>
        <v>0</v>
      </c>
      <c r="BY33" s="4">
        <f t="shared" ca="1" si="28"/>
        <v>0</v>
      </c>
      <c r="BZ33" s="4">
        <f t="shared" ca="1" si="29"/>
        <v>0</v>
      </c>
      <c r="CA33" s="4">
        <f t="shared" ca="1" si="30"/>
        <v>0</v>
      </c>
      <c r="CB33" s="4">
        <f t="shared" ca="1" si="154"/>
        <v>0</v>
      </c>
      <c r="CC33" s="4"/>
      <c r="CD33" s="4">
        <f t="shared" ca="1" si="31"/>
        <v>76011.708031208284</v>
      </c>
      <c r="CE33" s="4">
        <f t="shared" ca="1" si="123"/>
        <v>57501.28019713729</v>
      </c>
      <c r="CF33" s="16">
        <f t="shared" si="32"/>
        <v>0</v>
      </c>
      <c r="CG33" s="4">
        <f t="shared" si="33"/>
        <v>4828.3203884535051</v>
      </c>
      <c r="CH33" s="4" t="e">
        <f t="shared" ca="1" si="34"/>
        <v>#NAME?</v>
      </c>
      <c r="CI33" s="4" t="e">
        <f t="shared" ca="1" si="35"/>
        <v>#NAME?</v>
      </c>
      <c r="CJ33" s="4" t="e">
        <f t="shared" ca="1" si="124"/>
        <v>#NAME?</v>
      </c>
      <c r="CK33" s="4" t="e">
        <f t="shared" ca="1" si="125"/>
        <v>#NAME?</v>
      </c>
      <c r="CL33" s="4" t="e">
        <f t="shared" ca="1" si="36"/>
        <v>#NAME?</v>
      </c>
      <c r="CM33" s="16"/>
      <c r="CN33" s="4">
        <f t="shared" si="37"/>
        <v>0</v>
      </c>
      <c r="CO33" s="4">
        <f t="shared" si="38"/>
        <v>0</v>
      </c>
      <c r="CP33" s="4">
        <f t="shared" ca="1" si="39"/>
        <v>984955.69689448434</v>
      </c>
      <c r="CQ33" s="4"/>
      <c r="CR33" s="4">
        <f t="shared" ca="1" si="40"/>
        <v>21020.766154423865</v>
      </c>
      <c r="CS33" s="4">
        <f t="shared" ca="1" si="41"/>
        <v>43300</v>
      </c>
      <c r="CT33" s="4">
        <f t="shared" ca="1" si="42"/>
        <v>13682.10744561749</v>
      </c>
      <c r="CU33" s="4"/>
      <c r="CV33" s="4">
        <f t="shared" ca="1" si="126"/>
        <v>21020.766154423865</v>
      </c>
      <c r="CW33" s="4">
        <f t="shared" ca="1" si="43"/>
        <v>4560.7024818724967</v>
      </c>
      <c r="CX33" s="4">
        <f t="shared" ca="1" si="44"/>
        <v>4560.7024818724967</v>
      </c>
      <c r="CY33" s="4">
        <f t="shared" ca="1" si="127"/>
        <v>16460.063672551369</v>
      </c>
      <c r="CZ33" s="4"/>
      <c r="DA33" s="4">
        <f t="shared" ca="1" si="45"/>
        <v>16460.063672551369</v>
      </c>
      <c r="DB33" s="4">
        <f t="shared" si="46"/>
        <v>0</v>
      </c>
      <c r="DC33" s="4">
        <f t="shared" ca="1" si="128"/>
        <v>4560.7024818724967</v>
      </c>
      <c r="DD33" s="4">
        <f t="shared" ca="1" si="47"/>
        <v>9121.4049637449934</v>
      </c>
      <c r="DE33" s="4">
        <f t="shared" ca="1" si="48"/>
        <v>9121.4049637449934</v>
      </c>
      <c r="DF33" s="4">
        <f t="shared" ca="1" si="129"/>
        <v>0</v>
      </c>
      <c r="DG33" s="4">
        <f t="shared" ca="1" si="130"/>
        <v>9121.4049637449934</v>
      </c>
      <c r="DH33" s="4">
        <f t="shared" ca="1" si="49"/>
        <v>0</v>
      </c>
      <c r="DI33" s="4"/>
      <c r="DJ33" s="4">
        <f t="shared" ca="1" si="50"/>
        <v>7338.6587088063752</v>
      </c>
      <c r="DK33" s="4">
        <f t="shared" ca="1" si="51"/>
        <v>9500</v>
      </c>
      <c r="DL33" s="4">
        <f t="shared" ca="1" si="52"/>
        <v>9500</v>
      </c>
      <c r="DM33" s="4">
        <f t="shared" ca="1" si="53"/>
        <v>104898.29103820876</v>
      </c>
      <c r="DN33" s="4">
        <f t="shared" ca="1" si="54"/>
        <v>7338.6587088063752</v>
      </c>
      <c r="DO33" s="4">
        <f t="shared" ca="1" si="55"/>
        <v>97559.632329402375</v>
      </c>
      <c r="DP33" s="4"/>
      <c r="DQ33" s="4">
        <f t="shared" ca="1" si="56"/>
        <v>0</v>
      </c>
      <c r="DR33" s="4"/>
      <c r="DS33" s="4">
        <f t="shared" si="131"/>
        <v>0</v>
      </c>
      <c r="DT33" s="4">
        <f t="shared" si="57"/>
        <v>0</v>
      </c>
      <c r="DU33" s="4">
        <f t="shared" si="58"/>
        <v>0</v>
      </c>
      <c r="DV33" s="4"/>
      <c r="DW33" s="4">
        <f t="shared" ca="1" si="132"/>
        <v>662993.41838454141</v>
      </c>
      <c r="DX33" s="4">
        <f t="shared" ca="1" si="59"/>
        <v>19257.383921201043</v>
      </c>
      <c r="DY33" s="4">
        <f t="shared" ca="1" si="133"/>
        <v>33149.670919227072</v>
      </c>
      <c r="DZ33" s="4">
        <f t="shared" ca="1" si="60"/>
        <v>0</v>
      </c>
      <c r="EA33" s="4">
        <f t="shared" ca="1" si="61"/>
        <v>0</v>
      </c>
      <c r="EB33" s="4">
        <f t="shared" ca="1" si="62"/>
        <v>696143.08930376847</v>
      </c>
      <c r="EC33" s="4">
        <f t="shared" si="63"/>
        <v>1</v>
      </c>
      <c r="ED33" s="4"/>
      <c r="EE33" s="4">
        <f t="shared" ca="1" si="134"/>
        <v>158916.47876775774</v>
      </c>
      <c r="EF33" s="4">
        <f t="shared" ca="1" si="64"/>
        <v>4560.7024818724967</v>
      </c>
      <c r="EG33" s="4">
        <f t="shared" ca="1" si="135"/>
        <v>7945.8239383878872</v>
      </c>
      <c r="EH33" s="4">
        <f t="shared" ca="1" si="65"/>
        <v>0</v>
      </c>
      <c r="EI33" s="4">
        <f t="shared" ca="1" si="66"/>
        <v>0</v>
      </c>
      <c r="EJ33" s="4">
        <f t="shared" ca="1" si="67"/>
        <v>0</v>
      </c>
      <c r="EK33" s="4">
        <f t="shared" si="68"/>
        <v>1</v>
      </c>
      <c r="EL33" s="4">
        <f t="shared" si="69"/>
        <v>0</v>
      </c>
      <c r="EM33" s="4"/>
      <c r="EN33" s="4">
        <f t="shared" ca="1" si="136"/>
        <v>163045.79974218513</v>
      </c>
      <c r="EO33" s="4">
        <f t="shared" ca="1" si="70"/>
        <v>7338.6587088063752</v>
      </c>
      <c r="EP33" s="4">
        <f t="shared" ca="1" si="137"/>
        <v>8152.2899871092568</v>
      </c>
      <c r="EQ33" s="4">
        <f t="shared" ca="1" si="71"/>
        <v>0</v>
      </c>
      <c r="ER33" s="4">
        <v>0</v>
      </c>
      <c r="ES33" s="4">
        <f t="shared" ca="1" si="138"/>
        <v>171198.08972929438</v>
      </c>
      <c r="ET33" s="4"/>
      <c r="EU33" s="4">
        <f t="shared" ca="1" si="139"/>
        <v>0</v>
      </c>
      <c r="EV33" s="4">
        <f t="shared" ca="1" si="72"/>
        <v>0</v>
      </c>
      <c r="EW33" s="4">
        <f t="shared" ca="1" si="140"/>
        <v>0</v>
      </c>
      <c r="EX33" s="4">
        <f t="shared" ca="1" si="73"/>
        <v>0</v>
      </c>
      <c r="EY33" s="4">
        <v>0</v>
      </c>
      <c r="EZ33" s="4">
        <f t="shared" ca="1" si="141"/>
        <v>0</v>
      </c>
      <c r="FA33" s="4">
        <f t="shared" ca="1" si="142"/>
        <v>0</v>
      </c>
      <c r="FB33" s="1">
        <f t="shared" ca="1" si="74"/>
        <v>0</v>
      </c>
      <c r="FC33" s="4">
        <f t="shared" ca="1" si="143"/>
        <v>0</v>
      </c>
      <c r="FD33" s="4">
        <f t="shared" ca="1" si="144"/>
        <v>0</v>
      </c>
      <c r="FE33" s="4">
        <f t="shared" ca="1" si="75"/>
        <v>0</v>
      </c>
      <c r="FF33" s="4">
        <f t="shared" ca="1" si="76"/>
        <v>0</v>
      </c>
      <c r="FG33" s="4">
        <f t="shared" ca="1" si="77"/>
        <v>0</v>
      </c>
      <c r="FH33" s="17">
        <f t="shared" ca="1" si="78"/>
        <v>0</v>
      </c>
      <c r="FI33" s="4">
        <f t="shared" ca="1" si="79"/>
        <v>0</v>
      </c>
      <c r="FJ33" s="4"/>
      <c r="FK33" s="4">
        <f t="shared" ca="1" si="80"/>
        <v>867341.17903306289</v>
      </c>
      <c r="FL33" s="4"/>
      <c r="FM33" s="4">
        <v>0</v>
      </c>
      <c r="FN33" s="4">
        <v>0</v>
      </c>
      <c r="FO33" s="4">
        <v>0</v>
      </c>
      <c r="FP33" s="4">
        <v>0</v>
      </c>
      <c r="FQ33" s="4">
        <v>0</v>
      </c>
      <c r="FR33" s="4">
        <v>0</v>
      </c>
      <c r="FS33" s="4">
        <f t="shared" si="81"/>
        <v>0</v>
      </c>
      <c r="FT33" s="4">
        <f t="shared" ca="1" si="82"/>
        <v>0</v>
      </c>
      <c r="FU33" s="4"/>
      <c r="FV33" s="3">
        <f t="shared" si="83"/>
        <v>0.59757928483164602</v>
      </c>
      <c r="FW33" s="3">
        <f t="shared" si="84"/>
        <v>0.59757928483164602</v>
      </c>
      <c r="FX33" s="4">
        <f t="shared" si="145"/>
        <v>2043</v>
      </c>
      <c r="FY33" s="4">
        <f t="shared" si="85"/>
        <v>45.423022124121331</v>
      </c>
      <c r="FZ33" s="4">
        <f t="shared" si="86"/>
        <v>0</v>
      </c>
      <c r="GA33" s="4">
        <f t="shared" si="87"/>
        <v>0</v>
      </c>
      <c r="GB33" s="4">
        <f t="shared" si="88"/>
        <v>0</v>
      </c>
      <c r="GC33" s="4">
        <f t="shared" ca="1" si="89"/>
        <v>0</v>
      </c>
      <c r="GD33" s="4">
        <f t="shared" ca="1" si="90"/>
        <v>0</v>
      </c>
      <c r="GE33" s="4">
        <f t="shared" ca="1" si="91"/>
        <v>0</v>
      </c>
      <c r="GF33" s="4">
        <f t="shared" ca="1" si="92"/>
        <v>0</v>
      </c>
      <c r="GG33" s="18" t="e">
        <f t="shared" ca="1" si="93"/>
        <v>#NAME?</v>
      </c>
      <c r="GH33" s="18" t="e">
        <f t="shared" ca="1" si="94"/>
        <v>#NAME?</v>
      </c>
      <c r="GI33" s="4"/>
      <c r="GJ33" s="4">
        <f t="shared" si="95"/>
        <v>2043</v>
      </c>
      <c r="GK33" s="4">
        <f t="shared" ca="1" si="96"/>
        <v>396.19113280632251</v>
      </c>
      <c r="GL33" s="4">
        <f t="shared" ca="1" si="97"/>
        <v>94.965195730000119</v>
      </c>
      <c r="GM33" s="4">
        <f t="shared" ca="1" si="98"/>
        <v>97.432792404738763</v>
      </c>
      <c r="GN33" s="4">
        <f t="shared" ca="1" si="99"/>
        <v>0</v>
      </c>
      <c r="GO33" s="4"/>
      <c r="GP33" s="3">
        <f t="shared" ca="1" si="146"/>
        <v>0.80261736227011493</v>
      </c>
      <c r="GQ33" s="3">
        <f t="shared" ca="1" si="100"/>
        <v>0</v>
      </c>
      <c r="GR33" s="3">
        <f t="shared" ca="1" si="101"/>
        <v>0</v>
      </c>
      <c r="GS33" s="3">
        <f t="shared" ca="1" si="102"/>
        <v>0.19738263772988501</v>
      </c>
      <c r="GT33" s="3">
        <f t="array" aca="1" ref="GT33" ca="1">SUM(GP33:GS33*$GU$6:$GX$6)</f>
        <v>1</v>
      </c>
      <c r="GU33" s="3">
        <f t="shared" ca="1" si="147"/>
        <v>0.80261736227011493</v>
      </c>
      <c r="GV33" s="3">
        <f t="shared" ca="1" si="148"/>
        <v>0</v>
      </c>
      <c r="GW33" s="3">
        <f t="shared" ca="1" si="149"/>
        <v>0</v>
      </c>
      <c r="GX33" s="3">
        <f t="shared" ca="1" si="150"/>
        <v>0.19738263772988501</v>
      </c>
      <c r="GY33" s="11"/>
      <c r="GZ33" s="27">
        <v>75</v>
      </c>
      <c r="HA33" s="30">
        <v>5.8200000000000002E-2</v>
      </c>
      <c r="HB33" s="29">
        <f t="shared" ca="1" si="151"/>
        <v>0.10150000000000001</v>
      </c>
      <c r="HC33" s="29">
        <v>0.10150000000000001</v>
      </c>
      <c r="HD33" s="29">
        <v>9.4E-2</v>
      </c>
      <c r="HE33" s="29">
        <v>8.1799999999999998E-2</v>
      </c>
      <c r="HG33" s="27">
        <v>73</v>
      </c>
      <c r="HH33" s="30">
        <v>5.5300000000000002E-2</v>
      </c>
      <c r="HJ33">
        <f t="shared" si="153"/>
        <v>2036</v>
      </c>
      <c r="HK33" s="28">
        <f t="shared" si="163"/>
        <v>37700</v>
      </c>
      <c r="HL33" s="27">
        <f t="shared" si="155"/>
        <v>8000</v>
      </c>
      <c r="HM33" s="28">
        <f t="shared" si="156"/>
        <v>8172.7106778809521</v>
      </c>
      <c r="HQ33" s="28">
        <v>202800</v>
      </c>
      <c r="HR33" s="27">
        <v>179214</v>
      </c>
      <c r="HS33" s="27">
        <v>200000</v>
      </c>
      <c r="HT33" s="27">
        <f>HT32+57000</f>
        <v>150000</v>
      </c>
      <c r="HU33" s="27">
        <v>152100</v>
      </c>
      <c r="HV33" s="27">
        <v>200000</v>
      </c>
      <c r="HW33" s="27">
        <v>220000</v>
      </c>
      <c r="HX33" s="27">
        <v>300000</v>
      </c>
      <c r="HY33" s="27">
        <v>300000</v>
      </c>
      <c r="HZ33" s="27">
        <v>303900</v>
      </c>
      <c r="IA33" s="27">
        <v>108460</v>
      </c>
      <c r="IB33" s="27">
        <v>500000</v>
      </c>
      <c r="IC33" s="27">
        <v>200000</v>
      </c>
      <c r="ID33" s="27">
        <v>200000</v>
      </c>
      <c r="IE33" s="28">
        <v>202800</v>
      </c>
      <c r="IF33" s="28">
        <v>202800</v>
      </c>
      <c r="IG33" s="28">
        <v>202800</v>
      </c>
    </row>
    <row r="34" spans="1:241" x14ac:dyDescent="0.25">
      <c r="A34" s="15" t="s">
        <v>80</v>
      </c>
      <c r="D34">
        <f t="shared" si="106"/>
        <v>2044</v>
      </c>
      <c r="E34">
        <f t="shared" si="106"/>
        <v>49</v>
      </c>
      <c r="F34" s="8"/>
      <c r="G34" s="8"/>
      <c r="H34" s="9"/>
      <c r="I34" s="8"/>
      <c r="J34" s="92"/>
      <c r="K34" s="91"/>
      <c r="L34" s="91"/>
      <c r="N34" s="93">
        <f t="shared" si="107"/>
        <v>0.05</v>
      </c>
      <c r="O34" s="23">
        <f t="shared" si="108"/>
        <v>0</v>
      </c>
      <c r="P34" s="23">
        <f t="shared" si="109"/>
        <v>0.4</v>
      </c>
      <c r="Q34" s="4">
        <f t="shared" si="0"/>
        <v>0</v>
      </c>
      <c r="R34" s="4">
        <f t="shared" si="110"/>
        <v>0</v>
      </c>
      <c r="S34" s="4">
        <f t="shared" si="1"/>
        <v>0</v>
      </c>
      <c r="T34" s="4">
        <f t="shared" ca="1" si="2"/>
        <v>0</v>
      </c>
      <c r="V34" s="18" t="e">
        <f t="shared" ca="1" si="3"/>
        <v>#NAME?</v>
      </c>
      <c r="W34" s="18" t="e">
        <f t="shared" ca="1" si="4"/>
        <v>#NAME?</v>
      </c>
      <c r="X34" s="18">
        <f t="shared" si="5"/>
        <v>0</v>
      </c>
      <c r="Y34" s="18">
        <f t="shared" ca="1" si="6"/>
        <v>5.4774820796734538</v>
      </c>
      <c r="Z34" s="18">
        <f t="shared" ca="1" si="7"/>
        <v>2.7387410398367269</v>
      </c>
      <c r="AA34" s="18">
        <f t="shared" ca="1" si="8"/>
        <v>4.5098566023968329</v>
      </c>
      <c r="AB34" s="18">
        <f t="shared" ca="1" si="9"/>
        <v>0</v>
      </c>
      <c r="AC34" s="18">
        <f t="shared" ca="1" si="10"/>
        <v>419.12598348823371</v>
      </c>
      <c r="AD34" s="18">
        <f t="shared" ca="1" si="11"/>
        <v>100.43023219994843</v>
      </c>
      <c r="AE34" s="18">
        <f t="shared" ca="1" si="12"/>
        <v>104.59790436059583</v>
      </c>
      <c r="AF34" s="18">
        <f t="shared" ca="1" si="13"/>
        <v>0</v>
      </c>
      <c r="AG34" s="18">
        <f t="shared" ca="1" si="14"/>
        <v>624.15412004877794</v>
      </c>
      <c r="AI34">
        <f>Person1!E34</f>
        <v>49</v>
      </c>
      <c r="AJ34">
        <f>Person1!AZ34</f>
        <v>1</v>
      </c>
      <c r="AK34">
        <f>IF(AZ34&lt;&gt;3,Person1!FM34,0)</f>
        <v>0</v>
      </c>
      <c r="AL34" s="4">
        <f ca="1">IF($AZ34&lt;&gt;3,Person1!FN34+Person1!FT34,0)</f>
        <v>10440.058326179729</v>
      </c>
      <c r="AM34">
        <f>IF($AZ34&lt;&gt;3,Person1!FO34,0)</f>
        <v>0</v>
      </c>
      <c r="AN34">
        <f>IF($AZ34&lt;&gt;3,Person1!FP34,0)</f>
        <v>0</v>
      </c>
      <c r="AO34">
        <f>IF($AZ34&lt;&gt;3,Person1!FQ34,0)</f>
        <v>0</v>
      </c>
      <c r="AP34">
        <f>IF($AZ34&lt;&gt;3,Person1!FR34,0)</f>
        <v>0</v>
      </c>
      <c r="AQ34" s="4">
        <f t="shared" si="15"/>
        <v>0</v>
      </c>
      <c r="AR34" s="4">
        <f>Person1!FS34</f>
        <v>0</v>
      </c>
      <c r="AS34" s="4">
        <f>$B$41*MAX(0,CHOOSE($AZ34,0,IF(AND(Person1!AW34&gt;=Person1!$B$36,AV34&gt;=$B$93),Person1!$B$35*(1+Person1!$B$37)^(Person1!$B$36-Person1!$B$11)*(1+Person1!$B$38)^(Person1!AW34-Person1!$B$36)-CHOOSE(Person1!$B$39+1,0,BD34,BE34,BD34+BE34),0),0,0))</f>
        <v>0</v>
      </c>
      <c r="AT34" s="4">
        <f t="shared" si="16"/>
        <v>0</v>
      </c>
      <c r="AV34">
        <f t="shared" si="162"/>
        <v>2044</v>
      </c>
      <c r="AW34">
        <f t="shared" si="162"/>
        <v>49</v>
      </c>
      <c r="AX34">
        <f t="shared" si="112"/>
        <v>1.7068864766411058</v>
      </c>
      <c r="AY34">
        <f t="shared" si="113"/>
        <v>0.58586204395259411</v>
      </c>
      <c r="AZ34">
        <f t="shared" si="114"/>
        <v>1</v>
      </c>
      <c r="BB34" s="4">
        <f t="shared" si="17"/>
        <v>77912.00073198849</v>
      </c>
      <c r="BC34">
        <f t="shared" si="18"/>
        <v>0</v>
      </c>
      <c r="BD34" s="4">
        <f t="shared" si="19"/>
        <v>0</v>
      </c>
      <c r="BE34" s="4">
        <f t="shared" si="115"/>
        <v>0</v>
      </c>
      <c r="BF34" s="4">
        <f t="shared" si="116"/>
        <v>0</v>
      </c>
      <c r="BG34" s="4">
        <f t="shared" si="117"/>
        <v>0</v>
      </c>
      <c r="BH34" s="4">
        <f t="shared" si="20"/>
        <v>0</v>
      </c>
      <c r="BI34" s="4">
        <f t="shared" si="118"/>
        <v>77912.00073198849</v>
      </c>
      <c r="BJ34" s="4"/>
      <c r="BK34" s="4">
        <f t="shared" si="21"/>
        <v>42672.161916027646</v>
      </c>
      <c r="BL34" s="4">
        <f t="shared" si="119"/>
        <v>0</v>
      </c>
      <c r="BM34" s="4">
        <f t="shared" si="120"/>
        <v>42672.161916027646</v>
      </c>
      <c r="BN34" s="4">
        <v>13517.865437981156</v>
      </c>
      <c r="BO34" s="4">
        <f t="shared" si="121"/>
        <v>56190.027354008802</v>
      </c>
      <c r="BP34" s="4">
        <f t="shared" si="122"/>
        <v>21721.973377979688</v>
      </c>
      <c r="BQ34" s="4"/>
      <c r="BR34" s="4">
        <v>0</v>
      </c>
      <c r="BS34" s="4">
        <f t="shared" ca="1" si="22"/>
        <v>14024.160131757928</v>
      </c>
      <c r="BT34" s="4">
        <f t="shared" ca="1" si="23"/>
        <v>107059.63232940238</v>
      </c>
      <c r="BU34" s="4">
        <f t="shared" si="24"/>
        <v>0</v>
      </c>
      <c r="BV34" s="4">
        <f t="shared" si="25"/>
        <v>1</v>
      </c>
      <c r="BW34" s="4">
        <f t="shared" ca="1" si="26"/>
        <v>0</v>
      </c>
      <c r="BX34" s="4">
        <f t="shared" ca="1" si="27"/>
        <v>0</v>
      </c>
      <c r="BY34" s="4">
        <f t="shared" ca="1" si="28"/>
        <v>0</v>
      </c>
      <c r="BZ34" s="4">
        <f t="shared" ca="1" si="29"/>
        <v>0</v>
      </c>
      <c r="CA34" s="4">
        <f t="shared" ca="1" si="30"/>
        <v>0</v>
      </c>
      <c r="CB34" s="4">
        <f t="shared" ca="1" si="154"/>
        <v>0</v>
      </c>
      <c r="CC34" s="4"/>
      <c r="CD34" s="4">
        <f t="shared" ca="1" si="31"/>
        <v>77912.00073198849</v>
      </c>
      <c r="CE34" s="4">
        <f t="shared" ca="1" si="123"/>
        <v>58934.480952065715</v>
      </c>
      <c r="CF34" s="16">
        <f t="shared" si="32"/>
        <v>0</v>
      </c>
      <c r="CG34" s="4">
        <f t="shared" si="33"/>
        <v>4953.3596481648428</v>
      </c>
      <c r="CH34" s="4" t="e">
        <f t="shared" ca="1" si="34"/>
        <v>#NAME?</v>
      </c>
      <c r="CI34" s="4" t="e">
        <f t="shared" ca="1" si="35"/>
        <v>#NAME?</v>
      </c>
      <c r="CJ34" s="4" t="e">
        <f t="shared" ca="1" si="124"/>
        <v>#NAME?</v>
      </c>
      <c r="CK34" s="4" t="e">
        <f t="shared" ca="1" si="125"/>
        <v>#NAME?</v>
      </c>
      <c r="CL34" s="4" t="e">
        <f t="shared" ca="1" si="36"/>
        <v>#NAME?</v>
      </c>
      <c r="CM34" s="16"/>
      <c r="CN34" s="4">
        <f t="shared" si="37"/>
        <v>0</v>
      </c>
      <c r="CO34" s="4">
        <f t="shared" si="38"/>
        <v>0</v>
      </c>
      <c r="CP34" s="4">
        <f t="shared" ca="1" si="39"/>
        <v>1065360.2268510882</v>
      </c>
      <c r="CQ34" s="4"/>
      <c r="CR34" s="4">
        <f t="shared" ca="1" si="40"/>
        <v>21721.973377979688</v>
      </c>
      <c r="CS34" s="4">
        <f t="shared" ca="1" si="41"/>
        <v>44170</v>
      </c>
      <c r="CT34" s="4">
        <f t="shared" ca="1" si="42"/>
        <v>14024.160131757928</v>
      </c>
      <c r="CU34" s="4"/>
      <c r="CV34" s="4">
        <f t="shared" ca="1" si="126"/>
        <v>21721.973377979688</v>
      </c>
      <c r="CW34" s="4">
        <f t="shared" ca="1" si="43"/>
        <v>4674.7200439193093</v>
      </c>
      <c r="CX34" s="4">
        <f t="shared" ca="1" si="44"/>
        <v>4674.7200439193093</v>
      </c>
      <c r="CY34" s="4">
        <f t="shared" ca="1" si="127"/>
        <v>17047.253334060377</v>
      </c>
      <c r="CZ34" s="4"/>
      <c r="DA34" s="4">
        <f t="shared" ca="1" si="45"/>
        <v>17047.253334060377</v>
      </c>
      <c r="DB34" s="4">
        <f t="shared" si="46"/>
        <v>0</v>
      </c>
      <c r="DC34" s="4">
        <f t="shared" ca="1" si="128"/>
        <v>4674.7200439193093</v>
      </c>
      <c r="DD34" s="4">
        <f t="shared" ca="1" si="47"/>
        <v>9349.4400878386186</v>
      </c>
      <c r="DE34" s="4">
        <f t="shared" ca="1" si="48"/>
        <v>9349.4400878386186</v>
      </c>
      <c r="DF34" s="4">
        <f t="shared" ca="1" si="129"/>
        <v>0</v>
      </c>
      <c r="DG34" s="4">
        <f t="shared" ca="1" si="130"/>
        <v>9349.4400878386186</v>
      </c>
      <c r="DH34" s="4">
        <f t="shared" ca="1" si="49"/>
        <v>0</v>
      </c>
      <c r="DI34" s="4"/>
      <c r="DJ34" s="4">
        <f t="shared" ca="1" si="50"/>
        <v>7697.8132462217582</v>
      </c>
      <c r="DK34" s="4">
        <f t="shared" ca="1" si="51"/>
        <v>9500</v>
      </c>
      <c r="DL34" s="4">
        <f t="shared" ca="1" si="52"/>
        <v>9500</v>
      </c>
      <c r="DM34" s="4">
        <f t="shared" ca="1" si="53"/>
        <v>107059.63232940238</v>
      </c>
      <c r="DN34" s="4">
        <f t="shared" ca="1" si="54"/>
        <v>7697.8132462217582</v>
      </c>
      <c r="DO34" s="4">
        <f t="shared" ca="1" si="55"/>
        <v>99361.819083180613</v>
      </c>
      <c r="DP34" s="4"/>
      <c r="DQ34" s="4">
        <f t="shared" ca="1" si="56"/>
        <v>0</v>
      </c>
      <c r="DR34" s="4"/>
      <c r="DS34" s="4">
        <f t="shared" si="131"/>
        <v>0</v>
      </c>
      <c r="DT34" s="4">
        <f t="shared" si="57"/>
        <v>0</v>
      </c>
      <c r="DU34" s="4">
        <f t="shared" si="58"/>
        <v>0</v>
      </c>
      <c r="DV34" s="4"/>
      <c r="DW34" s="4">
        <f t="shared" ca="1" si="132"/>
        <v>715400.47322496946</v>
      </c>
      <c r="DX34" s="4">
        <f t="shared" ca="1" si="59"/>
        <v>19789.498414018348</v>
      </c>
      <c r="DY34" s="4">
        <f t="shared" ca="1" si="133"/>
        <v>35770.023661248473</v>
      </c>
      <c r="DZ34" s="4">
        <f t="shared" ca="1" si="60"/>
        <v>0</v>
      </c>
      <c r="EA34" s="4">
        <f t="shared" ca="1" si="61"/>
        <v>0</v>
      </c>
      <c r="EB34" s="4">
        <f t="shared" ca="1" si="62"/>
        <v>751170.49688621797</v>
      </c>
      <c r="EC34" s="4">
        <f t="shared" si="63"/>
        <v>1</v>
      </c>
      <c r="ED34" s="4"/>
      <c r="EE34" s="4">
        <f t="shared" ca="1" si="134"/>
        <v>171423.00518801811</v>
      </c>
      <c r="EF34" s="4">
        <f t="shared" ca="1" si="64"/>
        <v>4674.7200439193093</v>
      </c>
      <c r="EG34" s="4">
        <f t="shared" ca="1" si="135"/>
        <v>8571.1502594009053</v>
      </c>
      <c r="EH34" s="4">
        <f t="shared" ca="1" si="65"/>
        <v>0</v>
      </c>
      <c r="EI34" s="4">
        <f t="shared" ca="1" si="66"/>
        <v>0</v>
      </c>
      <c r="EJ34" s="4">
        <f t="shared" ca="1" si="67"/>
        <v>0</v>
      </c>
      <c r="EK34" s="4">
        <f t="shared" si="68"/>
        <v>1</v>
      </c>
      <c r="EL34" s="4">
        <f t="shared" si="69"/>
        <v>0</v>
      </c>
      <c r="EM34" s="4"/>
      <c r="EN34" s="4">
        <f t="shared" ca="1" si="136"/>
        <v>178536.74843810077</v>
      </c>
      <c r="EO34" s="4">
        <f t="shared" ca="1" si="70"/>
        <v>7697.8132462217582</v>
      </c>
      <c r="EP34" s="4">
        <f t="shared" ca="1" si="137"/>
        <v>8926.8374219050384</v>
      </c>
      <c r="EQ34" s="4">
        <f t="shared" ca="1" si="71"/>
        <v>0</v>
      </c>
      <c r="ER34" s="4">
        <v>0</v>
      </c>
      <c r="ES34" s="4">
        <f t="shared" ca="1" si="138"/>
        <v>187463.58586000581</v>
      </c>
      <c r="ET34" s="4"/>
      <c r="EU34" s="4">
        <f t="shared" ca="1" si="139"/>
        <v>0</v>
      </c>
      <c r="EV34" s="4">
        <f t="shared" ca="1" si="72"/>
        <v>0</v>
      </c>
      <c r="EW34" s="4">
        <f t="shared" ca="1" si="140"/>
        <v>0</v>
      </c>
      <c r="EX34" s="4">
        <f t="shared" ca="1" si="73"/>
        <v>0</v>
      </c>
      <c r="EY34" s="4">
        <v>0</v>
      </c>
      <c r="EZ34" s="4">
        <f t="shared" ca="1" si="141"/>
        <v>0</v>
      </c>
      <c r="FA34" s="4">
        <f t="shared" ca="1" si="142"/>
        <v>0</v>
      </c>
      <c r="FB34" s="1">
        <f t="shared" ca="1" si="74"/>
        <v>0</v>
      </c>
      <c r="FC34" s="4">
        <f t="shared" ca="1" si="143"/>
        <v>0</v>
      </c>
      <c r="FD34" s="4">
        <f t="shared" ca="1" si="144"/>
        <v>0</v>
      </c>
      <c r="FE34" s="4">
        <f t="shared" ca="1" si="75"/>
        <v>0</v>
      </c>
      <c r="FF34" s="4">
        <f t="shared" ca="1" si="76"/>
        <v>0</v>
      </c>
      <c r="FG34" s="4">
        <f t="shared" ca="1" si="77"/>
        <v>0</v>
      </c>
      <c r="FH34" s="17">
        <f t="shared" ca="1" si="78"/>
        <v>0</v>
      </c>
      <c r="FI34" s="4">
        <f t="shared" ca="1" si="79"/>
        <v>0</v>
      </c>
      <c r="FJ34" s="4"/>
      <c r="FK34" s="4">
        <f t="shared" ca="1" si="80"/>
        <v>938634.08274622378</v>
      </c>
      <c r="FL34" s="4"/>
      <c r="FM34" s="4">
        <v>0</v>
      </c>
      <c r="FN34" s="4">
        <v>0</v>
      </c>
      <c r="FO34" s="4">
        <v>0</v>
      </c>
      <c r="FP34" s="4">
        <v>0</v>
      </c>
      <c r="FQ34" s="4">
        <v>0</v>
      </c>
      <c r="FR34" s="4">
        <v>0</v>
      </c>
      <c r="FS34" s="4">
        <f t="shared" si="81"/>
        <v>0</v>
      </c>
      <c r="FT34" s="4">
        <f t="shared" ca="1" si="82"/>
        <v>0</v>
      </c>
      <c r="FU34" s="4"/>
      <c r="FV34" s="3">
        <f t="shared" si="83"/>
        <v>0.58586204395259411</v>
      </c>
      <c r="FW34" s="3">
        <f t="shared" si="84"/>
        <v>0.58586204395259411</v>
      </c>
      <c r="FX34" s="4">
        <f t="shared" si="145"/>
        <v>2044</v>
      </c>
      <c r="FY34" s="4">
        <f t="shared" si="85"/>
        <v>45.645683997278788</v>
      </c>
      <c r="FZ34" s="4">
        <f t="shared" si="86"/>
        <v>0</v>
      </c>
      <c r="GA34" s="4">
        <f t="shared" si="87"/>
        <v>0</v>
      </c>
      <c r="GB34" s="4">
        <f t="shared" si="88"/>
        <v>0</v>
      </c>
      <c r="GC34" s="4">
        <f t="shared" ca="1" si="89"/>
        <v>0</v>
      </c>
      <c r="GD34" s="4">
        <f t="shared" ca="1" si="90"/>
        <v>0</v>
      </c>
      <c r="GE34" s="4">
        <f t="shared" ca="1" si="91"/>
        <v>0</v>
      </c>
      <c r="GF34" s="4">
        <f t="shared" ca="1" si="92"/>
        <v>0</v>
      </c>
      <c r="GG34" s="18" t="e">
        <f t="shared" ca="1" si="93"/>
        <v>#NAME?</v>
      </c>
      <c r="GH34" s="18" t="e">
        <f t="shared" ca="1" si="94"/>
        <v>#NAME?</v>
      </c>
      <c r="GI34" s="4"/>
      <c r="GJ34" s="4">
        <f t="shared" si="95"/>
        <v>2044</v>
      </c>
      <c r="GK34" s="4">
        <f t="shared" ca="1" si="96"/>
        <v>419.12598348823371</v>
      </c>
      <c r="GL34" s="4">
        <f t="shared" ca="1" si="97"/>
        <v>100.43023219994843</v>
      </c>
      <c r="GM34" s="4">
        <f t="shared" ca="1" si="98"/>
        <v>104.59790436059583</v>
      </c>
      <c r="GN34" s="4">
        <f t="shared" ca="1" si="99"/>
        <v>0</v>
      </c>
      <c r="GO34" s="4"/>
      <c r="GP34" s="3">
        <f t="shared" ca="1" si="146"/>
        <v>0.80028044015668898</v>
      </c>
      <c r="GQ34" s="3">
        <f t="shared" ca="1" si="100"/>
        <v>0</v>
      </c>
      <c r="GR34" s="3">
        <f t="shared" ca="1" si="101"/>
        <v>0</v>
      </c>
      <c r="GS34" s="3">
        <f t="shared" ca="1" si="102"/>
        <v>0.19971955984331105</v>
      </c>
      <c r="GT34" s="3">
        <f t="array" aca="1" ref="GT34" ca="1">SUM(GP34:GS34*$GU$6:$GX$6)</f>
        <v>1</v>
      </c>
      <c r="GU34" s="3">
        <f t="shared" ca="1" si="147"/>
        <v>0.80028044015668898</v>
      </c>
      <c r="GV34" s="3">
        <f t="shared" ca="1" si="148"/>
        <v>0</v>
      </c>
      <c r="GW34" s="3">
        <f t="shared" ca="1" si="149"/>
        <v>0</v>
      </c>
      <c r="GX34" s="3">
        <f t="shared" ca="1" si="150"/>
        <v>0.19971955984331105</v>
      </c>
      <c r="GY34" s="11"/>
      <c r="GZ34" s="27">
        <v>76</v>
      </c>
      <c r="HA34" s="30">
        <v>5.9799999999999999E-2</v>
      </c>
      <c r="HB34" s="29">
        <f t="shared" ca="1" si="151"/>
        <v>0.1066</v>
      </c>
      <c r="HC34" s="29">
        <v>0.1066</v>
      </c>
      <c r="HD34" s="29">
        <v>9.8000000000000004E-2</v>
      </c>
      <c r="HE34" s="29">
        <v>8.72E-2</v>
      </c>
      <c r="HG34" s="27">
        <v>74</v>
      </c>
      <c r="HH34" s="30">
        <v>5.67E-2</v>
      </c>
      <c r="HJ34">
        <f t="shared" si="153"/>
        <v>2037</v>
      </c>
      <c r="HK34" s="28">
        <f t="shared" si="163"/>
        <v>38450</v>
      </c>
      <c r="HL34" s="27">
        <f t="shared" si="155"/>
        <v>8500</v>
      </c>
      <c r="HM34" s="28">
        <f t="shared" si="156"/>
        <v>8336.1648914385714</v>
      </c>
      <c r="HQ34" s="28">
        <v>900000</v>
      </c>
      <c r="HR34" s="28">
        <v>500000</v>
      </c>
      <c r="HS34" s="28">
        <v>500000</v>
      </c>
      <c r="HT34" s="28">
        <v>500000</v>
      </c>
      <c r="HU34" s="28">
        <v>500000</v>
      </c>
      <c r="HV34" s="28">
        <v>500000</v>
      </c>
      <c r="HW34" s="28">
        <v>500000</v>
      </c>
      <c r="HX34" s="28">
        <v>500000</v>
      </c>
      <c r="HY34" s="28">
        <v>500000</v>
      </c>
      <c r="HZ34" s="27">
        <v>500000</v>
      </c>
      <c r="IA34" s="27">
        <v>500000</v>
      </c>
      <c r="IB34" s="28">
        <v>900000</v>
      </c>
      <c r="IC34" s="28">
        <v>500000</v>
      </c>
      <c r="ID34" s="28">
        <v>500000</v>
      </c>
      <c r="IE34" s="28">
        <v>900000</v>
      </c>
      <c r="IF34" s="28">
        <v>900000</v>
      </c>
      <c r="IG34" s="28">
        <v>900000</v>
      </c>
    </row>
    <row r="35" spans="1:241" x14ac:dyDescent="0.25">
      <c r="A35" t="s">
        <v>63</v>
      </c>
      <c r="B35" s="62">
        <f>Inputs_Summary!AK32</f>
        <v>0</v>
      </c>
      <c r="D35">
        <f t="shared" si="106"/>
        <v>2045</v>
      </c>
      <c r="E35">
        <f t="shared" si="106"/>
        <v>50</v>
      </c>
      <c r="F35" s="8"/>
      <c r="G35" s="8"/>
      <c r="H35" s="9"/>
      <c r="I35" s="8"/>
      <c r="J35" s="92"/>
      <c r="K35" s="91"/>
      <c r="L35" s="91"/>
      <c r="N35" s="93">
        <f t="shared" si="107"/>
        <v>0.05</v>
      </c>
      <c r="O35" s="23">
        <f t="shared" si="108"/>
        <v>0</v>
      </c>
      <c r="P35" s="23">
        <f t="shared" si="109"/>
        <v>0.4</v>
      </c>
      <c r="Q35" s="4">
        <f t="shared" si="0"/>
        <v>0</v>
      </c>
      <c r="R35" s="4">
        <f t="shared" si="110"/>
        <v>0</v>
      </c>
      <c r="S35" s="4">
        <f t="shared" si="1"/>
        <v>0</v>
      </c>
      <c r="T35" s="4">
        <f t="shared" ca="1" si="2"/>
        <v>0</v>
      </c>
      <c r="V35" s="18" t="e">
        <f t="shared" ca="1" si="3"/>
        <v>#NAME?</v>
      </c>
      <c r="W35" s="18" t="e">
        <f t="shared" ca="1" si="4"/>
        <v>#NAME?</v>
      </c>
      <c r="X35" s="18">
        <f t="shared" si="5"/>
        <v>0</v>
      </c>
      <c r="Y35" s="18">
        <f t="shared" ca="1" si="6"/>
        <v>5.5043324820247932</v>
      </c>
      <c r="Z35" s="18">
        <f t="shared" ca="1" si="7"/>
        <v>2.7521662410123966</v>
      </c>
      <c r="AA35" s="18">
        <f t="shared" ca="1" si="8"/>
        <v>4.6349300306111267</v>
      </c>
      <c r="AB35" s="18">
        <f t="shared" ca="1" si="9"/>
        <v>0</v>
      </c>
      <c r="AC35" s="18">
        <f t="shared" ca="1" si="10"/>
        <v>442.81980260027331</v>
      </c>
      <c r="AD35" s="18">
        <f t="shared" ca="1" si="11"/>
        <v>106.06910279390449</v>
      </c>
      <c r="AE35" s="18">
        <f t="shared" ca="1" si="12"/>
        <v>112.09574135394358</v>
      </c>
      <c r="AF35" s="18">
        <f t="shared" ca="1" si="13"/>
        <v>0</v>
      </c>
      <c r="AG35" s="18">
        <f t="shared" ca="1" si="14"/>
        <v>660.98464674812135</v>
      </c>
      <c r="AI35">
        <f>Person1!E35</f>
        <v>50</v>
      </c>
      <c r="AJ35">
        <f>Person1!AZ35</f>
        <v>1</v>
      </c>
      <c r="AK35">
        <f>IF(AZ35&lt;&gt;3,Person1!FM35,0)</f>
        <v>0</v>
      </c>
      <c r="AL35" s="4">
        <f ca="1">IF($AZ35&lt;&gt;3,Person1!FN35+Person1!FT35,0)</f>
        <v>10753.260075965121</v>
      </c>
      <c r="AM35">
        <f>IF($AZ35&lt;&gt;3,Person1!FO35,0)</f>
        <v>0</v>
      </c>
      <c r="AN35">
        <f>IF($AZ35&lt;&gt;3,Person1!FP35,0)</f>
        <v>0</v>
      </c>
      <c r="AO35">
        <f>IF($AZ35&lt;&gt;3,Person1!FQ35,0)</f>
        <v>0</v>
      </c>
      <c r="AP35">
        <f>IF($AZ35&lt;&gt;3,Person1!FR35,0)</f>
        <v>0</v>
      </c>
      <c r="AQ35" s="4">
        <f t="shared" si="15"/>
        <v>0</v>
      </c>
      <c r="AR35" s="4">
        <f>Person1!FS35</f>
        <v>0</v>
      </c>
      <c r="AS35" s="4">
        <f>$B$41*MAX(0,CHOOSE($AZ35,0,IF(AND(Person1!AW35&gt;=Person1!$B$36,AV35&gt;=$B$93),Person1!$B$35*(1+Person1!$B$37)^(Person1!$B$36-Person1!$B$11)*(1+Person1!$B$38)^(Person1!AW35-Person1!$B$36)-CHOOSE(Person1!$B$39+1,0,BD35,BE35,BD35+BE35),0),0,0))</f>
        <v>0</v>
      </c>
      <c r="AT35" s="4">
        <f t="shared" si="16"/>
        <v>0</v>
      </c>
      <c r="AV35">
        <f t="shared" si="162"/>
        <v>2045</v>
      </c>
      <c r="AW35">
        <f t="shared" si="162"/>
        <v>50</v>
      </c>
      <c r="AX35">
        <f t="shared" si="112"/>
        <v>1.7410242061739281</v>
      </c>
      <c r="AY35">
        <f t="shared" si="113"/>
        <v>0.57437455289470007</v>
      </c>
      <c r="AZ35">
        <f t="shared" si="114"/>
        <v>1</v>
      </c>
      <c r="BB35" s="4">
        <f t="shared" si="17"/>
        <v>79859.800750288196</v>
      </c>
      <c r="BC35">
        <f t="shared" si="18"/>
        <v>0</v>
      </c>
      <c r="BD35" s="4">
        <f t="shared" si="19"/>
        <v>0</v>
      </c>
      <c r="BE35" s="4">
        <f t="shared" si="115"/>
        <v>0</v>
      </c>
      <c r="BF35" s="4">
        <f t="shared" si="116"/>
        <v>0</v>
      </c>
      <c r="BG35" s="4">
        <f t="shared" si="117"/>
        <v>0</v>
      </c>
      <c r="BH35" s="4">
        <f t="shared" si="20"/>
        <v>0</v>
      </c>
      <c r="BI35" s="4">
        <f t="shared" si="118"/>
        <v>79859.800750288196</v>
      </c>
      <c r="BJ35" s="4"/>
      <c r="BK35" s="4">
        <f t="shared" si="21"/>
        <v>43525.605154348203</v>
      </c>
      <c r="BL35" s="4">
        <f t="shared" si="119"/>
        <v>0</v>
      </c>
      <c r="BM35" s="4">
        <f t="shared" si="120"/>
        <v>43525.605154348203</v>
      </c>
      <c r="BN35" s="4">
        <v>13889.90608367168</v>
      </c>
      <c r="BO35" s="4">
        <f t="shared" si="121"/>
        <v>57415.511238019884</v>
      </c>
      <c r="BP35" s="4">
        <f t="shared" si="122"/>
        <v>22444.289512268311</v>
      </c>
      <c r="BQ35" s="4"/>
      <c r="BR35" s="4">
        <v>0</v>
      </c>
      <c r="BS35" s="4">
        <f t="shared" ca="1" si="22"/>
        <v>14374.764135051875</v>
      </c>
      <c r="BT35" s="4">
        <f t="shared" ca="1" si="23"/>
        <v>109361.81908318061</v>
      </c>
      <c r="BU35" s="4">
        <f t="shared" si="24"/>
        <v>0</v>
      </c>
      <c r="BV35" s="4">
        <f t="shared" si="25"/>
        <v>1</v>
      </c>
      <c r="BW35" s="4">
        <f t="shared" ca="1" si="26"/>
        <v>0</v>
      </c>
      <c r="BX35" s="4">
        <f t="shared" ca="1" si="27"/>
        <v>0</v>
      </c>
      <c r="BY35" s="4">
        <f t="shared" ca="1" si="28"/>
        <v>0</v>
      </c>
      <c r="BZ35" s="4">
        <f t="shared" ca="1" si="29"/>
        <v>0</v>
      </c>
      <c r="CA35" s="4">
        <f t="shared" ca="1" si="30"/>
        <v>0</v>
      </c>
      <c r="CB35" s="4">
        <f t="shared" ca="1" si="154"/>
        <v>0</v>
      </c>
      <c r="CC35" s="4"/>
      <c r="CD35" s="4">
        <f t="shared" ca="1" si="31"/>
        <v>79859.800750288196</v>
      </c>
      <c r="CE35" s="4">
        <f t="shared" ca="1" si="123"/>
        <v>60403.511725867356</v>
      </c>
      <c r="CF35" s="16">
        <f t="shared" si="32"/>
        <v>0</v>
      </c>
      <c r="CG35" s="4">
        <f t="shared" si="33"/>
        <v>5081.5248893689632</v>
      </c>
      <c r="CH35" s="4" t="e">
        <f t="shared" ca="1" si="34"/>
        <v>#NAME?</v>
      </c>
      <c r="CI35" s="4" t="e">
        <f t="shared" ca="1" si="35"/>
        <v>#NAME?</v>
      </c>
      <c r="CJ35" s="4" t="e">
        <f t="shared" ca="1" si="124"/>
        <v>#NAME?</v>
      </c>
      <c r="CK35" s="4" t="e">
        <f t="shared" ca="1" si="125"/>
        <v>#NAME?</v>
      </c>
      <c r="CL35" s="4" t="e">
        <f t="shared" ca="1" si="36"/>
        <v>#NAME?</v>
      </c>
      <c r="CM35" s="16"/>
      <c r="CN35" s="4">
        <f t="shared" si="37"/>
        <v>0</v>
      </c>
      <c r="CO35" s="4">
        <f t="shared" si="38"/>
        <v>0</v>
      </c>
      <c r="CP35" s="4">
        <f t="shared" ca="1" si="39"/>
        <v>1150790.2698978023</v>
      </c>
      <c r="CQ35" s="4"/>
      <c r="CR35" s="4">
        <f t="shared" ca="1" si="40"/>
        <v>22444.289512268311</v>
      </c>
      <c r="CS35" s="4">
        <f t="shared" ca="1" si="41"/>
        <v>45050</v>
      </c>
      <c r="CT35" s="4">
        <f t="shared" ca="1" si="42"/>
        <v>14374.764135051875</v>
      </c>
      <c r="CU35" s="4"/>
      <c r="CV35" s="4">
        <f t="shared" ca="1" si="126"/>
        <v>22444.289512268311</v>
      </c>
      <c r="CW35" s="4">
        <f t="shared" ca="1" si="43"/>
        <v>4791.5880450172917</v>
      </c>
      <c r="CX35" s="4">
        <f t="shared" ca="1" si="44"/>
        <v>4791.5880450172917</v>
      </c>
      <c r="CY35" s="4">
        <f t="shared" ca="1" si="127"/>
        <v>17652.701467251019</v>
      </c>
      <c r="CZ35" s="4"/>
      <c r="DA35" s="4">
        <f t="shared" ca="1" si="45"/>
        <v>17652.701467251019</v>
      </c>
      <c r="DB35" s="4">
        <f t="shared" si="46"/>
        <v>0</v>
      </c>
      <c r="DC35" s="4">
        <f t="shared" ca="1" si="128"/>
        <v>4791.5880450172917</v>
      </c>
      <c r="DD35" s="4">
        <f t="shared" ca="1" si="47"/>
        <v>9583.1760900345835</v>
      </c>
      <c r="DE35" s="4">
        <f t="shared" ca="1" si="48"/>
        <v>9583.1760900345835</v>
      </c>
      <c r="DF35" s="4">
        <f t="shared" ca="1" si="129"/>
        <v>0</v>
      </c>
      <c r="DG35" s="4">
        <f t="shared" ca="1" si="130"/>
        <v>9583.1760900345835</v>
      </c>
      <c r="DH35" s="4">
        <f t="shared" ca="1" si="49"/>
        <v>0</v>
      </c>
      <c r="DI35" s="4"/>
      <c r="DJ35" s="4">
        <f t="shared" ca="1" si="50"/>
        <v>8069.525377216436</v>
      </c>
      <c r="DK35" s="4">
        <f t="shared" ca="1" si="51"/>
        <v>10000</v>
      </c>
      <c r="DL35" s="4">
        <f t="shared" ca="1" si="52"/>
        <v>10000</v>
      </c>
      <c r="DM35" s="4">
        <f t="shared" ca="1" si="53"/>
        <v>109361.81908318061</v>
      </c>
      <c r="DN35" s="4">
        <f t="shared" ca="1" si="54"/>
        <v>8069.525377216436</v>
      </c>
      <c r="DO35" s="4">
        <f t="shared" ca="1" si="55"/>
        <v>101292.29370596417</v>
      </c>
      <c r="DP35" s="4"/>
      <c r="DQ35" s="4">
        <f t="shared" ca="1" si="56"/>
        <v>0</v>
      </c>
      <c r="DR35" s="4"/>
      <c r="DS35" s="4">
        <f t="shared" si="131"/>
        <v>0</v>
      </c>
      <c r="DT35" s="4">
        <f t="shared" si="57"/>
        <v>0</v>
      </c>
      <c r="DU35" s="4">
        <f t="shared" si="58"/>
        <v>0</v>
      </c>
      <c r="DV35" s="4"/>
      <c r="DW35" s="4">
        <f t="shared" ca="1" si="132"/>
        <v>770959.99530023627</v>
      </c>
      <c r="DX35" s="4">
        <f t="shared" ca="1" si="59"/>
        <v>20336.436165999705</v>
      </c>
      <c r="DY35" s="4">
        <f t="shared" ca="1" si="133"/>
        <v>38547.999765011817</v>
      </c>
      <c r="DZ35" s="4">
        <f t="shared" ca="1" si="60"/>
        <v>0</v>
      </c>
      <c r="EA35" s="4">
        <f t="shared" ca="1" si="61"/>
        <v>0</v>
      </c>
      <c r="EB35" s="4">
        <f t="shared" ca="1" si="62"/>
        <v>809507.99506524811</v>
      </c>
      <c r="EC35" s="4">
        <f t="shared" si="63"/>
        <v>1</v>
      </c>
      <c r="ED35" s="4"/>
      <c r="EE35" s="4">
        <f t="shared" ca="1" si="134"/>
        <v>184668.87549133832</v>
      </c>
      <c r="EF35" s="4">
        <f t="shared" ca="1" si="64"/>
        <v>4791.5880450172917</v>
      </c>
      <c r="EG35" s="4">
        <f t="shared" ca="1" si="135"/>
        <v>9233.4437745669165</v>
      </c>
      <c r="EH35" s="4">
        <f t="shared" ca="1" si="65"/>
        <v>0</v>
      </c>
      <c r="EI35" s="4">
        <f t="shared" ca="1" si="66"/>
        <v>0</v>
      </c>
      <c r="EJ35" s="4">
        <f t="shared" ca="1" si="67"/>
        <v>0</v>
      </c>
      <c r="EK35" s="4">
        <f t="shared" si="68"/>
        <v>1</v>
      </c>
      <c r="EL35" s="4">
        <f t="shared" si="69"/>
        <v>0</v>
      </c>
      <c r="EM35" s="4"/>
      <c r="EN35" s="4">
        <f t="shared" ca="1" si="136"/>
        <v>195161.39910622756</v>
      </c>
      <c r="EO35" s="4">
        <f t="shared" ca="1" si="70"/>
        <v>8069.525377216436</v>
      </c>
      <c r="EP35" s="4">
        <f t="shared" ca="1" si="137"/>
        <v>9758.0699553113791</v>
      </c>
      <c r="EQ35" s="4">
        <f t="shared" ca="1" si="71"/>
        <v>0</v>
      </c>
      <c r="ER35" s="4">
        <v>0</v>
      </c>
      <c r="ES35" s="4">
        <f t="shared" ca="1" si="138"/>
        <v>204919.46906153893</v>
      </c>
      <c r="ET35" s="4"/>
      <c r="EU35" s="4">
        <f t="shared" ca="1" si="139"/>
        <v>0</v>
      </c>
      <c r="EV35" s="4">
        <f t="shared" ca="1" si="72"/>
        <v>0</v>
      </c>
      <c r="EW35" s="4">
        <f t="shared" ca="1" si="140"/>
        <v>0</v>
      </c>
      <c r="EX35" s="4">
        <f t="shared" ca="1" si="73"/>
        <v>0</v>
      </c>
      <c r="EY35" s="4">
        <v>0</v>
      </c>
      <c r="EZ35" s="4">
        <f t="shared" ca="1" si="141"/>
        <v>0</v>
      </c>
      <c r="FA35" s="4">
        <f t="shared" ca="1" si="142"/>
        <v>0</v>
      </c>
      <c r="FB35" s="1">
        <f t="shared" ca="1" si="74"/>
        <v>0</v>
      </c>
      <c r="FC35" s="4">
        <f t="shared" ca="1" si="143"/>
        <v>0</v>
      </c>
      <c r="FD35" s="4">
        <f t="shared" ca="1" si="144"/>
        <v>0</v>
      </c>
      <c r="FE35" s="4">
        <f t="shared" ca="1" si="75"/>
        <v>0</v>
      </c>
      <c r="FF35" s="4">
        <f t="shared" ca="1" si="76"/>
        <v>0</v>
      </c>
      <c r="FG35" s="4">
        <f t="shared" ca="1" si="77"/>
        <v>0</v>
      </c>
      <c r="FH35" s="17">
        <f t="shared" ca="1" si="78"/>
        <v>0</v>
      </c>
      <c r="FI35" s="4">
        <f t="shared" ca="1" si="79"/>
        <v>0</v>
      </c>
      <c r="FJ35" s="4"/>
      <c r="FK35" s="4">
        <f t="shared" ca="1" si="80"/>
        <v>1014427.464126787</v>
      </c>
      <c r="FL35" s="4"/>
      <c r="FM35" s="4">
        <v>0</v>
      </c>
      <c r="FN35" s="4">
        <v>0</v>
      </c>
      <c r="FO35" s="4">
        <v>0</v>
      </c>
      <c r="FP35" s="4">
        <v>0</v>
      </c>
      <c r="FQ35" s="4">
        <v>0</v>
      </c>
      <c r="FR35" s="4">
        <v>0</v>
      </c>
      <c r="FS35" s="4">
        <f t="shared" si="81"/>
        <v>0</v>
      </c>
      <c r="FT35" s="4">
        <f t="shared" ca="1" si="82"/>
        <v>0</v>
      </c>
      <c r="FU35" s="4"/>
      <c r="FV35" s="3">
        <f t="shared" si="83"/>
        <v>0.57437455289470007</v>
      </c>
      <c r="FW35" s="3">
        <f t="shared" si="84"/>
        <v>0.57437455289470007</v>
      </c>
      <c r="FX35" s="4">
        <f t="shared" si="145"/>
        <v>2045</v>
      </c>
      <c r="FY35" s="4">
        <f t="shared" si="85"/>
        <v>45.869437350206617</v>
      </c>
      <c r="FZ35" s="4">
        <f t="shared" si="86"/>
        <v>0</v>
      </c>
      <c r="GA35" s="4">
        <f t="shared" si="87"/>
        <v>0</v>
      </c>
      <c r="GB35" s="4">
        <f t="shared" si="88"/>
        <v>0</v>
      </c>
      <c r="GC35" s="4">
        <f t="shared" ca="1" si="89"/>
        <v>0</v>
      </c>
      <c r="GD35" s="4">
        <f t="shared" ca="1" si="90"/>
        <v>0</v>
      </c>
      <c r="GE35" s="4">
        <f t="shared" ca="1" si="91"/>
        <v>0</v>
      </c>
      <c r="GF35" s="4">
        <f t="shared" ca="1" si="92"/>
        <v>0</v>
      </c>
      <c r="GG35" s="18" t="e">
        <f t="shared" ca="1" si="93"/>
        <v>#NAME?</v>
      </c>
      <c r="GH35" s="18" t="e">
        <f t="shared" ca="1" si="94"/>
        <v>#NAME?</v>
      </c>
      <c r="GI35" s="4"/>
      <c r="GJ35" s="4">
        <f t="shared" si="95"/>
        <v>2045</v>
      </c>
      <c r="GK35" s="4">
        <f t="shared" ca="1" si="96"/>
        <v>442.81980260027331</v>
      </c>
      <c r="GL35" s="4">
        <f t="shared" ca="1" si="97"/>
        <v>106.06910279390449</v>
      </c>
      <c r="GM35" s="4">
        <f t="shared" ca="1" si="98"/>
        <v>112.09574135394358</v>
      </c>
      <c r="GN35" s="4">
        <f t="shared" ca="1" si="99"/>
        <v>0</v>
      </c>
      <c r="GO35" s="4"/>
      <c r="GP35" s="3">
        <f t="shared" ca="1" si="146"/>
        <v>0.79799495152871047</v>
      </c>
      <c r="GQ35" s="3">
        <f t="shared" ca="1" si="100"/>
        <v>0</v>
      </c>
      <c r="GR35" s="3">
        <f t="shared" ca="1" si="101"/>
        <v>0</v>
      </c>
      <c r="GS35" s="3">
        <f t="shared" ca="1" si="102"/>
        <v>0.20200504847128953</v>
      </c>
      <c r="GT35" s="3">
        <f t="array" aca="1" ref="GT35" ca="1">SUM(GP35:GS35*$GU$6:$GX$6)</f>
        <v>1</v>
      </c>
      <c r="GU35" s="3">
        <f t="shared" ca="1" si="147"/>
        <v>0.79799495152871047</v>
      </c>
      <c r="GV35" s="3">
        <f t="shared" ca="1" si="148"/>
        <v>0</v>
      </c>
      <c r="GW35" s="3">
        <f t="shared" ca="1" si="149"/>
        <v>0</v>
      </c>
      <c r="GX35" s="3">
        <f t="shared" ca="1" si="150"/>
        <v>0.20200504847128953</v>
      </c>
      <c r="GY35" s="11"/>
      <c r="GZ35" s="27">
        <v>77</v>
      </c>
      <c r="HA35" s="30">
        <v>6.1699999999999998E-2</v>
      </c>
      <c r="HB35" s="29">
        <f t="shared" ca="1" si="151"/>
        <v>0.1125</v>
      </c>
      <c r="HC35" s="29">
        <v>0.1125</v>
      </c>
      <c r="HD35" s="29">
        <v>0.10299999999999999</v>
      </c>
      <c r="HE35" s="29">
        <v>9.35E-2</v>
      </c>
      <c r="HG35" s="27">
        <v>75</v>
      </c>
      <c r="HH35" s="30">
        <v>5.8200000000000002E-2</v>
      </c>
      <c r="HJ35">
        <f t="shared" si="153"/>
        <v>2038</v>
      </c>
      <c r="HK35" s="28">
        <f t="shared" si="163"/>
        <v>39220</v>
      </c>
      <c r="HL35" s="27">
        <f t="shared" si="155"/>
        <v>8500</v>
      </c>
      <c r="HM35" s="28">
        <f t="shared" si="156"/>
        <v>8502.8881892673435</v>
      </c>
      <c r="HQ35" s="28">
        <v>1000000</v>
      </c>
      <c r="HR35" s="27">
        <v>1000000</v>
      </c>
      <c r="HS35" s="27">
        <v>1000000</v>
      </c>
      <c r="HT35" s="27">
        <v>1000000</v>
      </c>
      <c r="HU35" s="27">
        <v>1000000</v>
      </c>
      <c r="HV35" s="27">
        <v>1000000</v>
      </c>
      <c r="HW35" s="27">
        <v>1000000</v>
      </c>
      <c r="HX35" s="27">
        <v>1000000</v>
      </c>
      <c r="HY35" s="27">
        <v>1000000</v>
      </c>
      <c r="HZ35" s="28">
        <v>1000000</v>
      </c>
      <c r="IA35" s="27">
        <v>1000000</v>
      </c>
      <c r="IB35" s="27">
        <v>1000000</v>
      </c>
      <c r="IC35" s="27">
        <v>1000000</v>
      </c>
      <c r="ID35" s="27">
        <v>1000000</v>
      </c>
      <c r="IE35" s="28">
        <v>1000000</v>
      </c>
      <c r="IF35" s="28">
        <v>1000000</v>
      </c>
      <c r="IG35" s="28">
        <v>1000000</v>
      </c>
    </row>
    <row r="36" spans="1:241" x14ac:dyDescent="0.25">
      <c r="A36" t="s">
        <v>64</v>
      </c>
      <c r="B36" s="62">
        <f>Inputs_Summary!AK33</f>
        <v>60</v>
      </c>
      <c r="D36">
        <f t="shared" si="106"/>
        <v>2046</v>
      </c>
      <c r="E36">
        <f t="shared" si="106"/>
        <v>51</v>
      </c>
      <c r="F36" s="8"/>
      <c r="G36" s="8"/>
      <c r="H36" s="9"/>
      <c r="I36" s="8"/>
      <c r="J36" s="92"/>
      <c r="K36" s="91"/>
      <c r="L36" s="91"/>
      <c r="N36" s="93">
        <f t="shared" si="107"/>
        <v>0.05</v>
      </c>
      <c r="O36" s="23">
        <f t="shared" si="108"/>
        <v>0</v>
      </c>
      <c r="P36" s="23">
        <f t="shared" si="109"/>
        <v>0.4</v>
      </c>
      <c r="Q36" s="4">
        <f t="shared" si="0"/>
        <v>0</v>
      </c>
      <c r="R36" s="4">
        <f t="shared" si="110"/>
        <v>0</v>
      </c>
      <c r="S36" s="4">
        <f t="shared" si="1"/>
        <v>0</v>
      </c>
      <c r="T36" s="4">
        <f t="shared" ca="1" si="2"/>
        <v>0</v>
      </c>
      <c r="V36" s="18" t="e">
        <f t="shared" ca="1" si="3"/>
        <v>#NAME?</v>
      </c>
      <c r="W36" s="18" t="e">
        <f t="shared" ca="1" si="4"/>
        <v>#NAME?</v>
      </c>
      <c r="X36" s="18">
        <f t="shared" si="5"/>
        <v>0</v>
      </c>
      <c r="Y36" s="18">
        <f t="shared" ca="1" si="6"/>
        <v>5.5313145039955023</v>
      </c>
      <c r="Z36" s="18">
        <f t="shared" ca="1" si="7"/>
        <v>2.7656572519977516</v>
      </c>
      <c r="AA36" s="18">
        <f t="shared" ca="1" si="8"/>
        <v>4.7606531485683696</v>
      </c>
      <c r="AB36" s="18">
        <f t="shared" ca="1" si="9"/>
        <v>0</v>
      </c>
      <c r="AC36" s="18">
        <f t="shared" ca="1" si="10"/>
        <v>467.29561192216141</v>
      </c>
      <c r="AD36" s="18">
        <f t="shared" ca="1" si="11"/>
        <v>111.88698448491382</v>
      </c>
      <c r="AE36" s="18">
        <f t="shared" ca="1" si="12"/>
        <v>119.93672397279593</v>
      </c>
      <c r="AF36" s="18">
        <f t="shared" ca="1" si="13"/>
        <v>0</v>
      </c>
      <c r="AG36" s="18">
        <f t="shared" ca="1" si="14"/>
        <v>699.11932037987117</v>
      </c>
      <c r="AI36">
        <f>Person1!E36</f>
        <v>51</v>
      </c>
      <c r="AJ36">
        <f>Person1!AZ36</f>
        <v>1</v>
      </c>
      <c r="AK36">
        <f>IF(AZ36&lt;&gt;3,Person1!FM36,0)</f>
        <v>0</v>
      </c>
      <c r="AL36" s="4">
        <f ca="1">IF($AZ36&lt;&gt;3,Person1!FN36+Person1!FT36,0)</f>
        <v>11075.857878244075</v>
      </c>
      <c r="AM36">
        <f>IF($AZ36&lt;&gt;3,Person1!FO36,0)</f>
        <v>0</v>
      </c>
      <c r="AN36">
        <f>IF($AZ36&lt;&gt;3,Person1!FP36,0)</f>
        <v>0</v>
      </c>
      <c r="AO36">
        <f>IF($AZ36&lt;&gt;3,Person1!FQ36,0)</f>
        <v>0</v>
      </c>
      <c r="AP36">
        <f>IF($AZ36&lt;&gt;3,Person1!FR36,0)</f>
        <v>0</v>
      </c>
      <c r="AQ36" s="4">
        <f t="shared" si="15"/>
        <v>0</v>
      </c>
      <c r="AR36" s="4">
        <f>Person1!FS36</f>
        <v>0</v>
      </c>
      <c r="AS36" s="4">
        <f>$B$41*MAX(0,CHOOSE($AZ36,0,IF(AND(Person1!AW36&gt;=Person1!$B$36,AV36&gt;=$B$93),Person1!$B$35*(1+Person1!$B$37)^(Person1!$B$36-Person1!$B$11)*(1+Person1!$B$38)^(Person1!AW36-Person1!$B$36)-CHOOSE(Person1!$B$39+1,0,BD36,BE36,BD36+BE36),0),0,0))</f>
        <v>0</v>
      </c>
      <c r="AT36" s="4">
        <f t="shared" si="16"/>
        <v>0</v>
      </c>
      <c r="AV36">
        <f t="shared" si="162"/>
        <v>2046</v>
      </c>
      <c r="AW36">
        <f t="shared" si="162"/>
        <v>51</v>
      </c>
      <c r="AX36">
        <f t="shared" si="112"/>
        <v>1.7758446902974065</v>
      </c>
      <c r="AY36">
        <f t="shared" si="113"/>
        <v>0.56311230675950985</v>
      </c>
      <c r="AZ36">
        <f t="shared" si="114"/>
        <v>1</v>
      </c>
      <c r="BB36" s="4">
        <f t="shared" si="17"/>
        <v>81856.295769045406</v>
      </c>
      <c r="BC36">
        <f t="shared" si="18"/>
        <v>0</v>
      </c>
      <c r="BD36" s="4">
        <f t="shared" si="19"/>
        <v>0</v>
      </c>
      <c r="BE36" s="4">
        <f t="shared" si="115"/>
        <v>0</v>
      </c>
      <c r="BF36" s="4">
        <f t="shared" si="116"/>
        <v>0</v>
      </c>
      <c r="BG36" s="4">
        <f t="shared" si="117"/>
        <v>0</v>
      </c>
      <c r="BH36" s="4">
        <f t="shared" si="20"/>
        <v>0</v>
      </c>
      <c r="BI36" s="4">
        <f t="shared" si="118"/>
        <v>81856.295769045406</v>
      </c>
      <c r="BJ36" s="4"/>
      <c r="BK36" s="4">
        <f t="shared" si="21"/>
        <v>44396.117257435166</v>
      </c>
      <c r="BL36" s="4">
        <f t="shared" si="119"/>
        <v>0</v>
      </c>
      <c r="BM36" s="4">
        <f t="shared" si="120"/>
        <v>44396.117257435166</v>
      </c>
      <c r="BN36" s="4">
        <v>14271.864656949299</v>
      </c>
      <c r="BO36" s="4">
        <f t="shared" si="121"/>
        <v>58667.981914384465</v>
      </c>
      <c r="BP36" s="4">
        <f t="shared" si="122"/>
        <v>23188.313854660941</v>
      </c>
      <c r="BQ36" s="4"/>
      <c r="BR36" s="4">
        <v>0</v>
      </c>
      <c r="BS36" s="4">
        <f t="shared" ca="1" si="22"/>
        <v>14734.133238428172</v>
      </c>
      <c r="BT36" s="4">
        <f t="shared" ca="1" si="23"/>
        <v>111292.29370596417</v>
      </c>
      <c r="BU36" s="4">
        <f t="shared" si="24"/>
        <v>0</v>
      </c>
      <c r="BV36" s="4">
        <f t="shared" si="25"/>
        <v>1</v>
      </c>
      <c r="BW36" s="4">
        <f t="shared" ca="1" si="26"/>
        <v>0</v>
      </c>
      <c r="BX36" s="4">
        <f t="shared" ca="1" si="27"/>
        <v>0</v>
      </c>
      <c r="BY36" s="4">
        <f t="shared" ca="1" si="28"/>
        <v>0</v>
      </c>
      <c r="BZ36" s="4">
        <f t="shared" ca="1" si="29"/>
        <v>0</v>
      </c>
      <c r="CA36" s="4">
        <f t="shared" ca="1" si="30"/>
        <v>0</v>
      </c>
      <c r="CB36" s="4">
        <f t="shared" ca="1" si="154"/>
        <v>0</v>
      </c>
      <c r="CC36" s="4"/>
      <c r="CD36" s="4">
        <f t="shared" ca="1" si="31"/>
        <v>81856.295769045406</v>
      </c>
      <c r="CE36" s="4">
        <f t="shared" ca="1" si="123"/>
        <v>61909.26826901405</v>
      </c>
      <c r="CF36" s="16">
        <f t="shared" si="32"/>
        <v>0</v>
      </c>
      <c r="CG36" s="4">
        <f t="shared" si="33"/>
        <v>5212.8942616031873</v>
      </c>
      <c r="CH36" s="4" t="e">
        <f t="shared" ca="1" si="34"/>
        <v>#NAME?</v>
      </c>
      <c r="CI36" s="4" t="e">
        <f t="shared" ca="1" si="35"/>
        <v>#NAME?</v>
      </c>
      <c r="CJ36" s="4" t="e">
        <f t="shared" ca="1" si="124"/>
        <v>#NAME?</v>
      </c>
      <c r="CK36" s="4" t="e">
        <f t="shared" ca="1" si="125"/>
        <v>#NAME?</v>
      </c>
      <c r="CL36" s="4" t="e">
        <f t="shared" ca="1" si="36"/>
        <v>#NAME?</v>
      </c>
      <c r="CM36" s="16"/>
      <c r="CN36" s="4">
        <f t="shared" si="37"/>
        <v>0</v>
      </c>
      <c r="CO36" s="4">
        <f t="shared" si="38"/>
        <v>0</v>
      </c>
      <c r="CP36" s="4">
        <f t="shared" ca="1" si="39"/>
        <v>1241527.3329809257</v>
      </c>
      <c r="CQ36" s="4"/>
      <c r="CR36" s="4">
        <f t="shared" ca="1" si="40"/>
        <v>23188.313854660941</v>
      </c>
      <c r="CS36" s="4">
        <f t="shared" ca="1" si="41"/>
        <v>45950</v>
      </c>
      <c r="CT36" s="4">
        <f t="shared" ca="1" si="42"/>
        <v>14734.133238428172</v>
      </c>
      <c r="CU36" s="4"/>
      <c r="CV36" s="4">
        <f t="shared" ca="1" si="126"/>
        <v>23188.313854660941</v>
      </c>
      <c r="CW36" s="4">
        <f t="shared" ca="1" si="43"/>
        <v>4911.3777461427244</v>
      </c>
      <c r="CX36" s="4">
        <f t="shared" ca="1" si="44"/>
        <v>4911.3777461427244</v>
      </c>
      <c r="CY36" s="4">
        <f t="shared" ca="1" si="127"/>
        <v>18276.936108518217</v>
      </c>
      <c r="CZ36" s="4"/>
      <c r="DA36" s="4">
        <f t="shared" ca="1" si="45"/>
        <v>18276.936108518217</v>
      </c>
      <c r="DB36" s="4">
        <f t="shared" si="46"/>
        <v>0</v>
      </c>
      <c r="DC36" s="4">
        <f t="shared" ca="1" si="128"/>
        <v>4911.3777461427244</v>
      </c>
      <c r="DD36" s="4">
        <f t="shared" ca="1" si="47"/>
        <v>9822.755492285447</v>
      </c>
      <c r="DE36" s="4">
        <f t="shared" ca="1" si="48"/>
        <v>9822.755492285447</v>
      </c>
      <c r="DF36" s="4">
        <f t="shared" ca="1" si="129"/>
        <v>0</v>
      </c>
      <c r="DG36" s="4">
        <f t="shared" ca="1" si="130"/>
        <v>9822.755492285447</v>
      </c>
      <c r="DH36" s="4">
        <f t="shared" ca="1" si="49"/>
        <v>0</v>
      </c>
      <c r="DI36" s="4"/>
      <c r="DJ36" s="4">
        <f t="shared" ca="1" si="50"/>
        <v>8454.1806162327703</v>
      </c>
      <c r="DK36" s="4">
        <f t="shared" ca="1" si="51"/>
        <v>10000</v>
      </c>
      <c r="DL36" s="4">
        <f t="shared" ca="1" si="52"/>
        <v>10000</v>
      </c>
      <c r="DM36" s="4">
        <f t="shared" ca="1" si="53"/>
        <v>111292.29370596417</v>
      </c>
      <c r="DN36" s="4">
        <f t="shared" ca="1" si="54"/>
        <v>8454.1806162327703</v>
      </c>
      <c r="DO36" s="4">
        <f t="shared" ca="1" si="55"/>
        <v>102838.1130897314</v>
      </c>
      <c r="DP36" s="4"/>
      <c r="DQ36" s="4">
        <f t="shared" ca="1" si="56"/>
        <v>0</v>
      </c>
      <c r="DR36" s="4"/>
      <c r="DS36" s="4">
        <f t="shared" si="131"/>
        <v>0</v>
      </c>
      <c r="DT36" s="4">
        <f t="shared" si="57"/>
        <v>0</v>
      </c>
      <c r="DU36" s="4">
        <f t="shared" si="58"/>
        <v>0</v>
      </c>
      <c r="DV36" s="4"/>
      <c r="DW36" s="4">
        <f t="shared" ca="1" si="132"/>
        <v>829844.43123124784</v>
      </c>
      <c r="DX36" s="4">
        <f t="shared" ca="1" si="59"/>
        <v>20898.613370529521</v>
      </c>
      <c r="DY36" s="4">
        <f t="shared" ca="1" si="133"/>
        <v>41492.221561562394</v>
      </c>
      <c r="DZ36" s="4">
        <f t="shared" ca="1" si="60"/>
        <v>0</v>
      </c>
      <c r="EA36" s="4">
        <f t="shared" ca="1" si="61"/>
        <v>0</v>
      </c>
      <c r="EB36" s="4">
        <f t="shared" ca="1" si="62"/>
        <v>871336.65279281023</v>
      </c>
      <c r="EC36" s="4">
        <f t="shared" si="63"/>
        <v>1</v>
      </c>
      <c r="ED36" s="4"/>
      <c r="EE36" s="4">
        <f t="shared" ca="1" si="134"/>
        <v>198693.90731092254</v>
      </c>
      <c r="EF36" s="4">
        <f t="shared" ca="1" si="64"/>
        <v>4911.3777461427244</v>
      </c>
      <c r="EG36" s="4">
        <f t="shared" ca="1" si="135"/>
        <v>9934.6953655461275</v>
      </c>
      <c r="EH36" s="4">
        <f t="shared" ca="1" si="65"/>
        <v>0</v>
      </c>
      <c r="EI36" s="4">
        <f t="shared" ca="1" si="66"/>
        <v>0</v>
      </c>
      <c r="EJ36" s="4">
        <f t="shared" ca="1" si="67"/>
        <v>0</v>
      </c>
      <c r="EK36" s="4">
        <f t="shared" si="68"/>
        <v>1</v>
      </c>
      <c r="EL36" s="4">
        <f t="shared" si="69"/>
        <v>0</v>
      </c>
      <c r="EM36" s="4"/>
      <c r="EN36" s="4">
        <f t="shared" ca="1" si="136"/>
        <v>212988.99443875536</v>
      </c>
      <c r="EO36" s="4">
        <f t="shared" ca="1" si="70"/>
        <v>8454.1806162327703</v>
      </c>
      <c r="EP36" s="4">
        <f t="shared" ca="1" si="137"/>
        <v>10649.449721937768</v>
      </c>
      <c r="EQ36" s="4">
        <f t="shared" ca="1" si="71"/>
        <v>0</v>
      </c>
      <c r="ER36" s="4">
        <v>0</v>
      </c>
      <c r="ES36" s="4">
        <f t="shared" ca="1" si="138"/>
        <v>223638.44416069312</v>
      </c>
      <c r="ET36" s="4"/>
      <c r="EU36" s="4">
        <f t="shared" ca="1" si="139"/>
        <v>0</v>
      </c>
      <c r="EV36" s="4">
        <f t="shared" ca="1" si="72"/>
        <v>0</v>
      </c>
      <c r="EW36" s="4">
        <f t="shared" ca="1" si="140"/>
        <v>0</v>
      </c>
      <c r="EX36" s="4">
        <f t="shared" ca="1" si="73"/>
        <v>0</v>
      </c>
      <c r="EY36" s="4">
        <v>0</v>
      </c>
      <c r="EZ36" s="4">
        <f t="shared" ca="1" si="141"/>
        <v>0</v>
      </c>
      <c r="FA36" s="4">
        <f t="shared" ca="1" si="142"/>
        <v>0</v>
      </c>
      <c r="FB36" s="1">
        <f t="shared" ca="1" si="74"/>
        <v>0</v>
      </c>
      <c r="FC36" s="4">
        <f t="shared" ca="1" si="143"/>
        <v>0</v>
      </c>
      <c r="FD36" s="4">
        <f t="shared" ca="1" si="144"/>
        <v>0</v>
      </c>
      <c r="FE36" s="4">
        <f t="shared" ca="1" si="75"/>
        <v>0</v>
      </c>
      <c r="FF36" s="4">
        <f t="shared" ca="1" si="76"/>
        <v>0</v>
      </c>
      <c r="FG36" s="4">
        <f t="shared" ca="1" si="77"/>
        <v>0</v>
      </c>
      <c r="FH36" s="17">
        <f t="shared" ca="1" si="78"/>
        <v>0</v>
      </c>
      <c r="FI36" s="4">
        <f t="shared" ca="1" si="79"/>
        <v>0</v>
      </c>
      <c r="FJ36" s="4"/>
      <c r="FK36" s="4">
        <f t="shared" ca="1" si="80"/>
        <v>1094975.0969535033</v>
      </c>
      <c r="FL36" s="4"/>
      <c r="FM36" s="4">
        <v>0</v>
      </c>
      <c r="FN36" s="4">
        <v>0</v>
      </c>
      <c r="FO36" s="4">
        <v>0</v>
      </c>
      <c r="FP36" s="4">
        <v>0</v>
      </c>
      <c r="FQ36" s="4">
        <v>0</v>
      </c>
      <c r="FR36" s="4">
        <v>0</v>
      </c>
      <c r="FS36" s="4">
        <f t="shared" si="81"/>
        <v>0</v>
      </c>
      <c r="FT36" s="4">
        <f t="shared" ca="1" si="82"/>
        <v>0</v>
      </c>
      <c r="FU36" s="4"/>
      <c r="FV36" s="3">
        <f t="shared" si="83"/>
        <v>0.56311230675950985</v>
      </c>
      <c r="FW36" s="3">
        <f t="shared" si="84"/>
        <v>0.56311230675950985</v>
      </c>
      <c r="FX36" s="4">
        <f t="shared" si="145"/>
        <v>2046</v>
      </c>
      <c r="FY36" s="4">
        <f t="shared" si="85"/>
        <v>46.094287533295862</v>
      </c>
      <c r="FZ36" s="4">
        <f t="shared" si="86"/>
        <v>0</v>
      </c>
      <c r="GA36" s="4">
        <f t="shared" si="87"/>
        <v>0</v>
      </c>
      <c r="GB36" s="4">
        <f t="shared" si="88"/>
        <v>0</v>
      </c>
      <c r="GC36" s="4">
        <f t="shared" ca="1" si="89"/>
        <v>0</v>
      </c>
      <c r="GD36" s="4">
        <f t="shared" ca="1" si="90"/>
        <v>0</v>
      </c>
      <c r="GE36" s="4">
        <f t="shared" ca="1" si="91"/>
        <v>0</v>
      </c>
      <c r="GF36" s="4">
        <f t="shared" ca="1" si="92"/>
        <v>0</v>
      </c>
      <c r="GG36" s="18" t="e">
        <f t="shared" ca="1" si="93"/>
        <v>#NAME?</v>
      </c>
      <c r="GH36" s="18" t="e">
        <f t="shared" ca="1" si="94"/>
        <v>#NAME?</v>
      </c>
      <c r="GI36" s="4"/>
      <c r="GJ36" s="4">
        <f t="shared" si="95"/>
        <v>2046</v>
      </c>
      <c r="GK36" s="4">
        <f t="shared" ca="1" si="96"/>
        <v>467.29561192216141</v>
      </c>
      <c r="GL36" s="4">
        <f t="shared" ca="1" si="97"/>
        <v>111.88698448491382</v>
      </c>
      <c r="GM36" s="4">
        <f t="shared" ca="1" si="98"/>
        <v>119.93672397279593</v>
      </c>
      <c r="GN36" s="4">
        <f t="shared" ca="1" si="99"/>
        <v>0</v>
      </c>
      <c r="GO36" s="4"/>
      <c r="GP36" s="3">
        <f t="shared" ca="1" si="146"/>
        <v>0.79575933299039259</v>
      </c>
      <c r="GQ36" s="3">
        <f t="shared" ca="1" si="100"/>
        <v>0</v>
      </c>
      <c r="GR36" s="3">
        <f t="shared" ca="1" si="101"/>
        <v>0</v>
      </c>
      <c r="GS36" s="3">
        <f t="shared" ca="1" si="102"/>
        <v>0.20424066700960747</v>
      </c>
      <c r="GT36" s="3">
        <f t="array" aca="1" ref="GT36" ca="1">SUM(GP36:GS36*$GU$6:$GX$6)</f>
        <v>1</v>
      </c>
      <c r="GU36" s="3">
        <f t="shared" ca="1" si="147"/>
        <v>0.79575933299039259</v>
      </c>
      <c r="GV36" s="3">
        <f t="shared" ca="1" si="148"/>
        <v>0</v>
      </c>
      <c r="GW36" s="3">
        <f t="shared" ca="1" si="149"/>
        <v>0</v>
      </c>
      <c r="GX36" s="3">
        <f t="shared" ca="1" si="150"/>
        <v>0.20424066700960747</v>
      </c>
      <c r="GY36" s="11"/>
      <c r="GZ36" s="27">
        <v>78</v>
      </c>
      <c r="HA36" s="30">
        <v>6.3600000000000004E-2</v>
      </c>
      <c r="HB36" s="29">
        <f t="shared" ca="1" si="151"/>
        <v>0.1196</v>
      </c>
      <c r="HC36" s="29">
        <v>0.1196</v>
      </c>
      <c r="HD36" s="29">
        <v>0.108</v>
      </c>
      <c r="HE36" s="29">
        <v>0.10100000000000001</v>
      </c>
      <c r="HG36" s="27">
        <v>76</v>
      </c>
      <c r="HH36" s="30">
        <v>5.9799999999999999E-2</v>
      </c>
      <c r="HJ36">
        <f t="shared" si="153"/>
        <v>2039</v>
      </c>
      <c r="HK36" s="28">
        <f t="shared" si="163"/>
        <v>40010</v>
      </c>
      <c r="HL36" s="27">
        <f t="shared" si="155"/>
        <v>8500</v>
      </c>
      <c r="HM36" s="28">
        <f t="shared" si="156"/>
        <v>8672.945953052691</v>
      </c>
    </row>
    <row r="37" spans="1:241" x14ac:dyDescent="0.25">
      <c r="A37" t="s">
        <v>200</v>
      </c>
      <c r="B37" s="63">
        <f>Inputs_Summary!AK34</f>
        <v>0.02</v>
      </c>
      <c r="D37">
        <f t="shared" si="106"/>
        <v>2047</v>
      </c>
      <c r="E37">
        <f t="shared" si="106"/>
        <v>52</v>
      </c>
      <c r="F37" s="8"/>
      <c r="G37" s="8"/>
      <c r="H37" s="9"/>
      <c r="I37" s="8"/>
      <c r="J37" s="92"/>
      <c r="K37" s="91"/>
      <c r="L37" s="91"/>
      <c r="N37" s="93">
        <f t="shared" si="107"/>
        <v>0.05</v>
      </c>
      <c r="O37" s="23">
        <f t="shared" si="108"/>
        <v>0</v>
      </c>
      <c r="P37" s="23">
        <f t="shared" si="109"/>
        <v>0.4</v>
      </c>
      <c r="Q37" s="4">
        <f t="shared" si="0"/>
        <v>0</v>
      </c>
      <c r="R37" s="4">
        <f t="shared" si="110"/>
        <v>0</v>
      </c>
      <c r="S37" s="4">
        <f t="shared" si="1"/>
        <v>0</v>
      </c>
      <c r="T37" s="4">
        <f t="shared" ca="1" si="2"/>
        <v>0</v>
      </c>
      <c r="V37" s="18" t="e">
        <f t="shared" ca="1" si="3"/>
        <v>#NAME?</v>
      </c>
      <c r="W37" s="18" t="e">
        <f t="shared" ca="1" si="4"/>
        <v>#NAME?</v>
      </c>
      <c r="X37" s="18">
        <f t="shared" si="5"/>
        <v>0</v>
      </c>
      <c r="Y37" s="18">
        <f t="shared" ca="1" si="6"/>
        <v>5.5584287907797938</v>
      </c>
      <c r="Z37" s="18">
        <f t="shared" ca="1" si="7"/>
        <v>2.7792143953898973</v>
      </c>
      <c r="AA37" s="18">
        <f t="shared" ca="1" si="8"/>
        <v>4.8870284236750825</v>
      </c>
      <c r="AB37" s="18">
        <f t="shared" ca="1" si="9"/>
        <v>0</v>
      </c>
      <c r="AC37" s="18">
        <f t="shared" ca="1" si="10"/>
        <v>492.57711657002301</v>
      </c>
      <c r="AD37" s="18">
        <f t="shared" ca="1" si="11"/>
        <v>117.88920682466402</v>
      </c>
      <c r="AE37" s="18">
        <f t="shared" ca="1" si="12"/>
        <v>128.13158168627854</v>
      </c>
      <c r="AF37" s="18">
        <f t="shared" ca="1" si="13"/>
        <v>0</v>
      </c>
      <c r="AG37" s="18">
        <f t="shared" ca="1" si="14"/>
        <v>738.59790508096557</v>
      </c>
      <c r="AI37">
        <f>Person1!E37</f>
        <v>52</v>
      </c>
      <c r="AJ37">
        <f>Person1!AZ37</f>
        <v>1</v>
      </c>
      <c r="AK37">
        <f>IF(AZ37&lt;&gt;3,Person1!FM37,0)</f>
        <v>0</v>
      </c>
      <c r="AL37" s="4">
        <f ca="1">IF($AZ37&lt;&gt;3,Person1!FN37+Person1!FT37,0)</f>
        <v>11408.133614591397</v>
      </c>
      <c r="AM37">
        <f>IF($AZ37&lt;&gt;3,Person1!FO37,0)</f>
        <v>0</v>
      </c>
      <c r="AN37">
        <f>IF($AZ37&lt;&gt;3,Person1!FP37,0)</f>
        <v>0</v>
      </c>
      <c r="AO37">
        <f>IF($AZ37&lt;&gt;3,Person1!FQ37,0)</f>
        <v>0</v>
      </c>
      <c r="AP37">
        <f>IF($AZ37&lt;&gt;3,Person1!FR37,0)</f>
        <v>0</v>
      </c>
      <c r="AQ37" s="4">
        <f t="shared" si="15"/>
        <v>0</v>
      </c>
      <c r="AR37" s="4">
        <f>Person1!FS37</f>
        <v>0</v>
      </c>
      <c r="AS37" s="4">
        <f>$B$41*MAX(0,CHOOSE($AZ37,0,IF(AND(Person1!AW37&gt;=Person1!$B$36,AV37&gt;=$B$93),Person1!$B$35*(1+Person1!$B$37)^(Person1!$B$36-Person1!$B$11)*(1+Person1!$B$38)^(Person1!AW37-Person1!$B$36)-CHOOSE(Person1!$B$39+1,0,BD37,BE37,BD37+BE37),0),0,0))</f>
        <v>0</v>
      </c>
      <c r="AT37" s="4">
        <f t="shared" si="16"/>
        <v>0</v>
      </c>
      <c r="AV37">
        <f t="shared" si="162"/>
        <v>2047</v>
      </c>
      <c r="AW37">
        <f t="shared" si="162"/>
        <v>52</v>
      </c>
      <c r="AX37">
        <f t="shared" si="112"/>
        <v>1.8113615841033548</v>
      </c>
      <c r="AY37">
        <f t="shared" si="113"/>
        <v>0.55207088897991163</v>
      </c>
      <c r="AZ37">
        <f t="shared" si="114"/>
        <v>1</v>
      </c>
      <c r="BB37" s="4">
        <f t="shared" si="17"/>
        <v>83902.703163271522</v>
      </c>
      <c r="BC37">
        <f t="shared" si="18"/>
        <v>0</v>
      </c>
      <c r="BD37" s="4">
        <f t="shared" si="19"/>
        <v>0</v>
      </c>
      <c r="BE37" s="4">
        <f t="shared" si="115"/>
        <v>0</v>
      </c>
      <c r="BF37" s="4">
        <f t="shared" si="116"/>
        <v>0</v>
      </c>
      <c r="BG37" s="4">
        <f t="shared" si="117"/>
        <v>0</v>
      </c>
      <c r="BH37" s="4">
        <f t="shared" si="20"/>
        <v>0</v>
      </c>
      <c r="BI37" s="4">
        <f t="shared" si="118"/>
        <v>83902.703163271522</v>
      </c>
      <c r="BJ37" s="4"/>
      <c r="BK37" s="4">
        <f t="shared" si="21"/>
        <v>45284.039602583871</v>
      </c>
      <c r="BL37" s="4">
        <f t="shared" si="119"/>
        <v>0</v>
      </c>
      <c r="BM37" s="4">
        <f t="shared" si="120"/>
        <v>45284.039602583871</v>
      </c>
      <c r="BN37" s="4">
        <v>14664.001444232563</v>
      </c>
      <c r="BO37" s="4">
        <f t="shared" si="121"/>
        <v>59948.041046816434</v>
      </c>
      <c r="BP37" s="4">
        <f t="shared" si="122"/>
        <v>23954.662116455089</v>
      </c>
      <c r="BQ37" s="4"/>
      <c r="BR37" s="4">
        <v>0</v>
      </c>
      <c r="BS37" s="4">
        <f t="shared" ca="1" si="22"/>
        <v>15102.486569388873</v>
      </c>
      <c r="BT37" s="4">
        <f t="shared" ca="1" si="23"/>
        <v>112838.1130897314</v>
      </c>
      <c r="BU37" s="4">
        <f t="shared" si="24"/>
        <v>0</v>
      </c>
      <c r="BV37" s="4">
        <f t="shared" si="25"/>
        <v>1</v>
      </c>
      <c r="BW37" s="4">
        <f t="shared" ca="1" si="26"/>
        <v>0</v>
      </c>
      <c r="BX37" s="4">
        <f t="shared" ca="1" si="27"/>
        <v>0</v>
      </c>
      <c r="BY37" s="4">
        <f t="shared" ca="1" si="28"/>
        <v>0</v>
      </c>
      <c r="BZ37" s="4">
        <f t="shared" ca="1" si="29"/>
        <v>0</v>
      </c>
      <c r="CA37" s="4">
        <f t="shared" ca="1" si="30"/>
        <v>0</v>
      </c>
      <c r="CB37" s="4">
        <f t="shared" ca="1" si="154"/>
        <v>0</v>
      </c>
      <c r="CC37" s="4"/>
      <c r="CD37" s="4">
        <f t="shared" ca="1" si="31"/>
        <v>83902.703163271522</v>
      </c>
      <c r="CE37" s="4">
        <f t="shared" ca="1" si="123"/>
        <v>63452.668725739386</v>
      </c>
      <c r="CF37" s="16">
        <f t="shared" si="32"/>
        <v>0</v>
      </c>
      <c r="CG37" s="4">
        <f t="shared" si="33"/>
        <v>5347.5478681432669</v>
      </c>
      <c r="CH37" s="4" t="e">
        <f t="shared" ca="1" si="34"/>
        <v>#NAME?</v>
      </c>
      <c r="CI37" s="4" t="e">
        <f t="shared" ca="1" si="35"/>
        <v>#NAME?</v>
      </c>
      <c r="CJ37" s="4" t="e">
        <f t="shared" ca="1" si="124"/>
        <v>#NAME?</v>
      </c>
      <c r="CK37" s="4" t="e">
        <f t="shared" ca="1" si="125"/>
        <v>#NAME?</v>
      </c>
      <c r="CL37" s="4" t="e">
        <f t="shared" ca="1" si="36"/>
        <v>#NAME?</v>
      </c>
      <c r="CM37" s="16"/>
      <c r="CN37" s="4">
        <f t="shared" si="37"/>
        <v>0</v>
      </c>
      <c r="CO37" s="4">
        <f t="shared" si="38"/>
        <v>0</v>
      </c>
      <c r="CP37" s="4">
        <f t="shared" ca="1" si="39"/>
        <v>1337867.8713628771</v>
      </c>
      <c r="CQ37" s="4"/>
      <c r="CR37" s="4">
        <f t="shared" ca="1" si="40"/>
        <v>23954.662116455089</v>
      </c>
      <c r="CS37" s="4">
        <f t="shared" ca="1" si="41"/>
        <v>46870</v>
      </c>
      <c r="CT37" s="4">
        <f t="shared" ca="1" si="42"/>
        <v>15102.486569388873</v>
      </c>
      <c r="CU37" s="4"/>
      <c r="CV37" s="4">
        <f t="shared" ca="1" si="126"/>
        <v>23954.662116455089</v>
      </c>
      <c r="CW37" s="4">
        <f t="shared" ca="1" si="43"/>
        <v>5034.1621897962914</v>
      </c>
      <c r="CX37" s="4">
        <f t="shared" ca="1" si="44"/>
        <v>5034.1621897962914</v>
      </c>
      <c r="CY37" s="4">
        <f t="shared" ca="1" si="127"/>
        <v>18920.499926658798</v>
      </c>
      <c r="CZ37" s="4"/>
      <c r="DA37" s="4">
        <f t="shared" ca="1" si="45"/>
        <v>18920.499926658798</v>
      </c>
      <c r="DB37" s="4">
        <f t="shared" si="46"/>
        <v>0</v>
      </c>
      <c r="DC37" s="4">
        <f t="shared" ca="1" si="128"/>
        <v>5034.1621897962914</v>
      </c>
      <c r="DD37" s="4">
        <f t="shared" ca="1" si="47"/>
        <v>10068.324379592581</v>
      </c>
      <c r="DE37" s="4">
        <f t="shared" ca="1" si="48"/>
        <v>10068.324379592581</v>
      </c>
      <c r="DF37" s="4">
        <f t="shared" ca="1" si="129"/>
        <v>0</v>
      </c>
      <c r="DG37" s="4">
        <f t="shared" ca="1" si="130"/>
        <v>10068.324379592581</v>
      </c>
      <c r="DH37" s="4">
        <f t="shared" ca="1" si="49"/>
        <v>0</v>
      </c>
      <c r="DI37" s="4"/>
      <c r="DJ37" s="4">
        <f t="shared" ca="1" si="50"/>
        <v>8852.1755470662174</v>
      </c>
      <c r="DK37" s="4">
        <f t="shared" ca="1" si="51"/>
        <v>10000</v>
      </c>
      <c r="DL37" s="4">
        <f t="shared" ca="1" si="52"/>
        <v>10000</v>
      </c>
      <c r="DM37" s="4">
        <f t="shared" ca="1" si="53"/>
        <v>112838.1130897314</v>
      </c>
      <c r="DN37" s="4">
        <f t="shared" ca="1" si="54"/>
        <v>8852.1755470662174</v>
      </c>
      <c r="DO37" s="4">
        <f t="shared" ca="1" si="55"/>
        <v>103985.93754266518</v>
      </c>
      <c r="DP37" s="4"/>
      <c r="DQ37" s="4">
        <f t="shared" ca="1" si="56"/>
        <v>0</v>
      </c>
      <c r="DR37" s="4"/>
      <c r="DS37" s="4">
        <f t="shared" si="131"/>
        <v>0</v>
      </c>
      <c r="DT37" s="4">
        <f t="shared" si="57"/>
        <v>0</v>
      </c>
      <c r="DU37" s="4">
        <f t="shared" si="58"/>
        <v>0</v>
      </c>
      <c r="DV37" s="4"/>
      <c r="DW37" s="4">
        <f t="shared" ca="1" si="132"/>
        <v>892235.26616333972</v>
      </c>
      <c r="DX37" s="4">
        <f t="shared" ca="1" si="59"/>
        <v>21476.457994183977</v>
      </c>
      <c r="DY37" s="4">
        <f t="shared" ca="1" si="133"/>
        <v>44611.763308166992</v>
      </c>
      <c r="DZ37" s="4">
        <f t="shared" ca="1" si="60"/>
        <v>0</v>
      </c>
      <c r="EA37" s="4">
        <f t="shared" ca="1" si="61"/>
        <v>0</v>
      </c>
      <c r="EB37" s="4">
        <f t="shared" ca="1" si="62"/>
        <v>936847.02947150671</v>
      </c>
      <c r="EC37" s="4">
        <f t="shared" si="63"/>
        <v>1</v>
      </c>
      <c r="ED37" s="4"/>
      <c r="EE37" s="4">
        <f t="shared" ca="1" si="134"/>
        <v>213539.98042261141</v>
      </c>
      <c r="EF37" s="4">
        <f t="shared" ca="1" si="64"/>
        <v>5034.1621897962914</v>
      </c>
      <c r="EG37" s="4">
        <f t="shared" ca="1" si="135"/>
        <v>10676.99902113057</v>
      </c>
      <c r="EH37" s="4">
        <f t="shared" ca="1" si="65"/>
        <v>0</v>
      </c>
      <c r="EI37" s="4">
        <f t="shared" ca="1" si="66"/>
        <v>0</v>
      </c>
      <c r="EJ37" s="4">
        <f t="shared" ca="1" si="67"/>
        <v>0</v>
      </c>
      <c r="EK37" s="4">
        <f t="shared" si="68"/>
        <v>1</v>
      </c>
      <c r="EL37" s="4">
        <f t="shared" si="69"/>
        <v>0</v>
      </c>
      <c r="EM37" s="4"/>
      <c r="EN37" s="4">
        <f t="shared" ca="1" si="136"/>
        <v>232092.62477692589</v>
      </c>
      <c r="EO37" s="4">
        <f t="shared" ca="1" si="70"/>
        <v>8852.1755470662174</v>
      </c>
      <c r="EP37" s="4">
        <f t="shared" ca="1" si="137"/>
        <v>11604.631238846296</v>
      </c>
      <c r="EQ37" s="4">
        <f t="shared" ca="1" si="71"/>
        <v>0</v>
      </c>
      <c r="ER37" s="4">
        <v>0</v>
      </c>
      <c r="ES37" s="4">
        <f t="shared" ca="1" si="138"/>
        <v>243697.25601577217</v>
      </c>
      <c r="ET37" s="4"/>
      <c r="EU37" s="4">
        <f t="shared" ca="1" si="139"/>
        <v>0</v>
      </c>
      <c r="EV37" s="4">
        <f t="shared" ca="1" si="72"/>
        <v>0</v>
      </c>
      <c r="EW37" s="4">
        <f t="shared" ca="1" si="140"/>
        <v>0</v>
      </c>
      <c r="EX37" s="4">
        <f t="shared" ca="1" si="73"/>
        <v>0</v>
      </c>
      <c r="EY37" s="4">
        <v>0</v>
      </c>
      <c r="EZ37" s="4">
        <f t="shared" ca="1" si="141"/>
        <v>0</v>
      </c>
      <c r="FA37" s="4">
        <f t="shared" ca="1" si="142"/>
        <v>0</v>
      </c>
      <c r="FB37" s="1">
        <f t="shared" ca="1" si="74"/>
        <v>0</v>
      </c>
      <c r="FC37" s="4">
        <f t="shared" ca="1" si="143"/>
        <v>0</v>
      </c>
      <c r="FD37" s="4">
        <f t="shared" ca="1" si="144"/>
        <v>0</v>
      </c>
      <c r="FE37" s="4">
        <f t="shared" ca="1" si="75"/>
        <v>0</v>
      </c>
      <c r="FF37" s="4">
        <f t="shared" ca="1" si="76"/>
        <v>0</v>
      </c>
      <c r="FG37" s="4">
        <f t="shared" ca="1" si="77"/>
        <v>0</v>
      </c>
      <c r="FH37" s="17">
        <f t="shared" ca="1" si="78"/>
        <v>0</v>
      </c>
      <c r="FI37" s="4">
        <f t="shared" ca="1" si="79"/>
        <v>0</v>
      </c>
      <c r="FJ37" s="4"/>
      <c r="FK37" s="4">
        <f t="shared" ca="1" si="80"/>
        <v>1180544.2854872788</v>
      </c>
      <c r="FL37" s="4"/>
      <c r="FM37" s="4">
        <v>0</v>
      </c>
      <c r="FN37" s="4">
        <v>0</v>
      </c>
      <c r="FO37" s="4">
        <v>0</v>
      </c>
      <c r="FP37" s="4">
        <v>0</v>
      </c>
      <c r="FQ37" s="4">
        <v>0</v>
      </c>
      <c r="FR37" s="4">
        <v>0</v>
      </c>
      <c r="FS37" s="4">
        <f t="shared" si="81"/>
        <v>0</v>
      </c>
      <c r="FT37" s="4">
        <f t="shared" ca="1" si="82"/>
        <v>0</v>
      </c>
      <c r="FU37" s="4"/>
      <c r="FV37" s="3">
        <f t="shared" si="83"/>
        <v>0.55207088897991163</v>
      </c>
      <c r="FW37" s="3">
        <f t="shared" si="84"/>
        <v>0.55207088897991163</v>
      </c>
      <c r="FX37" s="4">
        <f t="shared" si="145"/>
        <v>2047</v>
      </c>
      <c r="FY37" s="4">
        <f t="shared" si="85"/>
        <v>46.320239923164955</v>
      </c>
      <c r="FZ37" s="4">
        <f t="shared" si="86"/>
        <v>0</v>
      </c>
      <c r="GA37" s="4">
        <f t="shared" si="87"/>
        <v>0</v>
      </c>
      <c r="GB37" s="4">
        <f t="shared" si="88"/>
        <v>0</v>
      </c>
      <c r="GC37" s="4">
        <f t="shared" ca="1" si="89"/>
        <v>0</v>
      </c>
      <c r="GD37" s="4">
        <f t="shared" ca="1" si="90"/>
        <v>0</v>
      </c>
      <c r="GE37" s="4">
        <f t="shared" ca="1" si="91"/>
        <v>0</v>
      </c>
      <c r="GF37" s="4">
        <f t="shared" ca="1" si="92"/>
        <v>0</v>
      </c>
      <c r="GG37" s="18" t="e">
        <f t="shared" ca="1" si="93"/>
        <v>#NAME?</v>
      </c>
      <c r="GH37" s="18" t="e">
        <f t="shared" ca="1" si="94"/>
        <v>#NAME?</v>
      </c>
      <c r="GI37" s="4"/>
      <c r="GJ37" s="4">
        <f t="shared" si="95"/>
        <v>2047</v>
      </c>
      <c r="GK37" s="4">
        <f t="shared" ca="1" si="96"/>
        <v>492.57711657002301</v>
      </c>
      <c r="GL37" s="4">
        <f t="shared" ca="1" si="97"/>
        <v>117.88920682466402</v>
      </c>
      <c r="GM37" s="4">
        <f t="shared" ca="1" si="98"/>
        <v>128.13158168627854</v>
      </c>
      <c r="GN37" s="4">
        <f t="shared" ca="1" si="99"/>
        <v>0</v>
      </c>
      <c r="GO37" s="4"/>
      <c r="GP37" s="3">
        <f t="shared" ca="1" si="146"/>
        <v>0.7935721183765807</v>
      </c>
      <c r="GQ37" s="3">
        <f t="shared" ca="1" si="100"/>
        <v>0</v>
      </c>
      <c r="GR37" s="3">
        <f t="shared" ca="1" si="101"/>
        <v>0</v>
      </c>
      <c r="GS37" s="3">
        <f t="shared" ca="1" si="102"/>
        <v>0.20642788162341935</v>
      </c>
      <c r="GT37" s="3">
        <f t="array" aca="1" ref="GT37" ca="1">SUM(GP37:GS37*$GU$6:$GX$6)</f>
        <v>1</v>
      </c>
      <c r="GU37" s="3">
        <f t="shared" ca="1" si="147"/>
        <v>0.7935721183765807</v>
      </c>
      <c r="GV37" s="3">
        <f t="shared" ca="1" si="148"/>
        <v>0</v>
      </c>
      <c r="GW37" s="3">
        <f t="shared" ca="1" si="149"/>
        <v>0</v>
      </c>
      <c r="GX37" s="3">
        <f t="shared" ca="1" si="150"/>
        <v>0.20642788162341935</v>
      </c>
      <c r="GY37" s="11"/>
      <c r="GZ37" s="27">
        <v>79</v>
      </c>
      <c r="HA37" s="30">
        <v>6.5799999999999997E-2</v>
      </c>
      <c r="HB37" s="29">
        <f t="shared" ca="1" si="151"/>
        <v>0.12820000000000001</v>
      </c>
      <c r="HC37" s="29">
        <v>0.12820000000000001</v>
      </c>
      <c r="HD37" s="29">
        <v>0.115</v>
      </c>
      <c r="HE37" s="29">
        <v>0.1099</v>
      </c>
      <c r="HG37" s="27">
        <v>77</v>
      </c>
      <c r="HH37" s="30">
        <v>6.1699999999999998E-2</v>
      </c>
      <c r="HJ37">
        <f t="shared" si="153"/>
        <v>2040</v>
      </c>
      <c r="HK37" s="28">
        <f t="shared" si="163"/>
        <v>40810</v>
      </c>
      <c r="HL37" s="27">
        <f t="shared" si="155"/>
        <v>9000</v>
      </c>
      <c r="HM37" s="28">
        <f t="shared" si="156"/>
        <v>8846.4048721137442</v>
      </c>
      <c r="HO37" t="s">
        <v>169</v>
      </c>
      <c r="HQ37" s="27">
        <v>0</v>
      </c>
      <c r="HR37" s="27">
        <v>0</v>
      </c>
      <c r="HS37" s="27">
        <v>0</v>
      </c>
      <c r="HT37" s="27">
        <v>0</v>
      </c>
      <c r="HU37" s="27">
        <v>0</v>
      </c>
      <c r="HV37" s="27">
        <v>0</v>
      </c>
      <c r="HW37" s="27">
        <v>0</v>
      </c>
      <c r="HX37" s="27">
        <v>0</v>
      </c>
      <c r="HY37" s="27">
        <v>0</v>
      </c>
      <c r="HZ37" s="27">
        <v>0</v>
      </c>
      <c r="IA37" s="27">
        <v>0</v>
      </c>
      <c r="IB37" s="27">
        <v>0</v>
      </c>
      <c r="IC37" s="27">
        <v>0</v>
      </c>
      <c r="ID37" s="27">
        <v>0</v>
      </c>
      <c r="IE37" s="27">
        <v>0</v>
      </c>
      <c r="IF37" s="27">
        <v>0</v>
      </c>
      <c r="IG37" s="27">
        <v>0</v>
      </c>
    </row>
    <row r="38" spans="1:241" x14ac:dyDescent="0.25">
      <c r="A38" t="s">
        <v>167</v>
      </c>
      <c r="B38" s="63">
        <f>Inputs_Summary!AK35</f>
        <v>5.0000000000000001E-3</v>
      </c>
      <c r="D38">
        <f t="shared" si="106"/>
        <v>2048</v>
      </c>
      <c r="E38">
        <f t="shared" si="106"/>
        <v>53</v>
      </c>
      <c r="F38" s="8"/>
      <c r="G38" s="8"/>
      <c r="H38" s="9"/>
      <c r="I38" s="8"/>
      <c r="J38" s="92"/>
      <c r="K38" s="91"/>
      <c r="L38" s="91"/>
      <c r="N38" s="93">
        <f t="shared" si="107"/>
        <v>0.05</v>
      </c>
      <c r="O38" s="23">
        <f t="shared" si="108"/>
        <v>0</v>
      </c>
      <c r="P38" s="23">
        <f t="shared" si="109"/>
        <v>0.4</v>
      </c>
      <c r="Q38" s="4">
        <f t="shared" si="0"/>
        <v>0</v>
      </c>
      <c r="R38" s="4">
        <f t="shared" si="110"/>
        <v>0</v>
      </c>
      <c r="S38" s="4">
        <f t="shared" si="1"/>
        <v>0</v>
      </c>
      <c r="T38" s="4">
        <f t="shared" ca="1" si="2"/>
        <v>0</v>
      </c>
      <c r="V38" s="18" t="e">
        <f t="shared" ca="1" si="3"/>
        <v>#NAME?</v>
      </c>
      <c r="W38" s="18" t="e">
        <f t="shared" ca="1" si="4"/>
        <v>#NAME?</v>
      </c>
      <c r="X38" s="18">
        <f t="shared" si="5"/>
        <v>0</v>
      </c>
      <c r="Y38" s="18">
        <f t="shared" ca="1" si="6"/>
        <v>5.5856759907345976</v>
      </c>
      <c r="Z38" s="18">
        <f t="shared" ca="1" si="7"/>
        <v>2.7928379953672993</v>
      </c>
      <c r="AA38" s="18">
        <f t="shared" ca="1" si="8"/>
        <v>5.0140583494985762</v>
      </c>
      <c r="AB38" s="18">
        <f t="shared" ca="1" si="9"/>
        <v>0</v>
      </c>
      <c r="AC38" s="18">
        <f t="shared" ca="1" si="10"/>
        <v>518.6887251524638</v>
      </c>
      <c r="AD38" s="18">
        <f t="shared" ca="1" si="11"/>
        <v>124.08125643263442</v>
      </c>
      <c r="AE38" s="18">
        <f t="shared" ca="1" si="12"/>
        <v>136.69136195516424</v>
      </c>
      <c r="AF38" s="18">
        <f t="shared" ca="1" si="13"/>
        <v>0</v>
      </c>
      <c r="AG38" s="18">
        <f t="shared" ca="1" si="14"/>
        <v>779.46134354026242</v>
      </c>
      <c r="AI38">
        <f>Person1!E38</f>
        <v>53</v>
      </c>
      <c r="AJ38">
        <f>Person1!AZ38</f>
        <v>1</v>
      </c>
      <c r="AK38">
        <f>IF(AZ38&lt;&gt;3,Person1!FM38,0)</f>
        <v>0</v>
      </c>
      <c r="AL38" s="4">
        <f ca="1">IF($AZ38&lt;&gt;3,Person1!FN38+Person1!FT38,0)</f>
        <v>11750.377623029141</v>
      </c>
      <c r="AM38">
        <f>IF($AZ38&lt;&gt;3,Person1!FO38,0)</f>
        <v>0</v>
      </c>
      <c r="AN38">
        <f>IF($AZ38&lt;&gt;3,Person1!FP38,0)</f>
        <v>0</v>
      </c>
      <c r="AO38">
        <f>IF($AZ38&lt;&gt;3,Person1!FQ38,0)</f>
        <v>0</v>
      </c>
      <c r="AP38">
        <f>IF($AZ38&lt;&gt;3,Person1!FR38,0)</f>
        <v>0</v>
      </c>
      <c r="AQ38" s="4">
        <f t="shared" si="15"/>
        <v>0</v>
      </c>
      <c r="AR38" s="4">
        <f>Person1!FS38</f>
        <v>0</v>
      </c>
      <c r="AS38" s="4">
        <f>$B$41*MAX(0,CHOOSE($AZ38,0,IF(AND(Person1!AW38&gt;=Person1!$B$36,AV38&gt;=$B$93),Person1!$B$35*(1+Person1!$B$37)^(Person1!$B$36-Person1!$B$11)*(1+Person1!$B$38)^(Person1!AW38-Person1!$B$36)-CHOOSE(Person1!$B$39+1,0,BD38,BE38,BD38+BE38),0),0,0))</f>
        <v>0</v>
      </c>
      <c r="AT38" s="4">
        <f t="shared" si="16"/>
        <v>0</v>
      </c>
      <c r="AV38">
        <f t="shared" si="162"/>
        <v>2048</v>
      </c>
      <c r="AW38">
        <f t="shared" si="162"/>
        <v>53</v>
      </c>
      <c r="AX38">
        <f t="shared" si="112"/>
        <v>1.8475888157854219</v>
      </c>
      <c r="AY38">
        <f t="shared" si="113"/>
        <v>0.54124596958814863</v>
      </c>
      <c r="AZ38">
        <f t="shared" si="114"/>
        <v>1</v>
      </c>
      <c r="BB38" s="4">
        <f t="shared" si="17"/>
        <v>86000.270742353328</v>
      </c>
      <c r="BC38">
        <f t="shared" si="18"/>
        <v>0</v>
      </c>
      <c r="BD38" s="4">
        <f t="shared" si="19"/>
        <v>0</v>
      </c>
      <c r="BE38" s="4">
        <f t="shared" si="115"/>
        <v>0</v>
      </c>
      <c r="BF38" s="4">
        <f t="shared" si="116"/>
        <v>0</v>
      </c>
      <c r="BG38" s="4">
        <f t="shared" si="117"/>
        <v>0</v>
      </c>
      <c r="BH38" s="4">
        <f t="shared" si="20"/>
        <v>0</v>
      </c>
      <c r="BI38" s="4">
        <f t="shared" si="118"/>
        <v>86000.270742353328</v>
      </c>
      <c r="BJ38" s="4"/>
      <c r="BK38" s="4">
        <f t="shared" si="21"/>
        <v>46189.720394635544</v>
      </c>
      <c r="BL38" s="4">
        <f t="shared" si="119"/>
        <v>0</v>
      </c>
      <c r="BM38" s="4">
        <f t="shared" si="120"/>
        <v>46189.720394635544</v>
      </c>
      <c r="BN38" s="4">
        <v>15066.583485865107</v>
      </c>
      <c r="BO38" s="4">
        <f t="shared" si="121"/>
        <v>61256.303880500651</v>
      </c>
      <c r="BP38" s="4">
        <f t="shared" si="122"/>
        <v>24743.966861852678</v>
      </c>
      <c r="BQ38" s="4"/>
      <c r="BR38" s="4">
        <v>0</v>
      </c>
      <c r="BS38" s="4">
        <f t="shared" ca="1" si="22"/>
        <v>15480.048733623598</v>
      </c>
      <c r="BT38" s="4">
        <f t="shared" ca="1" si="23"/>
        <v>114485.93754266518</v>
      </c>
      <c r="BU38" s="4">
        <f t="shared" si="24"/>
        <v>0</v>
      </c>
      <c r="BV38" s="4">
        <f t="shared" si="25"/>
        <v>1</v>
      </c>
      <c r="BW38" s="4">
        <f t="shared" ca="1" si="26"/>
        <v>0</v>
      </c>
      <c r="BX38" s="4">
        <f t="shared" ca="1" si="27"/>
        <v>0</v>
      </c>
      <c r="BY38" s="4">
        <f t="shared" ca="1" si="28"/>
        <v>0</v>
      </c>
      <c r="BZ38" s="4">
        <f t="shared" ca="1" si="29"/>
        <v>0</v>
      </c>
      <c r="CA38" s="4">
        <f t="shared" ca="1" si="30"/>
        <v>0</v>
      </c>
      <c r="CB38" s="4">
        <f t="shared" ca="1" si="154"/>
        <v>0</v>
      </c>
      <c r="CC38" s="4"/>
      <c r="CD38" s="4">
        <f t="shared" ca="1" si="31"/>
        <v>86000.270742353328</v>
      </c>
      <c r="CE38" s="4">
        <f t="shared" ca="1" si="123"/>
        <v>65034.654193882881</v>
      </c>
      <c r="CF38" s="16">
        <f t="shared" si="32"/>
        <v>0</v>
      </c>
      <c r="CG38" s="4">
        <f t="shared" si="33"/>
        <v>5485.5678148468487</v>
      </c>
      <c r="CH38" s="4" t="e">
        <f t="shared" ca="1" si="34"/>
        <v>#NAME?</v>
      </c>
      <c r="CI38" s="4" t="e">
        <f t="shared" ca="1" si="35"/>
        <v>#NAME?</v>
      </c>
      <c r="CJ38" s="4" t="e">
        <f t="shared" ca="1" si="124"/>
        <v>#NAME?</v>
      </c>
      <c r="CK38" s="4" t="e">
        <f t="shared" ca="1" si="125"/>
        <v>#NAME?</v>
      </c>
      <c r="CL38" s="4" t="e">
        <f t="shared" ca="1" si="36"/>
        <v>#NAME?</v>
      </c>
      <c r="CM38" s="16"/>
      <c r="CN38" s="4">
        <f t="shared" si="37"/>
        <v>0</v>
      </c>
      <c r="CO38" s="4">
        <f t="shared" si="38"/>
        <v>0</v>
      </c>
      <c r="CP38" s="4">
        <f t="shared" ca="1" si="39"/>
        <v>1440124.0606620673</v>
      </c>
      <c r="CQ38" s="4"/>
      <c r="CR38" s="4">
        <f t="shared" ca="1" si="40"/>
        <v>24743.966861852678</v>
      </c>
      <c r="CS38" s="4">
        <f t="shared" ca="1" si="41"/>
        <v>47810</v>
      </c>
      <c r="CT38" s="4">
        <f t="shared" ca="1" si="42"/>
        <v>15480.048733623598</v>
      </c>
      <c r="CU38" s="4"/>
      <c r="CV38" s="4">
        <f t="shared" ca="1" si="126"/>
        <v>24743.966861852678</v>
      </c>
      <c r="CW38" s="4">
        <f t="shared" ca="1" si="43"/>
        <v>5160.0162445411997</v>
      </c>
      <c r="CX38" s="4">
        <f t="shared" ca="1" si="44"/>
        <v>5160.0162445411997</v>
      </c>
      <c r="CY38" s="4">
        <f t="shared" ca="1" si="127"/>
        <v>19583.950617311479</v>
      </c>
      <c r="CZ38" s="4"/>
      <c r="DA38" s="4">
        <f t="shared" ca="1" si="45"/>
        <v>19583.950617311479</v>
      </c>
      <c r="DB38" s="4">
        <f t="shared" si="46"/>
        <v>0</v>
      </c>
      <c r="DC38" s="4">
        <f t="shared" ca="1" si="128"/>
        <v>5160.0162445411997</v>
      </c>
      <c r="DD38" s="4">
        <f t="shared" ca="1" si="47"/>
        <v>10320.032489082398</v>
      </c>
      <c r="DE38" s="4">
        <f t="shared" ca="1" si="48"/>
        <v>10320.032489082398</v>
      </c>
      <c r="DF38" s="4">
        <f t="shared" ca="1" si="129"/>
        <v>0</v>
      </c>
      <c r="DG38" s="4">
        <f t="shared" ca="1" si="130"/>
        <v>10320.032489082398</v>
      </c>
      <c r="DH38" s="4">
        <f t="shared" ca="1" si="49"/>
        <v>0</v>
      </c>
      <c r="DI38" s="4"/>
      <c r="DJ38" s="4">
        <f t="shared" ca="1" si="50"/>
        <v>9263.918128229081</v>
      </c>
      <c r="DK38" s="4">
        <f t="shared" ca="1" si="51"/>
        <v>10500</v>
      </c>
      <c r="DL38" s="4">
        <f t="shared" ca="1" si="52"/>
        <v>10500</v>
      </c>
      <c r="DM38" s="4">
        <f t="shared" ca="1" si="53"/>
        <v>114485.93754266518</v>
      </c>
      <c r="DN38" s="4">
        <f t="shared" ca="1" si="54"/>
        <v>9263.918128229081</v>
      </c>
      <c r="DO38" s="4">
        <f t="shared" ca="1" si="55"/>
        <v>105222.0194144361</v>
      </c>
      <c r="DP38" s="4"/>
      <c r="DQ38" s="4">
        <f t="shared" ca="1" si="56"/>
        <v>0</v>
      </c>
      <c r="DR38" s="4"/>
      <c r="DS38" s="4">
        <f t="shared" si="131"/>
        <v>0</v>
      </c>
      <c r="DT38" s="4">
        <f t="shared" si="57"/>
        <v>0</v>
      </c>
      <c r="DU38" s="4">
        <f t="shared" si="58"/>
        <v>0</v>
      </c>
      <c r="DV38" s="4"/>
      <c r="DW38" s="4">
        <f t="shared" ca="1" si="132"/>
        <v>958323.4874656907</v>
      </c>
      <c r="DX38" s="4">
        <f t="shared" ca="1" si="59"/>
        <v>22070.410112111538</v>
      </c>
      <c r="DY38" s="4">
        <f t="shared" ca="1" si="133"/>
        <v>47916.174373284535</v>
      </c>
      <c r="DZ38" s="4">
        <f t="shared" ca="1" si="60"/>
        <v>0</v>
      </c>
      <c r="EA38" s="4">
        <f t="shared" ca="1" si="61"/>
        <v>0</v>
      </c>
      <c r="EB38" s="4">
        <f t="shared" ca="1" si="62"/>
        <v>1006239.6618389753</v>
      </c>
      <c r="EC38" s="4">
        <f t="shared" si="63"/>
        <v>1</v>
      </c>
      <c r="ED38" s="4"/>
      <c r="EE38" s="4">
        <f t="shared" ca="1" si="134"/>
        <v>229251.14163353827</v>
      </c>
      <c r="EF38" s="4">
        <f t="shared" ca="1" si="64"/>
        <v>5160.0162445411997</v>
      </c>
      <c r="EG38" s="4">
        <f t="shared" ca="1" si="135"/>
        <v>11462.557081676914</v>
      </c>
      <c r="EH38" s="4">
        <f t="shared" ca="1" si="65"/>
        <v>0</v>
      </c>
      <c r="EI38" s="4">
        <f t="shared" ca="1" si="66"/>
        <v>0</v>
      </c>
      <c r="EJ38" s="4">
        <f t="shared" ca="1" si="67"/>
        <v>0</v>
      </c>
      <c r="EK38" s="4">
        <f t="shared" si="68"/>
        <v>1</v>
      </c>
      <c r="EL38" s="4">
        <f t="shared" si="69"/>
        <v>0</v>
      </c>
      <c r="EM38" s="4"/>
      <c r="EN38" s="4">
        <f t="shared" ca="1" si="136"/>
        <v>252549.43156283838</v>
      </c>
      <c r="EO38" s="4">
        <f t="shared" ca="1" si="70"/>
        <v>9263.918128229081</v>
      </c>
      <c r="EP38" s="4">
        <f t="shared" ca="1" si="137"/>
        <v>12627.47157814192</v>
      </c>
      <c r="EQ38" s="4">
        <f t="shared" ca="1" si="71"/>
        <v>0</v>
      </c>
      <c r="ER38" s="4">
        <v>0</v>
      </c>
      <c r="ES38" s="4">
        <f t="shared" ca="1" si="138"/>
        <v>265176.90314098028</v>
      </c>
      <c r="ET38" s="4"/>
      <c r="EU38" s="4">
        <f t="shared" ca="1" si="139"/>
        <v>0</v>
      </c>
      <c r="EV38" s="4">
        <f t="shared" ca="1" si="72"/>
        <v>0</v>
      </c>
      <c r="EW38" s="4">
        <f t="shared" ca="1" si="140"/>
        <v>0</v>
      </c>
      <c r="EX38" s="4">
        <f t="shared" ca="1" si="73"/>
        <v>0</v>
      </c>
      <c r="EY38" s="4">
        <v>0</v>
      </c>
      <c r="EZ38" s="4">
        <f t="shared" ca="1" si="141"/>
        <v>0</v>
      </c>
      <c r="FA38" s="4">
        <f t="shared" ca="1" si="142"/>
        <v>0</v>
      </c>
      <c r="FB38" s="1">
        <f t="shared" ca="1" si="74"/>
        <v>0</v>
      </c>
      <c r="FC38" s="4">
        <f t="shared" ca="1" si="143"/>
        <v>0</v>
      </c>
      <c r="FD38" s="4">
        <f t="shared" ca="1" si="144"/>
        <v>0</v>
      </c>
      <c r="FE38" s="4">
        <f t="shared" ca="1" si="75"/>
        <v>0</v>
      </c>
      <c r="FF38" s="4">
        <f t="shared" ca="1" si="76"/>
        <v>0</v>
      </c>
      <c r="FG38" s="4">
        <f t="shared" ca="1" si="77"/>
        <v>0</v>
      </c>
      <c r="FH38" s="17">
        <f t="shared" ca="1" si="78"/>
        <v>0</v>
      </c>
      <c r="FI38" s="4">
        <f t="shared" ca="1" si="79"/>
        <v>0</v>
      </c>
      <c r="FJ38" s="4"/>
      <c r="FK38" s="4">
        <f t="shared" ca="1" si="80"/>
        <v>1271416.5649799556</v>
      </c>
      <c r="FL38" s="4"/>
      <c r="FM38" s="4">
        <v>0</v>
      </c>
      <c r="FN38" s="4">
        <v>0</v>
      </c>
      <c r="FO38" s="4">
        <v>0</v>
      </c>
      <c r="FP38" s="4">
        <v>0</v>
      </c>
      <c r="FQ38" s="4">
        <v>0</v>
      </c>
      <c r="FR38" s="4">
        <v>0</v>
      </c>
      <c r="FS38" s="4">
        <f t="shared" si="81"/>
        <v>0</v>
      </c>
      <c r="FT38" s="4">
        <f t="shared" ca="1" si="82"/>
        <v>0</v>
      </c>
      <c r="FU38" s="4"/>
      <c r="FV38" s="3">
        <f t="shared" si="83"/>
        <v>0.54124596958814863</v>
      </c>
      <c r="FW38" s="3">
        <f t="shared" si="84"/>
        <v>0.54124596958814863</v>
      </c>
      <c r="FX38" s="4">
        <f t="shared" si="145"/>
        <v>2048</v>
      </c>
      <c r="FY38" s="4">
        <f t="shared" si="85"/>
        <v>46.547299922788319</v>
      </c>
      <c r="FZ38" s="4">
        <f t="shared" si="86"/>
        <v>0</v>
      </c>
      <c r="GA38" s="4">
        <f t="shared" si="87"/>
        <v>0</v>
      </c>
      <c r="GB38" s="4">
        <f t="shared" si="88"/>
        <v>0</v>
      </c>
      <c r="GC38" s="4">
        <f t="shared" ca="1" si="89"/>
        <v>0</v>
      </c>
      <c r="GD38" s="4">
        <f t="shared" ca="1" si="90"/>
        <v>0</v>
      </c>
      <c r="GE38" s="4">
        <f t="shared" ca="1" si="91"/>
        <v>0</v>
      </c>
      <c r="GF38" s="4">
        <f t="shared" ca="1" si="92"/>
        <v>0</v>
      </c>
      <c r="GG38" s="18" t="e">
        <f t="shared" ca="1" si="93"/>
        <v>#NAME?</v>
      </c>
      <c r="GH38" s="18" t="e">
        <f t="shared" ca="1" si="94"/>
        <v>#NAME?</v>
      </c>
      <c r="GI38" s="4"/>
      <c r="GJ38" s="4">
        <f t="shared" si="95"/>
        <v>2048</v>
      </c>
      <c r="GK38" s="4">
        <f t="shared" ca="1" si="96"/>
        <v>518.6887251524638</v>
      </c>
      <c r="GL38" s="4">
        <f t="shared" ca="1" si="97"/>
        <v>124.08125643263442</v>
      </c>
      <c r="GM38" s="4">
        <f t="shared" ca="1" si="98"/>
        <v>136.69136195516424</v>
      </c>
      <c r="GN38" s="4">
        <f t="shared" ca="1" si="99"/>
        <v>0</v>
      </c>
      <c r="GO38" s="4"/>
      <c r="GP38" s="3">
        <f t="shared" ca="1" si="146"/>
        <v>0.79143192684046793</v>
      </c>
      <c r="GQ38" s="3">
        <f t="shared" ca="1" si="100"/>
        <v>0</v>
      </c>
      <c r="GR38" s="3">
        <f t="shared" ca="1" si="101"/>
        <v>0</v>
      </c>
      <c r="GS38" s="3">
        <f t="shared" ca="1" si="102"/>
        <v>0.20856807315953205</v>
      </c>
      <c r="GT38" s="3">
        <f t="array" aca="1" ref="GT38" ca="1">SUM(GP38:GS38*$GU$6:$GX$6)</f>
        <v>1</v>
      </c>
      <c r="GU38" s="3">
        <f t="shared" ca="1" si="147"/>
        <v>0.79143192684046793</v>
      </c>
      <c r="GV38" s="3">
        <f t="shared" ca="1" si="148"/>
        <v>0</v>
      </c>
      <c r="GW38" s="3">
        <f t="shared" ca="1" si="149"/>
        <v>0</v>
      </c>
      <c r="GX38" s="3">
        <f t="shared" ca="1" si="150"/>
        <v>0.20856807315953205</v>
      </c>
      <c r="GY38" s="11"/>
      <c r="GZ38" s="27">
        <v>80</v>
      </c>
      <c r="HA38" s="30">
        <v>6.8199999999999997E-2</v>
      </c>
      <c r="HB38" s="29">
        <f t="shared" ca="1" si="151"/>
        <v>0.13869999999999999</v>
      </c>
      <c r="HC38" s="29">
        <v>0.13869999999999999</v>
      </c>
      <c r="HD38" s="29">
        <v>0.121</v>
      </c>
      <c r="HE38" s="29">
        <v>0.12089999999999999</v>
      </c>
      <c r="HG38" s="27">
        <v>78</v>
      </c>
      <c r="HH38" s="30">
        <v>6.3600000000000004E-2</v>
      </c>
      <c r="HJ38">
        <f t="shared" si="153"/>
        <v>2041</v>
      </c>
      <c r="HK38" s="28">
        <f t="shared" si="163"/>
        <v>41620</v>
      </c>
      <c r="HL38" s="27">
        <f t="shared" si="155"/>
        <v>9000</v>
      </c>
      <c r="HM38" s="28">
        <f t="shared" si="156"/>
        <v>9023.3329695560187</v>
      </c>
      <c r="HQ38" s="27">
        <v>0.15</v>
      </c>
      <c r="HR38" s="27">
        <v>8.6999999999999994E-2</v>
      </c>
      <c r="HS38" s="27">
        <v>9.8000000000000004E-2</v>
      </c>
      <c r="HT38" s="27">
        <v>8.7900000000000006E-2</v>
      </c>
      <c r="HU38" s="27">
        <v>9.6799999999999997E-2</v>
      </c>
      <c r="HV38" s="27">
        <v>0.16</v>
      </c>
      <c r="HW38" s="27">
        <v>5.0500000000000003E-2</v>
      </c>
      <c r="HX38" s="27">
        <v>0.108</v>
      </c>
      <c r="HY38" s="27">
        <v>0.11</v>
      </c>
      <c r="HZ38" s="27">
        <v>0.1</v>
      </c>
      <c r="IA38" s="27">
        <v>5.0599999999999999E-2</v>
      </c>
      <c r="IB38" s="27">
        <v>6.4000000000000001E-2</v>
      </c>
      <c r="IC38" s="27">
        <v>5.8999999999999997E-2</v>
      </c>
      <c r="ID38" s="27">
        <v>0.04</v>
      </c>
      <c r="IE38" s="27">
        <v>0.1</v>
      </c>
      <c r="IF38" s="27">
        <v>0.1</v>
      </c>
      <c r="IG38" s="27">
        <v>0.1</v>
      </c>
    </row>
    <row r="39" spans="1:241" x14ac:dyDescent="0.25">
      <c r="A39" t="s">
        <v>637</v>
      </c>
      <c r="B39" s="62">
        <f>Inputs_Summary!AK36</f>
        <v>1</v>
      </c>
      <c r="D39">
        <f t="shared" si="106"/>
        <v>2049</v>
      </c>
      <c r="E39">
        <f t="shared" si="106"/>
        <v>54</v>
      </c>
      <c r="F39" s="8"/>
      <c r="G39" s="8"/>
      <c r="H39" s="9"/>
      <c r="I39" s="8"/>
      <c r="J39" s="92"/>
      <c r="K39" s="91"/>
      <c r="L39" s="91"/>
      <c r="N39" s="93">
        <f t="shared" si="107"/>
        <v>0.05</v>
      </c>
      <c r="O39" s="23">
        <f t="shared" si="108"/>
        <v>0</v>
      </c>
      <c r="P39" s="23">
        <f t="shared" si="109"/>
        <v>0.4</v>
      </c>
      <c r="Q39" s="4">
        <f t="shared" ref="Q39:Q70" si="164">G39*$AX39*$HW$12</f>
        <v>0</v>
      </c>
      <c r="R39" s="4">
        <f t="shared" si="110"/>
        <v>0</v>
      </c>
      <c r="S39" s="4">
        <f t="shared" ref="S39:S70" si="165">R39*$HW$13</f>
        <v>0</v>
      </c>
      <c r="T39" s="4">
        <f t="shared" ref="T39:T70" ca="1" si="166">R39*$HW$24</f>
        <v>0</v>
      </c>
      <c r="V39" s="18" t="e">
        <f t="shared" ref="V39:V70" ca="1" si="167">CJ39*$FV39/1000</f>
        <v>#NAME?</v>
      </c>
      <c r="W39" s="18" t="e">
        <f t="shared" ref="W39:W70" ca="1" si="168">(CH39+CI39)*$FV39/1000</f>
        <v>#NAME?</v>
      </c>
      <c r="X39" s="18">
        <f t="shared" ref="X39:X70" si="169">CN39*$FV39/1000</f>
        <v>0</v>
      </c>
      <c r="Y39" s="18">
        <f t="shared" ref="Y39:Y70" ca="1" si="170">(DE39-BW39)*$FV39/1000</f>
        <v>5.6130567553950597</v>
      </c>
      <c r="Z39" s="18">
        <f t="shared" ref="Z39:Z70" ca="1" si="171">(CX39-BX39)*$FV39/1000</f>
        <v>2.8065283776975298</v>
      </c>
      <c r="AA39" s="18">
        <f t="shared" ref="AA39:AA70" ca="1" si="172">(DN39-BZ39)*$FV39/1000</f>
        <v>5.1417454456193088</v>
      </c>
      <c r="AB39" s="18">
        <f t="shared" ref="AB39:AB70" ca="1" si="173">(DQ39-BY39)*$FV39/1000</f>
        <v>0</v>
      </c>
      <c r="AC39" s="18">
        <f t="shared" ref="AC39:AC70" ca="1" si="174">DW39*$FW39/1000</f>
        <v>545.6555705200243</v>
      </c>
      <c r="AD39" s="18">
        <f t="shared" ref="AD39:AD70" ca="1" si="175">EE39*$FW39/1000</f>
        <v>130.46878161728768</v>
      </c>
      <c r="AE39" s="18">
        <f t="shared" ref="AE39:AE70" ca="1" si="176">EN39*$FW39/1000</f>
        <v>145.62743961021667</v>
      </c>
      <c r="AF39" s="18">
        <f t="shared" ref="AF39:AF70" ca="1" si="177">EU39*$FW39/1000</f>
        <v>0</v>
      </c>
      <c r="AG39" s="18">
        <f t="shared" ref="AG39:AG70" ca="1" si="178">CP39*$FW39/1000</f>
        <v>821.75179174752861</v>
      </c>
      <c r="AI39">
        <f>Person1!E39</f>
        <v>54</v>
      </c>
      <c r="AJ39">
        <f>Person1!AZ39</f>
        <v>1</v>
      </c>
      <c r="AK39">
        <f>IF(AZ39&lt;&gt;3,Person1!FM39,0)</f>
        <v>0</v>
      </c>
      <c r="AL39" s="4">
        <f ca="1">IF($AZ39&lt;&gt;3,Person1!FN39+Person1!FT39,0)</f>
        <v>12102.888951720011</v>
      </c>
      <c r="AM39">
        <f>IF($AZ39&lt;&gt;3,Person1!FO39,0)</f>
        <v>0</v>
      </c>
      <c r="AN39">
        <f>IF($AZ39&lt;&gt;3,Person1!FP39,0)</f>
        <v>0</v>
      </c>
      <c r="AO39">
        <f>IF($AZ39&lt;&gt;3,Person1!FQ39,0)</f>
        <v>0</v>
      </c>
      <c r="AP39">
        <f>IF($AZ39&lt;&gt;3,Person1!FR39,0)</f>
        <v>0</v>
      </c>
      <c r="AQ39" s="4">
        <f t="shared" ref="AQ39:AQ70" si="179">CHOOSE(AZ39,0,IF(AV39&gt;=$B$93,$B$32*$AX39*(1+$B$31)^(AW39-$B$12),0),0,0)</f>
        <v>0</v>
      </c>
      <c r="AR39" s="4">
        <f>Person1!FS39</f>
        <v>0</v>
      </c>
      <c r="AS39" s="4">
        <f>$B$41*MAX(0,CHOOSE($AZ39,0,IF(AND(Person1!AW39&gt;=Person1!$B$36,AV39&gt;=$B$93),Person1!$B$35*(1+Person1!$B$37)^(Person1!$B$36-Person1!$B$11)*(1+Person1!$B$38)^(Person1!AW39-Person1!$B$36)-CHOOSE(Person1!$B$39+1,0,BD39,BE39,BD39+BE39),0),0,0))</f>
        <v>0</v>
      </c>
      <c r="AT39" s="4">
        <f t="shared" ref="AT39:AT70" si="180">CHOOSE($AZ39,0,IF(AND(AW39&gt;=$B$42,AV39&gt;=$B$93),$B$44*AX39,0),0,0)</f>
        <v>0</v>
      </c>
      <c r="AV39">
        <f t="shared" si="162"/>
        <v>2049</v>
      </c>
      <c r="AW39">
        <f t="shared" si="162"/>
        <v>54</v>
      </c>
      <c r="AX39">
        <f t="shared" si="112"/>
        <v>1.8845405921011305</v>
      </c>
      <c r="AY39">
        <f t="shared" si="113"/>
        <v>0.5306333035177927</v>
      </c>
      <c r="AZ39">
        <f t="shared" si="114"/>
        <v>1</v>
      </c>
      <c r="BB39" s="4">
        <f t="shared" ref="BB39:BB70" si="181">CHOOSE($AZ39,$B$21*(1+$B$16)^(D39-$B$7),0,0,0)</f>
        <v>88150.277510912143</v>
      </c>
      <c r="BC39">
        <f t="shared" ref="BC39:BC70" si="182">(F39+G39)*AX39</f>
        <v>0</v>
      </c>
      <c r="BD39" s="4">
        <f t="shared" ref="BD39:BD70" si="183">CHOOSE($AZ39,0,IF(AW39&gt;=$B$42,$B$80*AX39,0),0,0)+AT39</f>
        <v>0</v>
      </c>
      <c r="BE39" s="4">
        <f t="shared" si="115"/>
        <v>0</v>
      </c>
      <c r="BF39" s="4">
        <f t="shared" si="116"/>
        <v>0</v>
      </c>
      <c r="BG39" s="4">
        <f t="shared" si="117"/>
        <v>0</v>
      </c>
      <c r="BH39" s="4">
        <f t="shared" ref="BH39:BH70" si="184">H39*AX39+AK39</f>
        <v>0</v>
      </c>
      <c r="BI39" s="4">
        <f t="shared" si="118"/>
        <v>88150.277510912143</v>
      </c>
      <c r="BJ39" s="4"/>
      <c r="BK39" s="4">
        <f t="shared" ref="BK39:BK70" si="185">CHOOSE(AZ39,$B$28*$AX39*(1+$B$29)^(AW39-$B$11),$B$30*$AX39*(1+$B$31)^(AW39-$B$12),0,0)</f>
        <v>47113.514802528261</v>
      </c>
      <c r="BL39" s="4">
        <f t="shared" si="119"/>
        <v>0</v>
      </c>
      <c r="BM39" s="4">
        <f t="shared" si="120"/>
        <v>47113.514802528261</v>
      </c>
      <c r="BN39" s="4">
        <v>15479.884749898991</v>
      </c>
      <c r="BO39" s="4">
        <f t="shared" si="121"/>
        <v>62593.399552427254</v>
      </c>
      <c r="BP39" s="4">
        <f t="shared" si="122"/>
        <v>25556.877958484889</v>
      </c>
      <c r="BQ39" s="4"/>
      <c r="BR39" s="4">
        <v>0</v>
      </c>
      <c r="BS39" s="4">
        <f t="shared" ref="BS39:BS70" ca="1" si="186">IF(AND($B$56=1,$B$62=1),CT39-DB39+DF38,0)</f>
        <v>15867.049951964185</v>
      </c>
      <c r="BT39" s="4">
        <f t="shared" ref="BT39:BT70" ca="1" si="187">IF(AND($B$57=1,$B$60=1),DM39,0)</f>
        <v>115722.0194144361</v>
      </c>
      <c r="BU39" s="4">
        <f t="shared" ref="BU39:BU70" si="188">MAX(0,-BP39)</f>
        <v>0</v>
      </c>
      <c r="BV39" s="4">
        <f t="shared" ref="BV39:BV70" si="189">CHOOSE(AZ39,1,1,0,0)</f>
        <v>1</v>
      </c>
      <c r="BW39" s="4">
        <f t="shared" ref="BW39:BW70" ca="1" si="190">IF(AND(AZ39=4,$B$79=2),DW39,MAX(EA39,MIN(EB39,$BU39*GU39+BR39+IF(AND($B$61=1,AZ39=2),(BT39-MAX(0,BP39)))))*$BV39)</f>
        <v>0</v>
      </c>
      <c r="BX39" s="4">
        <f t="shared" ref="BX39:BX70" ca="1" si="191">IF(AND(AZ39=4,$B$79=2),EE39,MAX(EI39,MIN(EJ39,$BU39*GV39))*$BV39)</f>
        <v>0</v>
      </c>
      <c r="BY39" s="4">
        <f t="shared" ref="BY39:BY70" ca="1" si="192">IF(AND(AZ39=4,$B$79=2),EU39,MAX(EY39,MIN(EZ39,$BU39-SUM(BW39,BX39)+(BS39+BT39-MAX(0,BP39))-MAX(0,BW39+BX39-BU39)))*$BV39)</f>
        <v>0</v>
      </c>
      <c r="BZ39" s="4">
        <f t="shared" ref="BZ39:BZ70" ca="1" si="193">IF(AND(AZ39=4,$B$79=2),EN39,MAX(ER39,MIN(ES39,$BU39-SUM(BW39,BX39,BY39)))*$BV39)</f>
        <v>0</v>
      </c>
      <c r="CA39" s="4">
        <f t="shared" ca="1" si="30"/>
        <v>0</v>
      </c>
      <c r="CB39" s="4">
        <f t="shared" ca="1" si="154"/>
        <v>0</v>
      </c>
      <c r="CC39" s="4"/>
      <c r="CD39" s="4">
        <f t="shared" ref="CD39:CD70" ca="1" si="194">BI39+CA39</f>
        <v>88150.277510912143</v>
      </c>
      <c r="CE39" s="4">
        <f t="shared" ca="1" si="123"/>
        <v>66656.189298729936</v>
      </c>
      <c r="CF39" s="16">
        <f t="shared" ref="CF39:CF70" si="195">IF($E39&gt;=$HQ$49,MAX(0,MIN(1,1-(CE39-AX39*$HR$50)*$HQ$51/$HW$9)),0)</f>
        <v>0</v>
      </c>
      <c r="CG39" s="4">
        <f t="shared" ref="CG39:CG70" si="196">IF(E39&gt;$HQ$73,0,MAX(0,MIN($HR$72*AX39,(BB39-$HR$71)*$HQ$70)))+MAX(0,MIN($HQ$69*AX39,BB39*$HQ$68))</f>
        <v>5627.0382602180189</v>
      </c>
      <c r="CH39" s="4" t="e">
        <f t="shared" ref="CH39:CH70" ca="1" si="197">MAX(0,interpolate($CE39/$AX39,$HP$7:$HP$13,$HR$7:$HR$13,7)*$AX39-($B$25+$HW$8+CF39*$HW$9)*$AX39*$HV$7-FF39-S39)</f>
        <v>#NAME?</v>
      </c>
      <c r="CI39" s="4" t="e">
        <f t="shared" ref="CI39:CI70" ca="1" si="198">MAX(0,interpolate($CE39/$AX39,$HP$18:$HP$24,$HR$18:$HR$24,7)*$AX39-($B$26+$HW$19+CF39*$HW$20)*$AX39*$HV$18-FG39-T39)</f>
        <v>#NAME?</v>
      </c>
      <c r="CJ39" s="4" t="e">
        <f t="shared" ca="1" si="124"/>
        <v>#NAME?</v>
      </c>
      <c r="CK39" s="4" t="e">
        <f t="shared" ref="CK39:CK70" ca="1" si="199">CJ39/AX39</f>
        <v>#NAME?</v>
      </c>
      <c r="CL39" s="4" t="e">
        <f t="shared" ref="CL39:CL70" ca="1" si="200">IF(OR(CD39=0,ISERROR(BN39),(CD39-CR39)=0),0.15*CD39,MAX(0,$B$71*(CG39+CH39+CI39)+(1-$B$71)*(BN39)))</f>
        <v>#NAME?</v>
      </c>
      <c r="CM39" s="16"/>
      <c r="CN39" s="4">
        <f t="shared" ref="CN39:CN70" si="201">CHOOSE($AZ39,0,BM39-CJ39,0,0)</f>
        <v>0</v>
      </c>
      <c r="CO39" s="4">
        <f t="shared" ref="CO39:CO70" si="202">CHOOSE(AZ39,0,IF(CN39&gt;100,1,0),0,0)</f>
        <v>0</v>
      </c>
      <c r="CP39" s="4">
        <f t="shared" ca="1" si="39"/>
        <v>1548624.6081800526</v>
      </c>
      <c r="CQ39" s="4"/>
      <c r="CR39" s="4">
        <f t="shared" ref="CR39:CR70" ca="1" si="203">MAX(0,BP39)+CB39</f>
        <v>25556.877958484889</v>
      </c>
      <c r="CS39" s="4">
        <f t="shared" ref="CS39:CS70" ca="1" si="204">OFFSET($HK$7,$D39-$HJ$7,0)</f>
        <v>48770</v>
      </c>
      <c r="CT39" s="4">
        <f t="shared" ref="CT39:CT70" ca="1" si="205">MAX(0,MIN($HQ$66*BB39,CS39))</f>
        <v>15867.049951964185</v>
      </c>
      <c r="CU39" s="4"/>
      <c r="CV39" s="4">
        <f t="shared" ca="1" si="126"/>
        <v>25556.877958484889</v>
      </c>
      <c r="CW39" s="4">
        <f t="shared" ref="CW39:CW70" ca="1" si="206">MIN(CT39,$B$22*BB39)</f>
        <v>5289.0166506547284</v>
      </c>
      <c r="CX39" s="4">
        <f t="shared" ref="CX39:CX70" ca="1" si="207">IF(E39&gt;=72,0,MIN(CV39,CW39))</f>
        <v>5289.0166506547284</v>
      </c>
      <c r="CY39" s="4">
        <f t="shared" ca="1" si="127"/>
        <v>20267.861307830161</v>
      </c>
      <c r="CZ39" s="4"/>
      <c r="DA39" s="4">
        <f t="shared" ref="DA39:DA70" ca="1" si="208">CHOOSE($B$58+1,CY39-DN39,CY39)</f>
        <v>20267.861307830161</v>
      </c>
      <c r="DB39" s="4">
        <f t="shared" ref="DB39:DB70" si="209">CHOOSE(AZ39,$B$23*(1+$B$16)^(D39-$B$7),0,0,0)</f>
        <v>0</v>
      </c>
      <c r="DC39" s="4">
        <f t="shared" ca="1" si="128"/>
        <v>5289.0166506547284</v>
      </c>
      <c r="DD39" s="4">
        <f t="shared" ref="DD39:DD70" ca="1" si="210">IF(E39&gt;=72,0,MAX(0,CT39-DB39-DC39+DF38))</f>
        <v>10578.033301309457</v>
      </c>
      <c r="DE39" s="4">
        <f t="shared" ref="DE39:DE70" ca="1" si="211">MIN(DA39,DD39*$B$56)</f>
        <v>10578.033301309457</v>
      </c>
      <c r="DF39" s="4">
        <f t="shared" ca="1" si="129"/>
        <v>0</v>
      </c>
      <c r="DG39" s="4">
        <f t="shared" ca="1" si="130"/>
        <v>10578.033301309457</v>
      </c>
      <c r="DH39" s="4">
        <f t="shared" ref="DH39:DH70" ca="1" si="212">IF(AND(AI39&lt;=70,AJ39&lt;=2),DE39*$B$24,0)</f>
        <v>0</v>
      </c>
      <c r="DI39" s="4"/>
      <c r="DJ39" s="4">
        <f t="shared" ref="DJ39:DJ70" ca="1" si="213">CHOOSE($B$58+1,CY39,CY39-DE39)</f>
        <v>9689.8280065207036</v>
      </c>
      <c r="DK39" s="4">
        <f t="shared" ref="DK39:DK70" ca="1" si="214">OFFSET($HL$7,$D39-$HJ$7,0)</f>
        <v>10500</v>
      </c>
      <c r="DL39" s="4">
        <f t="shared" ref="DL39:DL70" ca="1" si="215">IF(E39&lt;18,0,DK39)</f>
        <v>10500</v>
      </c>
      <c r="DM39" s="4">
        <f t="shared" ref="DM39:DM70" ca="1" si="216">CHOOSE(AZ39,DL39+DO38+EQ38,DL39+DO38+EQ38,0,0)</f>
        <v>115722.0194144361</v>
      </c>
      <c r="DN39" s="4">
        <f t="shared" ref="DN39:DN70" ca="1" si="217">MIN(DJ39,DM39*CHOOSE(AZ39,$B$57,$B$57,0,0))</f>
        <v>9689.8280065207036</v>
      </c>
      <c r="DO39" s="4">
        <f t="shared" ca="1" si="55"/>
        <v>106032.19140791539</v>
      </c>
      <c r="DP39" s="4"/>
      <c r="DQ39" s="4">
        <f t="shared" ca="1" si="56"/>
        <v>0</v>
      </c>
      <c r="DR39" s="4"/>
      <c r="DS39" s="4">
        <f t="shared" si="131"/>
        <v>0</v>
      </c>
      <c r="DT39" s="4">
        <f t="shared" si="57"/>
        <v>0</v>
      </c>
      <c r="DU39" s="4">
        <f t="shared" ref="DU39:DU70" si="218">IF($B$74=1,IF(ISERROR(DT39),0,DT39),0)</f>
        <v>0</v>
      </c>
      <c r="DV39" s="4"/>
      <c r="DW39" s="4">
        <f t="shared" ca="1" si="132"/>
        <v>1028310.0719510869</v>
      </c>
      <c r="DX39" s="4">
        <f t="shared" ref="DX39:DX70" ca="1" si="219">DG39+AL39</f>
        <v>22680.922253029468</v>
      </c>
      <c r="DY39" s="4">
        <f t="shared" ca="1" si="133"/>
        <v>51415.503597554343</v>
      </c>
      <c r="DZ39" s="4">
        <f t="shared" ref="DZ39:DZ70" ca="1" si="220">BW39</f>
        <v>0</v>
      </c>
      <c r="EA39" s="4">
        <f t="shared" ref="EA39:EA70" ca="1" si="221">CHOOSE($EC39,0,interpolate($AW39,$HG$7:$HG$60,$HH$7:$HH$60,54))*$DW39</f>
        <v>0</v>
      </c>
      <c r="EB39" s="4">
        <f t="shared" ref="EB39:EB70" ca="1" si="222">IF(AND($B$63=1,E39&lt;$B$49),0,MAX(0,DW39+DY39))</f>
        <v>1079725.5755486412</v>
      </c>
      <c r="EC39" s="4">
        <f t="shared" ref="EC39:EC70" si="223">IF($AW39&lt;$B$49,1,2)</f>
        <v>1</v>
      </c>
      <c r="ED39" s="4"/>
      <c r="EE39" s="4">
        <f t="shared" ca="1" si="134"/>
        <v>245873.71495975638</v>
      </c>
      <c r="EF39" s="4">
        <f t="shared" ref="EF39:EF70" ca="1" si="224">CX39+AM39</f>
        <v>5289.0166506547284</v>
      </c>
      <c r="EG39" s="4">
        <f t="shared" ca="1" si="135"/>
        <v>12293.68574798782</v>
      </c>
      <c r="EH39" s="4">
        <f t="shared" ref="EH39:EH70" ca="1" si="225">BX39</f>
        <v>0</v>
      </c>
      <c r="EI39" s="4">
        <f t="shared" ref="EI39:EI70" ca="1" si="226">CHOOSE($EK39,0,interpolate($AW39,$GZ$7:$GZ$58,$HA$7:$HA$58,52))*$EE39</f>
        <v>0</v>
      </c>
      <c r="EJ39" s="4">
        <f t="shared" ref="EJ39:EJ70" ca="1" si="227">CHOOSE($EK39,0,interpolate($AW39,$GZ$7:$GZ$58,$HB$7:$HB$58,52))*$EE39</f>
        <v>0</v>
      </c>
      <c r="EK39" s="4">
        <f t="shared" ref="EK39:EK70" si="228">IF($AW39&lt;$B$48,1,2)</f>
        <v>1</v>
      </c>
      <c r="EL39" s="4">
        <f t="shared" ref="EL39:EL70" si="229">IF(AND($B$59=1,AW39=MAX($B$12,$B$48,IF($B$8="Alberta",50,55))),0.5*EE39,0)</f>
        <v>0</v>
      </c>
      <c r="EM39" s="4"/>
      <c r="EN39" s="4">
        <f t="shared" ca="1" si="136"/>
        <v>274440.82126920938</v>
      </c>
      <c r="EO39" s="4">
        <f t="shared" ref="EO39:EO70" ca="1" si="230">DN39+AN39</f>
        <v>9689.8280065207036</v>
      </c>
      <c r="EP39" s="4">
        <f t="shared" ca="1" si="137"/>
        <v>13722.04106346047</v>
      </c>
      <c r="EQ39" s="4">
        <f t="shared" ref="EQ39:EQ70" ca="1" si="231">BZ39</f>
        <v>0</v>
      </c>
      <c r="ER39" s="4">
        <v>0</v>
      </c>
      <c r="ES39" s="4">
        <f t="shared" ca="1" si="138"/>
        <v>288162.86233266984</v>
      </c>
      <c r="ET39" s="4"/>
      <c r="EU39" s="4">
        <f t="shared" ca="1" si="139"/>
        <v>0</v>
      </c>
      <c r="EV39" s="4">
        <f t="shared" ref="EV39:EV70" ca="1" si="232">DQ39+AO39</f>
        <v>0</v>
      </c>
      <c r="EW39" s="4">
        <f t="shared" ca="1" si="140"/>
        <v>0</v>
      </c>
      <c r="EX39" s="4">
        <f t="shared" ref="EX39:EX70" ca="1" si="233">BY39</f>
        <v>0</v>
      </c>
      <c r="EY39" s="4">
        <v>0</v>
      </c>
      <c r="EZ39" s="4">
        <f t="shared" ca="1" si="141"/>
        <v>0</v>
      </c>
      <c r="FA39" s="4">
        <f t="shared" ca="1" si="142"/>
        <v>0</v>
      </c>
      <c r="FB39" s="1">
        <f t="shared" ca="1" si="74"/>
        <v>0</v>
      </c>
      <c r="FC39" s="4">
        <f t="shared" ca="1" si="143"/>
        <v>0</v>
      </c>
      <c r="FD39" s="4">
        <f t="shared" ca="1" si="144"/>
        <v>0</v>
      </c>
      <c r="FE39" s="4">
        <f t="shared" ref="FE39:FE70" ca="1" si="234">EW39*$P39*(1+$HQ$59)</f>
        <v>0</v>
      </c>
      <c r="FF39" s="4">
        <f t="shared" ref="FF39:FF70" ca="1" si="235">FE39*$HV$13</f>
        <v>0</v>
      </c>
      <c r="FG39" s="4">
        <f t="shared" ref="FG39:FG70" ca="1" si="236">FE39*$HV$24</f>
        <v>0</v>
      </c>
      <c r="FH39" s="17">
        <f t="shared" ref="FH39:FH70" ca="1" si="237">MAX(0,EX39*FB39)</f>
        <v>0</v>
      </c>
      <c r="FI39" s="4">
        <f t="shared" ref="FI39:FI70" ca="1" si="238">FH39*$HQ$61</f>
        <v>0</v>
      </c>
      <c r="FJ39" s="4"/>
      <c r="FK39" s="4">
        <f t="shared" ref="FK39:FK70" ca="1" si="239">EB39+(EE39+EG39)*(EK39-1)+ES39+EZ39</f>
        <v>1367888.4378813109</v>
      </c>
      <c r="FL39" s="4"/>
      <c r="FM39" s="4">
        <v>0</v>
      </c>
      <c r="FN39" s="4">
        <v>0</v>
      </c>
      <c r="FO39" s="4">
        <v>0</v>
      </c>
      <c r="FP39" s="4">
        <v>0</v>
      </c>
      <c r="FQ39" s="4">
        <v>0</v>
      </c>
      <c r="FR39" s="4">
        <v>0</v>
      </c>
      <c r="FS39" s="4">
        <f t="shared" ref="FS39:FS70" si="240">$B$40/(1-$B$40)*BF39</f>
        <v>0</v>
      </c>
      <c r="FT39" s="4">
        <f t="shared" ref="FT39:FT70" ca="1" si="241">DH39</f>
        <v>0</v>
      </c>
      <c r="FU39" s="4"/>
      <c r="FV39" s="3">
        <f t="shared" ref="FV39:FV70" si="242">IF(AZ39&gt;=3,0,IF($B$9=1,1/$AX39,1))</f>
        <v>0.5306333035177927</v>
      </c>
      <c r="FW39" s="3">
        <f t="shared" ref="FW39:FW70" si="243">IF(AZ39=3,0,IF($B$9=1,1/$AX39,1))</f>
        <v>0.5306333035177927</v>
      </c>
      <c r="FX39" s="4">
        <f t="shared" si="145"/>
        <v>2049</v>
      </c>
      <c r="FY39" s="4">
        <f t="shared" ref="FY39:FY70" si="244">(BB39+BC39+BH39)*$FV39/1000</f>
        <v>46.775472961625496</v>
      </c>
      <c r="FZ39" s="4">
        <f t="shared" ref="FZ39:FZ70" si="245">BD39*$FV39/1000</f>
        <v>0</v>
      </c>
      <c r="GA39" s="4">
        <f t="shared" ref="GA39:GA70" si="246">BE39*$FV39/1000</f>
        <v>0</v>
      </c>
      <c r="GB39" s="4">
        <f t="shared" ref="GB39:GB70" si="247">(BF39+BG39)*$FV39/1000</f>
        <v>0</v>
      </c>
      <c r="GC39" s="4">
        <f t="shared" ref="GC39:GC70" ca="1" si="248">BW39*$FV39/1000</f>
        <v>0</v>
      </c>
      <c r="GD39" s="4">
        <f t="shared" ref="GD39:GD70" ca="1" si="249">BX39*$FV39/1000</f>
        <v>0</v>
      </c>
      <c r="GE39" s="4">
        <f t="shared" ref="GE39:GE70" ca="1" si="250">BY39*$FV39/1000</f>
        <v>0</v>
      </c>
      <c r="GF39" s="4">
        <f t="shared" ref="GF39:GF70" ca="1" si="251">BZ39*$FV39/1000</f>
        <v>0</v>
      </c>
      <c r="GG39" s="18" t="e">
        <f t="shared" ref="GG39:GG70" ca="1" si="252">(CJ39+CR39)*$FV39/1000</f>
        <v>#NAME?</v>
      </c>
      <c r="GH39" s="18" t="e">
        <f t="shared" ref="GH39:GH70" ca="1" si="253">CJ39*$FV39/1000</f>
        <v>#NAME?</v>
      </c>
      <c r="GI39" s="4"/>
      <c r="GJ39" s="4">
        <f t="shared" ref="GJ39:GJ72" si="254">FX39</f>
        <v>2049</v>
      </c>
      <c r="GK39" s="4">
        <f t="shared" ref="GK39:GK70" ca="1" si="255">DW39*$FW39/1000</f>
        <v>545.6555705200243</v>
      </c>
      <c r="GL39" s="4">
        <f t="shared" ref="GL39:GL70" ca="1" si="256">EE39*$FW39/1000</f>
        <v>130.46878161728768</v>
      </c>
      <c r="GM39" s="4">
        <f t="shared" ref="GM39:GM70" ca="1" si="257">EN39*$FW39/1000</f>
        <v>145.62743961021667</v>
      </c>
      <c r="GN39" s="4">
        <f t="shared" ref="GN39:GN70" ca="1" si="258">EU39*$FW39/1000</f>
        <v>0</v>
      </c>
      <c r="GO39" s="4"/>
      <c r="GP39" s="3">
        <f t="shared" ca="1" si="146"/>
        <v>0.78933745300238212</v>
      </c>
      <c r="GQ39" s="3">
        <f t="shared" ref="GQ39:GQ70" ca="1" si="259">IF(FK39=0,0.1,(EE39+EG39)*(EK39-1)/FK39)</f>
        <v>0</v>
      </c>
      <c r="GR39" s="3">
        <f t="shared" ref="GR39:GR70" ca="1" si="260">IF(FK39=0,0.1,EZ39/FK39)</f>
        <v>0</v>
      </c>
      <c r="GS39" s="3">
        <f t="shared" ref="GS39:GS70" ca="1" si="261">IF(FK39=0,0.1,ES39/FK39)</f>
        <v>0.21066254699761794</v>
      </c>
      <c r="GT39" s="3">
        <f t="array" aca="1" ref="GT39" ca="1">SUM(GP39:GS39*$GU$6:$GX$6)</f>
        <v>1</v>
      </c>
      <c r="GU39" s="3">
        <f t="shared" ca="1" si="147"/>
        <v>0.78933745300238212</v>
      </c>
      <c r="GV39" s="3">
        <f t="shared" ca="1" si="148"/>
        <v>0</v>
      </c>
      <c r="GW39" s="3">
        <f t="shared" ca="1" si="149"/>
        <v>0</v>
      </c>
      <c r="GX39" s="3">
        <f t="shared" ca="1" si="150"/>
        <v>0.21066254699761794</v>
      </c>
      <c r="GY39" s="11"/>
      <c r="GZ39" s="27">
        <v>81</v>
      </c>
      <c r="HA39" s="30">
        <v>7.0800000000000002E-2</v>
      </c>
      <c r="HB39" s="29">
        <f t="shared" ca="1" si="151"/>
        <v>0.15190000000000001</v>
      </c>
      <c r="HC39" s="29">
        <v>0.15190000000000001</v>
      </c>
      <c r="HD39" s="29">
        <v>0.129</v>
      </c>
      <c r="HE39" s="29">
        <v>0.1346</v>
      </c>
      <c r="HG39" s="27">
        <v>79</v>
      </c>
      <c r="HH39" s="30">
        <v>6.5799999999999997E-2</v>
      </c>
      <c r="HJ39">
        <f t="shared" si="153"/>
        <v>2042</v>
      </c>
      <c r="HK39" s="28">
        <f t="shared" si="163"/>
        <v>42450</v>
      </c>
      <c r="HL39" s="27">
        <f t="shared" si="155"/>
        <v>9000</v>
      </c>
      <c r="HM39" s="28">
        <f t="shared" si="156"/>
        <v>9203.7996289471394</v>
      </c>
      <c r="HQ39" s="27">
        <v>0.20499999999999999</v>
      </c>
      <c r="HR39" s="27">
        <v>0.14499999999999999</v>
      </c>
      <c r="HS39" s="27">
        <v>0.13800000000000001</v>
      </c>
      <c r="HT39" s="27">
        <v>0.14949999999999999</v>
      </c>
      <c r="HU39" s="27">
        <v>0.1482</v>
      </c>
      <c r="HV39" s="27">
        <v>0.2</v>
      </c>
      <c r="HW39" s="27">
        <v>9.1499999999999998E-2</v>
      </c>
      <c r="HX39" s="27">
        <v>0.1275</v>
      </c>
      <c r="HY39" s="27">
        <v>0.13</v>
      </c>
      <c r="HZ39" s="27">
        <v>0.12</v>
      </c>
      <c r="IA39" s="27">
        <v>7.6999999999999999E-2</v>
      </c>
      <c r="IB39" s="27">
        <v>0.09</v>
      </c>
      <c r="IC39" s="27">
        <v>8.5999999999999993E-2</v>
      </c>
      <c r="ID39" s="27">
        <v>7.0000000000000007E-2</v>
      </c>
      <c r="IE39" s="27">
        <f t="shared" ref="IE39:IG43" si="262">IE38</f>
        <v>0.1</v>
      </c>
      <c r="IF39" s="27">
        <f t="shared" si="262"/>
        <v>0.1</v>
      </c>
      <c r="IG39" s="27">
        <f t="shared" si="262"/>
        <v>0.1</v>
      </c>
    </row>
    <row r="40" spans="1:241" x14ac:dyDescent="0.25">
      <c r="A40" t="s">
        <v>344</v>
      </c>
      <c r="B40" s="76">
        <f>Inputs_Summary!AK37</f>
        <v>0</v>
      </c>
      <c r="D40">
        <f t="shared" si="106"/>
        <v>2050</v>
      </c>
      <c r="E40">
        <f t="shared" si="106"/>
        <v>55</v>
      </c>
      <c r="F40" s="8"/>
      <c r="G40" s="8"/>
      <c r="H40" s="9"/>
      <c r="I40" s="8"/>
      <c r="J40" s="92"/>
      <c r="K40" s="91"/>
      <c r="L40" s="91"/>
      <c r="N40" s="93">
        <f t="shared" si="107"/>
        <v>0.05</v>
      </c>
      <c r="O40" s="23">
        <f t="shared" si="108"/>
        <v>0</v>
      </c>
      <c r="P40" s="23">
        <f t="shared" si="109"/>
        <v>0.4</v>
      </c>
      <c r="Q40" s="4">
        <f t="shared" si="164"/>
        <v>0</v>
      </c>
      <c r="R40" s="4">
        <f t="shared" ref="R40:R71" si="263">G40*AX40*(1+$HW$12)</f>
        <v>0</v>
      </c>
      <c r="S40" s="4">
        <f t="shared" si="165"/>
        <v>0</v>
      </c>
      <c r="T40" s="4">
        <f t="shared" ca="1" si="166"/>
        <v>0</v>
      </c>
      <c r="V40" s="18" t="e">
        <f t="shared" ca="1" si="167"/>
        <v>#NAME?</v>
      </c>
      <c r="W40" s="18" t="e">
        <f t="shared" ca="1" si="168"/>
        <v>#NAME?</v>
      </c>
      <c r="X40" s="18">
        <f t="shared" si="169"/>
        <v>0</v>
      </c>
      <c r="Y40" s="18">
        <f t="shared" ca="1" si="170"/>
        <v>5.6405717394901345</v>
      </c>
      <c r="Z40" s="18">
        <f t="shared" ca="1" si="171"/>
        <v>2.8202858697450672</v>
      </c>
      <c r="AA40" s="18">
        <f t="shared" ca="1" si="172"/>
        <v>5.270092257488133</v>
      </c>
      <c r="AB40" s="18">
        <f t="shared" ca="1" si="173"/>
        <v>0</v>
      </c>
      <c r="AC40" s="18">
        <f t="shared" ca="1" si="174"/>
        <v>573.50353112547134</v>
      </c>
      <c r="AD40" s="18">
        <f t="shared" ca="1" si="175"/>
        <v>137.05759713318588</v>
      </c>
      <c r="AE40" s="18">
        <f t="shared" ca="1" si="176"/>
        <v>154.95152650622236</v>
      </c>
      <c r="AF40" s="18">
        <f t="shared" ca="1" si="177"/>
        <v>0</v>
      </c>
      <c r="AG40" s="18">
        <f t="shared" ca="1" si="178"/>
        <v>865.51265476487958</v>
      </c>
      <c r="AI40">
        <f>Person1!E40</f>
        <v>55</v>
      </c>
      <c r="AJ40">
        <f>Person1!AZ40</f>
        <v>1</v>
      </c>
      <c r="AK40">
        <f>IF(AZ40&lt;&gt;3,Person1!FM40,0)</f>
        <v>0</v>
      </c>
      <c r="AL40" s="4">
        <f ca="1">IF($AZ40&lt;&gt;3,Person1!FN40+Person1!FT40,0)</f>
        <v>12465.975620271613</v>
      </c>
      <c r="AM40">
        <f>IF($AZ40&lt;&gt;3,Person1!FO40,0)</f>
        <v>0</v>
      </c>
      <c r="AN40">
        <f>IF($AZ40&lt;&gt;3,Person1!FP40,0)</f>
        <v>0</v>
      </c>
      <c r="AO40">
        <f>IF($AZ40&lt;&gt;3,Person1!FQ40,0)</f>
        <v>0</v>
      </c>
      <c r="AP40">
        <f>IF($AZ40&lt;&gt;3,Person1!FR40,0)</f>
        <v>0</v>
      </c>
      <c r="AQ40" s="4">
        <f t="shared" si="179"/>
        <v>0</v>
      </c>
      <c r="AR40" s="4">
        <f>Person1!FS40</f>
        <v>0</v>
      </c>
      <c r="AS40" s="4">
        <f>$B$41*MAX(0,CHOOSE($AZ40,0,IF(AND(Person1!AW40&gt;=Person1!$B$36,AV40&gt;=$B$93),Person1!$B$35*(1+Person1!$B$37)^(Person1!$B$36-Person1!$B$11)*(1+Person1!$B$38)^(Person1!AW40-Person1!$B$36)-CHOOSE(Person1!$B$39+1,0,BD40,BE40,BD40+BE40),0),0,0))</f>
        <v>0</v>
      </c>
      <c r="AT40" s="4">
        <f t="shared" si="180"/>
        <v>0</v>
      </c>
      <c r="AV40">
        <f t="shared" ref="AV40:AW55" si="264">AV39+1</f>
        <v>2050</v>
      </c>
      <c r="AW40">
        <f t="shared" si="264"/>
        <v>55</v>
      </c>
      <c r="AX40">
        <f t="shared" si="112"/>
        <v>1.9222314039431532</v>
      </c>
      <c r="AY40">
        <f t="shared" si="113"/>
        <v>0.52022872893901251</v>
      </c>
      <c r="AZ40">
        <f t="shared" si="114"/>
        <v>1</v>
      </c>
      <c r="BB40" s="4">
        <f t="shared" si="181"/>
        <v>90354.03444868495</v>
      </c>
      <c r="BC40">
        <f t="shared" si="182"/>
        <v>0</v>
      </c>
      <c r="BD40" s="4">
        <f t="shared" si="183"/>
        <v>0</v>
      </c>
      <c r="BE40" s="4">
        <f t="shared" si="115"/>
        <v>0</v>
      </c>
      <c r="BF40" s="4">
        <f t="shared" si="116"/>
        <v>0</v>
      </c>
      <c r="BG40" s="4">
        <f t="shared" si="117"/>
        <v>0</v>
      </c>
      <c r="BH40" s="4">
        <f t="shared" si="184"/>
        <v>0</v>
      </c>
      <c r="BI40" s="4">
        <f t="shared" si="118"/>
        <v>90354.03444868495</v>
      </c>
      <c r="BJ40" s="4"/>
      <c r="BK40" s="4">
        <f t="shared" si="185"/>
        <v>48055.785098578832</v>
      </c>
      <c r="BL40" s="4">
        <f t="shared" si="119"/>
        <v>0</v>
      </c>
      <c r="BM40" s="4">
        <f t="shared" si="120"/>
        <v>48055.785098578832</v>
      </c>
      <c r="BN40" s="4">
        <v>15904.186310321473</v>
      </c>
      <c r="BO40" s="4">
        <f t="shared" si="121"/>
        <v>63959.971408900303</v>
      </c>
      <c r="BP40" s="4">
        <f t="shared" si="122"/>
        <v>26394.063039784647</v>
      </c>
      <c r="BQ40" s="4"/>
      <c r="BR40" s="4">
        <v>0</v>
      </c>
      <c r="BS40" s="4">
        <f t="shared" ca="1" si="186"/>
        <v>16263.726200763291</v>
      </c>
      <c r="BT40" s="4">
        <f t="shared" ca="1" si="187"/>
        <v>117032.19140791539</v>
      </c>
      <c r="BU40" s="4">
        <f t="shared" si="188"/>
        <v>0</v>
      </c>
      <c r="BV40" s="4">
        <f t="shared" si="189"/>
        <v>1</v>
      </c>
      <c r="BW40" s="4">
        <f t="shared" ca="1" si="190"/>
        <v>0</v>
      </c>
      <c r="BX40" s="4">
        <f t="shared" ca="1" si="191"/>
        <v>0</v>
      </c>
      <c r="BY40" s="4">
        <f t="shared" ca="1" si="192"/>
        <v>0</v>
      </c>
      <c r="BZ40" s="4">
        <f t="shared" ca="1" si="193"/>
        <v>0</v>
      </c>
      <c r="CA40" s="4">
        <f t="shared" ca="1" si="30"/>
        <v>0</v>
      </c>
      <c r="CB40" s="4">
        <f t="shared" ca="1" si="154"/>
        <v>0</v>
      </c>
      <c r="CC40" s="4"/>
      <c r="CD40" s="4">
        <f t="shared" ca="1" si="194"/>
        <v>90354.03444868495</v>
      </c>
      <c r="CE40" s="4">
        <f t="shared" ca="1" si="123"/>
        <v>68318.26278119818</v>
      </c>
      <c r="CF40" s="16">
        <f t="shared" si="195"/>
        <v>0</v>
      </c>
      <c r="CG40" s="4">
        <f t="shared" si="196"/>
        <v>5772.0454667234699</v>
      </c>
      <c r="CH40" s="4" t="e">
        <f t="shared" ca="1" si="197"/>
        <v>#NAME?</v>
      </c>
      <c r="CI40" s="4" t="e">
        <f t="shared" ca="1" si="198"/>
        <v>#NAME?</v>
      </c>
      <c r="CJ40" s="4" t="e">
        <f t="shared" ca="1" si="124"/>
        <v>#NAME?</v>
      </c>
      <c r="CK40" s="4" t="e">
        <f t="shared" ca="1" si="199"/>
        <v>#NAME?</v>
      </c>
      <c r="CL40" s="4" t="e">
        <f t="shared" ca="1" si="200"/>
        <v>#NAME?</v>
      </c>
      <c r="CM40" s="16"/>
      <c r="CN40" s="4">
        <f t="shared" si="201"/>
        <v>0</v>
      </c>
      <c r="CO40" s="4">
        <f t="shared" si="202"/>
        <v>0</v>
      </c>
      <c r="CP40" s="4">
        <f t="shared" ca="1" si="39"/>
        <v>1663715.6054992601</v>
      </c>
      <c r="CQ40" s="4"/>
      <c r="CR40" s="4">
        <f t="shared" ca="1" si="203"/>
        <v>26394.063039784647</v>
      </c>
      <c r="CS40" s="4">
        <f t="shared" ca="1" si="204"/>
        <v>49740</v>
      </c>
      <c r="CT40" s="4">
        <f t="shared" ca="1" si="205"/>
        <v>16263.726200763291</v>
      </c>
      <c r="CU40" s="4"/>
      <c r="CV40" s="4">
        <f t="shared" ca="1" si="126"/>
        <v>26394.063039784647</v>
      </c>
      <c r="CW40" s="4">
        <f t="shared" ca="1" si="206"/>
        <v>5421.2420669210969</v>
      </c>
      <c r="CX40" s="4">
        <f t="shared" ca="1" si="207"/>
        <v>5421.2420669210969</v>
      </c>
      <c r="CY40" s="4">
        <f t="shared" ca="1" si="127"/>
        <v>20972.820972863548</v>
      </c>
      <c r="CZ40" s="4"/>
      <c r="DA40" s="4">
        <f t="shared" ca="1" si="208"/>
        <v>20972.820972863548</v>
      </c>
      <c r="DB40" s="4">
        <f t="shared" si="209"/>
        <v>0</v>
      </c>
      <c r="DC40" s="4">
        <f t="shared" ca="1" si="128"/>
        <v>5421.2420669210969</v>
      </c>
      <c r="DD40" s="4">
        <f t="shared" ca="1" si="210"/>
        <v>10842.484133842194</v>
      </c>
      <c r="DE40" s="4">
        <f t="shared" ca="1" si="211"/>
        <v>10842.484133842194</v>
      </c>
      <c r="DF40" s="4">
        <f t="shared" ca="1" si="129"/>
        <v>0</v>
      </c>
      <c r="DG40" s="4">
        <f t="shared" ca="1" si="130"/>
        <v>10842.484133842194</v>
      </c>
      <c r="DH40" s="4">
        <f t="shared" ca="1" si="212"/>
        <v>0</v>
      </c>
      <c r="DI40" s="4"/>
      <c r="DJ40" s="4">
        <f t="shared" ca="1" si="213"/>
        <v>10130.336839021355</v>
      </c>
      <c r="DK40" s="4">
        <f t="shared" ca="1" si="214"/>
        <v>11000</v>
      </c>
      <c r="DL40" s="4">
        <f t="shared" ca="1" si="215"/>
        <v>11000</v>
      </c>
      <c r="DM40" s="4">
        <f t="shared" ca="1" si="216"/>
        <v>117032.19140791539</v>
      </c>
      <c r="DN40" s="4">
        <f t="shared" ca="1" si="217"/>
        <v>10130.336839021355</v>
      </c>
      <c r="DO40" s="4">
        <f t="shared" ca="1" si="55"/>
        <v>106901.85456889404</v>
      </c>
      <c r="DP40" s="4"/>
      <c r="DQ40" s="4">
        <f t="shared" ca="1" si="56"/>
        <v>0</v>
      </c>
      <c r="DR40" s="4"/>
      <c r="DS40" s="4">
        <f t="shared" si="131"/>
        <v>0</v>
      </c>
      <c r="DT40" s="4">
        <f t="shared" si="57"/>
        <v>0</v>
      </c>
      <c r="DU40" s="4">
        <f t="shared" si="218"/>
        <v>0</v>
      </c>
      <c r="DV40" s="4"/>
      <c r="DW40" s="4">
        <f t="shared" ref="DW40:DW71" ca="1" si="265">DW39+DY39+DX39-DZ39+EL39-FN39</f>
        <v>1102406.4978016706</v>
      </c>
      <c r="DX40" s="4">
        <f t="shared" ca="1" si="219"/>
        <v>23308.459754113806</v>
      </c>
      <c r="DY40" s="4">
        <f t="shared" ca="1" si="133"/>
        <v>55120.324890083531</v>
      </c>
      <c r="DZ40" s="4">
        <f t="shared" ca="1" si="220"/>
        <v>0</v>
      </c>
      <c r="EA40" s="4">
        <f t="shared" ca="1" si="221"/>
        <v>0</v>
      </c>
      <c r="EB40" s="4">
        <f t="shared" ca="1" si="222"/>
        <v>1157526.8226917542</v>
      </c>
      <c r="EC40" s="4">
        <f t="shared" si="223"/>
        <v>1</v>
      </c>
      <c r="ED40" s="4"/>
      <c r="EE40" s="4">
        <f t="shared" ref="EE40:EE71" ca="1" si="266">EE39+EG39+EF39-EH39-EL39-FO39</f>
        <v>263456.41735839896</v>
      </c>
      <c r="EF40" s="4">
        <f t="shared" ca="1" si="224"/>
        <v>5421.2420669210969</v>
      </c>
      <c r="EG40" s="4">
        <f t="shared" ca="1" si="135"/>
        <v>13172.820867919949</v>
      </c>
      <c r="EH40" s="4">
        <f t="shared" ca="1" si="225"/>
        <v>0</v>
      </c>
      <c r="EI40" s="4">
        <f t="shared" ca="1" si="226"/>
        <v>0</v>
      </c>
      <c r="EJ40" s="4">
        <f t="shared" ca="1" si="227"/>
        <v>0</v>
      </c>
      <c r="EK40" s="4">
        <f t="shared" si="228"/>
        <v>1</v>
      </c>
      <c r="EL40" s="4">
        <f t="shared" si="229"/>
        <v>0</v>
      </c>
      <c r="EM40" s="4"/>
      <c r="EN40" s="4">
        <f t="shared" ref="EN40:EN71" ca="1" si="267">EN39+EP39+EO39-EQ39-FP39</f>
        <v>297852.69033919054</v>
      </c>
      <c r="EO40" s="4">
        <f t="shared" ca="1" si="230"/>
        <v>10130.336839021355</v>
      </c>
      <c r="EP40" s="4">
        <f t="shared" ca="1" si="137"/>
        <v>14892.634516959528</v>
      </c>
      <c r="EQ40" s="4">
        <f t="shared" ca="1" si="231"/>
        <v>0</v>
      </c>
      <c r="ER40" s="4">
        <v>0</v>
      </c>
      <c r="ES40" s="4">
        <f t="shared" ca="1" si="138"/>
        <v>312745.32485615008</v>
      </c>
      <c r="ET40" s="4"/>
      <c r="EU40" s="4">
        <f t="shared" ref="EU40:EU71" ca="1" si="268">EU39+EW39+EV39-EX39-FQ39</f>
        <v>0</v>
      </c>
      <c r="EV40" s="4">
        <f t="shared" ca="1" si="232"/>
        <v>0</v>
      </c>
      <c r="EW40" s="4">
        <f t="shared" ca="1" si="140"/>
        <v>0</v>
      </c>
      <c r="EX40" s="4">
        <f t="shared" ca="1" si="233"/>
        <v>0</v>
      </c>
      <c r="EY40" s="4">
        <v>0</v>
      </c>
      <c r="EZ40" s="4">
        <f t="shared" ca="1" si="141"/>
        <v>0</v>
      </c>
      <c r="FA40" s="4">
        <f t="shared" ref="FA40:FA71" ca="1" si="269">FA39+FC39-FH39-FR39+AP39</f>
        <v>0</v>
      </c>
      <c r="FB40" s="1">
        <f t="shared" ca="1" si="74"/>
        <v>0</v>
      </c>
      <c r="FC40" s="4">
        <f t="shared" ca="1" si="143"/>
        <v>0</v>
      </c>
      <c r="FD40" s="4">
        <f t="shared" ca="1" si="144"/>
        <v>0</v>
      </c>
      <c r="FE40" s="4">
        <f t="shared" ca="1" si="234"/>
        <v>0</v>
      </c>
      <c r="FF40" s="4">
        <f t="shared" ca="1" si="235"/>
        <v>0</v>
      </c>
      <c r="FG40" s="4">
        <f t="shared" ca="1" si="236"/>
        <v>0</v>
      </c>
      <c r="FH40" s="17">
        <f t="shared" ca="1" si="237"/>
        <v>0</v>
      </c>
      <c r="FI40" s="4">
        <f t="shared" ca="1" si="238"/>
        <v>0</v>
      </c>
      <c r="FJ40" s="4"/>
      <c r="FK40" s="4">
        <f t="shared" ca="1" si="239"/>
        <v>1470272.1475479044</v>
      </c>
      <c r="FL40" s="4"/>
      <c r="FM40" s="4">
        <v>0</v>
      </c>
      <c r="FN40" s="4">
        <v>0</v>
      </c>
      <c r="FO40" s="4">
        <v>0</v>
      </c>
      <c r="FP40" s="4">
        <v>0</v>
      </c>
      <c r="FQ40" s="4">
        <v>0</v>
      </c>
      <c r="FR40" s="4">
        <v>0</v>
      </c>
      <c r="FS40" s="4">
        <f t="shared" si="240"/>
        <v>0</v>
      </c>
      <c r="FT40" s="4">
        <f t="shared" ca="1" si="241"/>
        <v>0</v>
      </c>
      <c r="FU40" s="4"/>
      <c r="FV40" s="3">
        <f t="shared" si="242"/>
        <v>0.52022872893901251</v>
      </c>
      <c r="FW40" s="3">
        <f t="shared" si="243"/>
        <v>0.52022872893901251</v>
      </c>
      <c r="FX40" s="4">
        <f t="shared" si="145"/>
        <v>2050</v>
      </c>
      <c r="FY40" s="4">
        <f t="shared" si="244"/>
        <v>47.004764495751125</v>
      </c>
      <c r="FZ40" s="4">
        <f t="shared" si="245"/>
        <v>0</v>
      </c>
      <c r="GA40" s="4">
        <f t="shared" si="246"/>
        <v>0</v>
      </c>
      <c r="GB40" s="4">
        <f t="shared" si="247"/>
        <v>0</v>
      </c>
      <c r="GC40" s="4">
        <f t="shared" ca="1" si="248"/>
        <v>0</v>
      </c>
      <c r="GD40" s="4">
        <f t="shared" ca="1" si="249"/>
        <v>0</v>
      </c>
      <c r="GE40" s="4">
        <f t="shared" ca="1" si="250"/>
        <v>0</v>
      </c>
      <c r="GF40" s="4">
        <f t="shared" ca="1" si="251"/>
        <v>0</v>
      </c>
      <c r="GG40" s="18" t="e">
        <f t="shared" ca="1" si="252"/>
        <v>#NAME?</v>
      </c>
      <c r="GH40" s="18" t="e">
        <f t="shared" ca="1" si="253"/>
        <v>#NAME?</v>
      </c>
      <c r="GI40" s="4"/>
      <c r="GJ40" s="4">
        <f t="shared" si="254"/>
        <v>2050</v>
      </c>
      <c r="GK40" s="4">
        <f t="shared" ca="1" si="255"/>
        <v>573.50353112547134</v>
      </c>
      <c r="GL40" s="4">
        <f t="shared" ca="1" si="256"/>
        <v>137.05759713318588</v>
      </c>
      <c r="GM40" s="4">
        <f t="shared" ca="1" si="257"/>
        <v>154.95152650622236</v>
      </c>
      <c r="GN40" s="4">
        <f t="shared" ca="1" si="258"/>
        <v>0</v>
      </c>
      <c r="GO40" s="4"/>
      <c r="GP40" s="3">
        <f t="shared" ca="1" si="146"/>
        <v>0.78728745873494121</v>
      </c>
      <c r="GQ40" s="3">
        <f t="shared" ca="1" si="259"/>
        <v>0</v>
      </c>
      <c r="GR40" s="3">
        <f t="shared" ca="1" si="260"/>
        <v>0</v>
      </c>
      <c r="GS40" s="3">
        <f t="shared" ca="1" si="261"/>
        <v>0.2127125412650587</v>
      </c>
      <c r="GT40" s="3">
        <f t="array" aca="1" ref="GT40" ca="1">SUM(GP40:GS40*$GU$6:$GX$6)</f>
        <v>0.99999999999999989</v>
      </c>
      <c r="GU40" s="3">
        <f t="shared" ca="1" si="147"/>
        <v>0.78728745873494133</v>
      </c>
      <c r="GV40" s="3">
        <f t="shared" ca="1" si="148"/>
        <v>0</v>
      </c>
      <c r="GW40" s="3">
        <f t="shared" ca="1" si="149"/>
        <v>0</v>
      </c>
      <c r="GX40" s="3">
        <f t="shared" ca="1" si="150"/>
        <v>0.21271254126505873</v>
      </c>
      <c r="GY40" s="11"/>
      <c r="GZ40" s="27">
        <v>82</v>
      </c>
      <c r="HA40" s="30">
        <v>7.3800000000000004E-2</v>
      </c>
      <c r="HB40" s="29">
        <f t="shared" ca="1" si="151"/>
        <v>0.16900000000000001</v>
      </c>
      <c r="HC40" s="29">
        <v>0.16900000000000001</v>
      </c>
      <c r="HD40" s="29">
        <v>0.13800000000000001</v>
      </c>
      <c r="HE40" s="29">
        <v>0.1522</v>
      </c>
      <c r="HG40" s="27">
        <v>80</v>
      </c>
      <c r="HH40" s="30">
        <v>6.8199999999999997E-2</v>
      </c>
      <c r="HJ40">
        <f t="shared" si="153"/>
        <v>2043</v>
      </c>
      <c r="HK40" s="28">
        <f t="shared" si="163"/>
        <v>43300</v>
      </c>
      <c r="HL40" s="27">
        <f t="shared" si="155"/>
        <v>9500</v>
      </c>
      <c r="HM40" s="28">
        <f t="shared" si="156"/>
        <v>9387.8756215260819</v>
      </c>
      <c r="HQ40" s="27">
        <v>0.26</v>
      </c>
      <c r="HR40" s="27">
        <v>0.158</v>
      </c>
      <c r="HS40" s="27">
        <v>0.16700000000000001</v>
      </c>
      <c r="HT40" s="27">
        <v>0.16669999999999999</v>
      </c>
      <c r="HU40" s="27">
        <v>0.16520000000000001</v>
      </c>
      <c r="HV40" s="27">
        <v>0.24</v>
      </c>
      <c r="HW40" s="27">
        <f>0.1116*1.56</f>
        <v>0.174096</v>
      </c>
      <c r="HX40" s="27">
        <v>0.17399999999999999</v>
      </c>
      <c r="HY40" s="27">
        <v>0.15</v>
      </c>
      <c r="HZ40" s="27">
        <v>0.13</v>
      </c>
      <c r="IA40" s="27">
        <v>0.105</v>
      </c>
      <c r="IB40" s="27">
        <v>0.109</v>
      </c>
      <c r="IC40" s="27">
        <v>0.122</v>
      </c>
      <c r="ID40" s="27">
        <v>0.09</v>
      </c>
      <c r="IE40" s="27">
        <f t="shared" si="262"/>
        <v>0.1</v>
      </c>
      <c r="IF40" s="27">
        <f t="shared" si="262"/>
        <v>0.1</v>
      </c>
      <c r="IG40" s="27">
        <f t="shared" si="262"/>
        <v>0.1</v>
      </c>
    </row>
    <row r="41" spans="1:241" x14ac:dyDescent="0.25">
      <c r="A41" t="s">
        <v>345</v>
      </c>
      <c r="B41" s="76">
        <f>Inputs_Summary!AK38</f>
        <v>0.67</v>
      </c>
      <c r="D41">
        <f t="shared" si="106"/>
        <v>2051</v>
      </c>
      <c r="E41">
        <f t="shared" si="106"/>
        <v>56</v>
      </c>
      <c r="F41" s="8"/>
      <c r="G41" s="8"/>
      <c r="H41" s="9"/>
      <c r="I41" s="8"/>
      <c r="J41" s="92"/>
      <c r="K41" s="91"/>
      <c r="L41" s="91"/>
      <c r="N41" s="93">
        <f t="shared" si="107"/>
        <v>0.05</v>
      </c>
      <c r="O41" s="23">
        <f t="shared" si="108"/>
        <v>0</v>
      </c>
      <c r="P41" s="23">
        <f t="shared" si="109"/>
        <v>0.4</v>
      </c>
      <c r="Q41" s="4">
        <f t="shared" si="164"/>
        <v>0</v>
      </c>
      <c r="R41" s="4">
        <f t="shared" si="263"/>
        <v>0</v>
      </c>
      <c r="S41" s="4">
        <f t="shared" si="165"/>
        <v>0</v>
      </c>
      <c r="T41" s="4">
        <f t="shared" ca="1" si="166"/>
        <v>0</v>
      </c>
      <c r="V41" s="18" t="e">
        <f t="shared" ca="1" si="167"/>
        <v>#NAME?</v>
      </c>
      <c r="W41" s="18" t="e">
        <f t="shared" ca="1" si="168"/>
        <v>#NAME?</v>
      </c>
      <c r="X41" s="18">
        <f t="shared" si="169"/>
        <v>0</v>
      </c>
      <c r="Y41" s="18">
        <f t="shared" ca="1" si="170"/>
        <v>5.6682216009582236</v>
      </c>
      <c r="Z41" s="18">
        <f t="shared" ca="1" si="171"/>
        <v>2.8341108004791113</v>
      </c>
      <c r="AA41" s="18">
        <f t="shared" ca="1" si="172"/>
        <v>5.3991013562879093</v>
      </c>
      <c r="AB41" s="18">
        <f t="shared" ca="1" si="173"/>
        <v>0</v>
      </c>
      <c r="AC41" s="18">
        <f t="shared" ca="1" si="174"/>
        <v>602.25925301289567</v>
      </c>
      <c r="AD41" s="18">
        <f t="shared" ca="1" si="175"/>
        <v>143.85368907802962</v>
      </c>
      <c r="AE41" s="18">
        <f t="shared" ca="1" si="176"/>
        <v>164.67568145982514</v>
      </c>
      <c r="AF41" s="18">
        <f t="shared" ca="1" si="177"/>
        <v>0</v>
      </c>
      <c r="AG41" s="18">
        <f t="shared" ca="1" si="178"/>
        <v>910.78862355075046</v>
      </c>
      <c r="AI41">
        <f>Person1!E41</f>
        <v>56</v>
      </c>
      <c r="AJ41">
        <f>Person1!AZ41</f>
        <v>1</v>
      </c>
      <c r="AK41">
        <f>IF(AZ41&lt;&gt;3,Person1!FM41,0)</f>
        <v>0</v>
      </c>
      <c r="AL41" s="4">
        <f ca="1">IF($AZ41&lt;&gt;3,Person1!FN41+Person1!FT41,0)</f>
        <v>12839.954888879762</v>
      </c>
      <c r="AM41">
        <f>IF($AZ41&lt;&gt;3,Person1!FO41,0)</f>
        <v>0</v>
      </c>
      <c r="AN41">
        <f>IF($AZ41&lt;&gt;3,Person1!FP41,0)</f>
        <v>0</v>
      </c>
      <c r="AO41">
        <f>IF($AZ41&lt;&gt;3,Person1!FQ41,0)</f>
        <v>0</v>
      </c>
      <c r="AP41">
        <f>IF($AZ41&lt;&gt;3,Person1!FR41,0)</f>
        <v>0</v>
      </c>
      <c r="AQ41" s="4">
        <f t="shared" si="179"/>
        <v>0</v>
      </c>
      <c r="AR41" s="4">
        <f>Person1!FS41</f>
        <v>0</v>
      </c>
      <c r="AS41" s="4">
        <f>$B$41*MAX(0,CHOOSE($AZ41,0,IF(AND(Person1!AW41&gt;=Person1!$B$36,AV41&gt;=$B$93),Person1!$B$35*(1+Person1!$B$37)^(Person1!$B$36-Person1!$B$11)*(1+Person1!$B$38)^(Person1!AW41-Person1!$B$36)-CHOOSE(Person1!$B$39+1,0,BD41,BE41,BD41+BE41),0),0,0))</f>
        <v>0</v>
      </c>
      <c r="AT41" s="4">
        <f t="shared" si="180"/>
        <v>0</v>
      </c>
      <c r="AV41">
        <f t="shared" si="264"/>
        <v>2051</v>
      </c>
      <c r="AW41">
        <f t="shared" si="264"/>
        <v>56</v>
      </c>
      <c r="AX41">
        <f t="shared" si="112"/>
        <v>1.9606760320220162</v>
      </c>
      <c r="AY41">
        <f t="shared" si="113"/>
        <v>0.51002816562648279</v>
      </c>
      <c r="AZ41">
        <f t="shared" si="114"/>
        <v>1</v>
      </c>
      <c r="BB41" s="4">
        <f t="shared" si="181"/>
        <v>92612.885309902063</v>
      </c>
      <c r="BC41">
        <f t="shared" si="182"/>
        <v>0</v>
      </c>
      <c r="BD41" s="4">
        <f t="shared" si="183"/>
        <v>0</v>
      </c>
      <c r="BE41" s="4">
        <f t="shared" si="115"/>
        <v>0</v>
      </c>
      <c r="BF41" s="4">
        <f t="shared" si="116"/>
        <v>0</v>
      </c>
      <c r="BG41" s="4">
        <f t="shared" si="117"/>
        <v>0</v>
      </c>
      <c r="BH41" s="4">
        <f t="shared" si="184"/>
        <v>0</v>
      </c>
      <c r="BI41" s="4">
        <f t="shared" si="118"/>
        <v>92612.885309902063</v>
      </c>
      <c r="BJ41" s="4"/>
      <c r="BK41" s="4">
        <f t="shared" si="185"/>
        <v>49016.900800550407</v>
      </c>
      <c r="BL41" s="4">
        <f t="shared" si="119"/>
        <v>0</v>
      </c>
      <c r="BM41" s="4">
        <f t="shared" si="120"/>
        <v>49016.900800550407</v>
      </c>
      <c r="BN41" s="4">
        <v>16339.776529838018</v>
      </c>
      <c r="BO41" s="4">
        <f t="shared" si="121"/>
        <v>65356.677330388426</v>
      </c>
      <c r="BP41" s="4">
        <f t="shared" si="122"/>
        <v>27256.207979513638</v>
      </c>
      <c r="BQ41" s="4"/>
      <c r="BR41" s="4">
        <v>0</v>
      </c>
      <c r="BS41" s="4">
        <f t="shared" ca="1" si="186"/>
        <v>16670.319355782372</v>
      </c>
      <c r="BT41" s="4">
        <f t="shared" ca="1" si="187"/>
        <v>117901.85456889404</v>
      </c>
      <c r="BU41" s="4">
        <f t="shared" si="188"/>
        <v>0</v>
      </c>
      <c r="BV41" s="4">
        <f t="shared" si="189"/>
        <v>1</v>
      </c>
      <c r="BW41" s="4">
        <f t="shared" ca="1" si="190"/>
        <v>0</v>
      </c>
      <c r="BX41" s="4">
        <f t="shared" ca="1" si="191"/>
        <v>0</v>
      </c>
      <c r="BY41" s="4">
        <f t="shared" ca="1" si="192"/>
        <v>0</v>
      </c>
      <c r="BZ41" s="4">
        <f t="shared" ca="1" si="193"/>
        <v>0</v>
      </c>
      <c r="CA41" s="4">
        <f t="shared" ca="1" si="30"/>
        <v>0</v>
      </c>
      <c r="CB41" s="4">
        <f t="shared" ca="1" si="154"/>
        <v>0</v>
      </c>
      <c r="CC41" s="4"/>
      <c r="CD41" s="4">
        <f t="shared" ca="1" si="194"/>
        <v>92612.885309902063</v>
      </c>
      <c r="CE41" s="4">
        <f t="shared" ca="1" si="123"/>
        <v>70021.888100728145</v>
      </c>
      <c r="CF41" s="16">
        <f t="shared" si="195"/>
        <v>0</v>
      </c>
      <c r="CG41" s="4">
        <f t="shared" si="196"/>
        <v>5920.6778533915558</v>
      </c>
      <c r="CH41" s="4" t="e">
        <f t="shared" ca="1" si="197"/>
        <v>#NAME?</v>
      </c>
      <c r="CI41" s="4" t="e">
        <f t="shared" ca="1" si="198"/>
        <v>#NAME?</v>
      </c>
      <c r="CJ41" s="4" t="e">
        <f t="shared" ca="1" si="124"/>
        <v>#NAME?</v>
      </c>
      <c r="CK41" s="4" t="e">
        <f t="shared" ca="1" si="199"/>
        <v>#NAME?</v>
      </c>
      <c r="CL41" s="4" t="e">
        <f t="shared" ca="1" si="200"/>
        <v>#NAME?</v>
      </c>
      <c r="CM41" s="16"/>
      <c r="CN41" s="4">
        <f t="shared" si="201"/>
        <v>0</v>
      </c>
      <c r="CO41" s="4">
        <f t="shared" si="202"/>
        <v>0</v>
      </c>
      <c r="CP41" s="4">
        <f ca="1">DW41+EE41+EN41+EU41</f>
        <v>1785761.4244342793</v>
      </c>
      <c r="CQ41" s="4"/>
      <c r="CR41" s="4">
        <f t="shared" ca="1" si="203"/>
        <v>27256.207979513638</v>
      </c>
      <c r="CS41" s="4">
        <f t="shared" ca="1" si="204"/>
        <v>50740</v>
      </c>
      <c r="CT41" s="4">
        <f t="shared" ca="1" si="205"/>
        <v>16670.319355782372</v>
      </c>
      <c r="CU41" s="4"/>
      <c r="CV41" s="4">
        <f t="shared" ca="1" si="126"/>
        <v>27256.207979513638</v>
      </c>
      <c r="CW41" s="4">
        <f t="shared" ca="1" si="206"/>
        <v>5556.7731185941238</v>
      </c>
      <c r="CX41" s="4">
        <f t="shared" ca="1" si="207"/>
        <v>5556.7731185941238</v>
      </c>
      <c r="CY41" s="4">
        <f t="shared" ca="1" si="127"/>
        <v>21699.434860919515</v>
      </c>
      <c r="CZ41" s="4"/>
      <c r="DA41" s="4">
        <f t="shared" ca="1" si="208"/>
        <v>21699.434860919515</v>
      </c>
      <c r="DB41" s="4">
        <f t="shared" si="209"/>
        <v>0</v>
      </c>
      <c r="DC41" s="4">
        <f t="shared" ca="1" si="128"/>
        <v>5556.7731185941238</v>
      </c>
      <c r="DD41" s="4">
        <f t="shared" ca="1" si="210"/>
        <v>11113.54623718825</v>
      </c>
      <c r="DE41" s="4">
        <f t="shared" ca="1" si="211"/>
        <v>11113.54623718825</v>
      </c>
      <c r="DF41" s="4">
        <f t="shared" ca="1" si="129"/>
        <v>0</v>
      </c>
      <c r="DG41" s="4">
        <f t="shared" ca="1" si="130"/>
        <v>11113.54623718825</v>
      </c>
      <c r="DH41" s="4">
        <f t="shared" ca="1" si="212"/>
        <v>0</v>
      </c>
      <c r="DI41" s="4"/>
      <c r="DJ41" s="4">
        <f t="shared" ca="1" si="213"/>
        <v>10585.888623731265</v>
      </c>
      <c r="DK41" s="4">
        <f t="shared" ca="1" si="214"/>
        <v>11000</v>
      </c>
      <c r="DL41" s="4">
        <f t="shared" ca="1" si="215"/>
        <v>11000</v>
      </c>
      <c r="DM41" s="4">
        <f t="shared" ca="1" si="216"/>
        <v>117901.85456889404</v>
      </c>
      <c r="DN41" s="4">
        <f t="shared" ca="1" si="217"/>
        <v>10585.888623731265</v>
      </c>
      <c r="DO41" s="4">
        <f t="shared" ca="1" si="55"/>
        <v>107315.96594516277</v>
      </c>
      <c r="DP41" s="4"/>
      <c r="DQ41" s="4">
        <f t="shared" ca="1" si="56"/>
        <v>0</v>
      </c>
      <c r="DR41" s="4"/>
      <c r="DS41" s="4">
        <f t="shared" si="131"/>
        <v>0</v>
      </c>
      <c r="DT41" s="4">
        <f t="shared" si="57"/>
        <v>0</v>
      </c>
      <c r="DU41" s="4">
        <f t="shared" si="218"/>
        <v>0</v>
      </c>
      <c r="DV41" s="4"/>
      <c r="DW41" s="4">
        <f t="shared" ca="1" si="265"/>
        <v>1180835.282445868</v>
      </c>
      <c r="DX41" s="4">
        <f t="shared" ca="1" si="219"/>
        <v>23953.501126068011</v>
      </c>
      <c r="DY41" s="4">
        <f t="shared" ca="1" si="133"/>
        <v>59041.764122293403</v>
      </c>
      <c r="DZ41" s="4">
        <f t="shared" ca="1" si="220"/>
        <v>0</v>
      </c>
      <c r="EA41" s="4">
        <f t="shared" ca="1" si="221"/>
        <v>0</v>
      </c>
      <c r="EB41" s="4">
        <f t="shared" ca="1" si="222"/>
        <v>1239877.0465681613</v>
      </c>
      <c r="EC41" s="4">
        <f t="shared" si="223"/>
        <v>1</v>
      </c>
      <c r="ED41" s="4"/>
      <c r="EE41" s="4">
        <f t="shared" ca="1" si="266"/>
        <v>282050.48029323999</v>
      </c>
      <c r="EF41" s="4">
        <f t="shared" ca="1" si="224"/>
        <v>5556.7731185941238</v>
      </c>
      <c r="EG41" s="4">
        <f t="shared" ca="1" si="135"/>
        <v>14102.524014662</v>
      </c>
      <c r="EH41" s="4">
        <f t="shared" ca="1" si="225"/>
        <v>0</v>
      </c>
      <c r="EI41" s="4">
        <f t="shared" ca="1" si="226"/>
        <v>0</v>
      </c>
      <c r="EJ41" s="4">
        <f t="shared" ca="1" si="227"/>
        <v>0</v>
      </c>
      <c r="EK41" s="4">
        <f t="shared" si="228"/>
        <v>1</v>
      </c>
      <c r="EL41" s="4">
        <f t="shared" si="229"/>
        <v>0</v>
      </c>
      <c r="EM41" s="4"/>
      <c r="EN41" s="4">
        <f t="shared" ca="1" si="267"/>
        <v>322875.66169517144</v>
      </c>
      <c r="EO41" s="4">
        <f t="shared" ca="1" si="230"/>
        <v>10585.888623731265</v>
      </c>
      <c r="EP41" s="4">
        <f t="shared" ca="1" si="137"/>
        <v>16143.783084758572</v>
      </c>
      <c r="EQ41" s="4">
        <f t="shared" ca="1" si="231"/>
        <v>0</v>
      </c>
      <c r="ER41" s="4">
        <v>0</v>
      </c>
      <c r="ES41" s="4">
        <f t="shared" ca="1" si="138"/>
        <v>339019.44477993</v>
      </c>
      <c r="ET41" s="4"/>
      <c r="EU41" s="4">
        <f t="shared" ca="1" si="268"/>
        <v>0</v>
      </c>
      <c r="EV41" s="4">
        <f t="shared" ca="1" si="232"/>
        <v>0</v>
      </c>
      <c r="EW41" s="4">
        <f t="shared" ca="1" si="140"/>
        <v>0</v>
      </c>
      <c r="EX41" s="4">
        <f t="shared" ca="1" si="233"/>
        <v>0</v>
      </c>
      <c r="EY41" s="4">
        <v>0</v>
      </c>
      <c r="EZ41" s="4">
        <f t="shared" ca="1" si="141"/>
        <v>0</v>
      </c>
      <c r="FA41" s="4">
        <f t="shared" ca="1" si="269"/>
        <v>0</v>
      </c>
      <c r="FB41" s="1">
        <f t="shared" ca="1" si="74"/>
        <v>0</v>
      </c>
      <c r="FC41" s="4">
        <f t="shared" ca="1" si="143"/>
        <v>0</v>
      </c>
      <c r="FD41" s="4">
        <f t="shared" ca="1" si="144"/>
        <v>0</v>
      </c>
      <c r="FE41" s="4">
        <f t="shared" ca="1" si="234"/>
        <v>0</v>
      </c>
      <c r="FF41" s="4">
        <f t="shared" ca="1" si="235"/>
        <v>0</v>
      </c>
      <c r="FG41" s="4">
        <f t="shared" ca="1" si="236"/>
        <v>0</v>
      </c>
      <c r="FH41" s="17">
        <f t="shared" ca="1" si="237"/>
        <v>0</v>
      </c>
      <c r="FI41" s="4">
        <f t="shared" ca="1" si="238"/>
        <v>0</v>
      </c>
      <c r="FJ41" s="4"/>
      <c r="FK41" s="4">
        <f t="shared" ca="1" si="239"/>
        <v>1578896.4913480913</v>
      </c>
      <c r="FL41" s="4"/>
      <c r="FM41" s="4">
        <v>0</v>
      </c>
      <c r="FN41" s="4">
        <v>0</v>
      </c>
      <c r="FO41" s="4">
        <v>0</v>
      </c>
      <c r="FP41" s="4">
        <v>0</v>
      </c>
      <c r="FQ41" s="4">
        <v>0</v>
      </c>
      <c r="FR41" s="4">
        <v>0</v>
      </c>
      <c r="FS41" s="4">
        <f t="shared" si="240"/>
        <v>0</v>
      </c>
      <c r="FT41" s="4">
        <f t="shared" ca="1" si="241"/>
        <v>0</v>
      </c>
      <c r="FU41" s="4"/>
      <c r="FV41" s="3">
        <f t="shared" si="242"/>
        <v>0.51002816562648279</v>
      </c>
      <c r="FW41" s="3">
        <f t="shared" si="243"/>
        <v>0.51002816562648279</v>
      </c>
      <c r="FX41" s="4">
        <f t="shared" si="145"/>
        <v>2051</v>
      </c>
      <c r="FY41" s="4">
        <f t="shared" si="244"/>
        <v>47.235180007985178</v>
      </c>
      <c r="FZ41" s="4">
        <f t="shared" si="245"/>
        <v>0</v>
      </c>
      <c r="GA41" s="4">
        <f t="shared" si="246"/>
        <v>0</v>
      </c>
      <c r="GB41" s="4">
        <f t="shared" si="247"/>
        <v>0</v>
      </c>
      <c r="GC41" s="4">
        <f t="shared" ca="1" si="248"/>
        <v>0</v>
      </c>
      <c r="GD41" s="4">
        <f t="shared" ca="1" si="249"/>
        <v>0</v>
      </c>
      <c r="GE41" s="4">
        <f t="shared" ca="1" si="250"/>
        <v>0</v>
      </c>
      <c r="GF41" s="4">
        <f t="shared" ca="1" si="251"/>
        <v>0</v>
      </c>
      <c r="GG41" s="18" t="e">
        <f t="shared" ca="1" si="252"/>
        <v>#NAME?</v>
      </c>
      <c r="GH41" s="18" t="e">
        <f t="shared" ca="1" si="253"/>
        <v>#NAME?</v>
      </c>
      <c r="GI41" s="4"/>
      <c r="GJ41" s="4">
        <f t="shared" si="254"/>
        <v>2051</v>
      </c>
      <c r="GK41" s="4">
        <f t="shared" ca="1" si="255"/>
        <v>602.25925301289567</v>
      </c>
      <c r="GL41" s="4">
        <f t="shared" ca="1" si="256"/>
        <v>143.85368907802962</v>
      </c>
      <c r="GM41" s="4">
        <f t="shared" ca="1" si="257"/>
        <v>164.67568145982514</v>
      </c>
      <c r="GN41" s="4">
        <f t="shared" ca="1" si="258"/>
        <v>0</v>
      </c>
      <c r="GO41" s="4"/>
      <c r="GP41" s="3">
        <f t="shared" ca="1" si="146"/>
        <v>0.78528076625816756</v>
      </c>
      <c r="GQ41" s="3">
        <f t="shared" ca="1" si="259"/>
        <v>0</v>
      </c>
      <c r="GR41" s="3">
        <f t="shared" ca="1" si="260"/>
        <v>0</v>
      </c>
      <c r="GS41" s="3">
        <f t="shared" ca="1" si="261"/>
        <v>0.21471923374183249</v>
      </c>
      <c r="GT41" s="3">
        <f t="array" aca="1" ref="GT41" ca="1">SUM(GP41:GS41*$GU$6:$GX$6)</f>
        <v>1</v>
      </c>
      <c r="GU41" s="3">
        <f t="shared" ca="1" si="147"/>
        <v>0.78528076625816756</v>
      </c>
      <c r="GV41" s="3">
        <f t="shared" ca="1" si="148"/>
        <v>0</v>
      </c>
      <c r="GW41" s="3">
        <f t="shared" ca="1" si="149"/>
        <v>0</v>
      </c>
      <c r="GX41" s="3">
        <f t="shared" ca="1" si="150"/>
        <v>0.21471923374183249</v>
      </c>
      <c r="GY41" s="11"/>
      <c r="GZ41" s="27">
        <v>83</v>
      </c>
      <c r="HA41" s="30">
        <v>7.7100000000000002E-2</v>
      </c>
      <c r="HB41" s="29">
        <f t="shared" ca="1" si="151"/>
        <v>0.19189999999999999</v>
      </c>
      <c r="HC41" s="29">
        <v>0.19189999999999999</v>
      </c>
      <c r="HD41" s="29">
        <v>0.14799999999999999</v>
      </c>
      <c r="HE41" s="29">
        <v>0.1757</v>
      </c>
      <c r="HG41" s="27">
        <v>81</v>
      </c>
      <c r="HH41" s="30">
        <v>7.0800000000000002E-2</v>
      </c>
      <c r="HJ41">
        <f t="shared" si="153"/>
        <v>2044</v>
      </c>
      <c r="HK41" s="28">
        <f t="shared" si="163"/>
        <v>44170</v>
      </c>
      <c r="HL41" s="27">
        <f t="shared" si="155"/>
        <v>9500</v>
      </c>
      <c r="HM41" s="28">
        <f t="shared" si="156"/>
        <v>9575.6331339566041</v>
      </c>
      <c r="HQ41" s="27">
        <v>0.28999999999999998</v>
      </c>
      <c r="HR41" s="27">
        <v>0.17299999999999999</v>
      </c>
      <c r="HS41" s="27">
        <v>0.1837</v>
      </c>
      <c r="HT41" s="27">
        <v>0.17499999999999999</v>
      </c>
      <c r="HU41" s="27">
        <v>0.1784</v>
      </c>
      <c r="HV41" s="27">
        <v>0.25750000000000001</v>
      </c>
      <c r="HW41" s="27">
        <f>0.1216*1.56</f>
        <v>0.189696</v>
      </c>
      <c r="HX41" s="27">
        <f t="shared" ref="HX41:HZ43" si="270">HX40</f>
        <v>0.17399999999999999</v>
      </c>
      <c r="HY41" s="27">
        <f t="shared" si="270"/>
        <v>0.15</v>
      </c>
      <c r="HZ41" s="27">
        <v>0.14000000000000001</v>
      </c>
      <c r="IA41" s="27">
        <v>0.1229</v>
      </c>
      <c r="IB41" s="27">
        <v>0.128</v>
      </c>
      <c r="IC41" s="27">
        <v>0.14050000000000001</v>
      </c>
      <c r="ID41" s="27">
        <v>0.115</v>
      </c>
      <c r="IE41" s="27">
        <f t="shared" si="262"/>
        <v>0.1</v>
      </c>
      <c r="IF41" s="27">
        <f t="shared" si="262"/>
        <v>0.1</v>
      </c>
      <c r="IG41" s="27">
        <f t="shared" si="262"/>
        <v>0.1</v>
      </c>
    </row>
    <row r="42" spans="1:241" x14ac:dyDescent="0.25">
      <c r="A42" t="s">
        <v>65</v>
      </c>
      <c r="B42" s="62">
        <f>Inputs_Summary!AK39</f>
        <v>65</v>
      </c>
      <c r="D42">
        <f t="shared" si="106"/>
        <v>2052</v>
      </c>
      <c r="E42">
        <f t="shared" si="106"/>
        <v>57</v>
      </c>
      <c r="F42" s="8"/>
      <c r="G42" s="8"/>
      <c r="H42" s="9"/>
      <c r="I42" s="8"/>
      <c r="J42" s="92"/>
      <c r="K42" s="91"/>
      <c r="L42" s="91"/>
      <c r="N42" s="93">
        <f t="shared" si="107"/>
        <v>0.05</v>
      </c>
      <c r="O42" s="23">
        <f t="shared" si="108"/>
        <v>0</v>
      </c>
      <c r="P42" s="23">
        <f t="shared" si="109"/>
        <v>0.4</v>
      </c>
      <c r="Q42" s="4">
        <f t="shared" si="164"/>
        <v>0</v>
      </c>
      <c r="R42" s="4">
        <f t="shared" si="263"/>
        <v>0</v>
      </c>
      <c r="S42" s="4">
        <f t="shared" si="165"/>
        <v>0</v>
      </c>
      <c r="T42" s="4">
        <f t="shared" ca="1" si="166"/>
        <v>0</v>
      </c>
      <c r="V42" s="18" t="e">
        <f t="shared" ca="1" si="167"/>
        <v>#NAME?</v>
      </c>
      <c r="W42" s="18" t="e">
        <f t="shared" ca="1" si="168"/>
        <v>#NAME?</v>
      </c>
      <c r="X42" s="18">
        <f t="shared" si="169"/>
        <v>0</v>
      </c>
      <c r="Y42" s="18">
        <f t="shared" ca="1" si="170"/>
        <v>5.6960070009629202</v>
      </c>
      <c r="Z42" s="18">
        <f t="shared" ca="1" si="171"/>
        <v>2.8480035004814601</v>
      </c>
      <c r="AA42" s="18">
        <f t="shared" ca="1" si="172"/>
        <v>5.5287753387998393</v>
      </c>
      <c r="AB42" s="18">
        <f t="shared" ca="1" si="173"/>
        <v>0</v>
      </c>
      <c r="AC42" s="18">
        <f t="shared" ca="1" si="174"/>
        <v>631.9501724541185</v>
      </c>
      <c r="AD42" s="18">
        <f t="shared" ca="1" si="175"/>
        <v>150.86321993373556</v>
      </c>
      <c r="AE42" s="18">
        <f t="shared" ca="1" si="176"/>
        <v>174.81232047951403</v>
      </c>
      <c r="AF42" s="18">
        <f t="shared" ca="1" si="177"/>
        <v>0</v>
      </c>
      <c r="AG42" s="18">
        <f t="shared" ca="1" si="178"/>
        <v>957.62571286736807</v>
      </c>
      <c r="AI42">
        <f>Person1!E42</f>
        <v>57</v>
      </c>
      <c r="AJ42">
        <f>Person1!AZ42</f>
        <v>1</v>
      </c>
      <c r="AK42">
        <f>IF(AZ42&lt;&gt;3,Person1!FM42,0)</f>
        <v>0</v>
      </c>
      <c r="AL42" s="4">
        <f ca="1">IF($AZ42&lt;&gt;3,Person1!FN42+Person1!FT42,0)</f>
        <v>13225.153535546156</v>
      </c>
      <c r="AM42">
        <f>IF($AZ42&lt;&gt;3,Person1!FO42,0)</f>
        <v>0</v>
      </c>
      <c r="AN42">
        <f>IF($AZ42&lt;&gt;3,Person1!FP42,0)</f>
        <v>0</v>
      </c>
      <c r="AO42">
        <f>IF($AZ42&lt;&gt;3,Person1!FQ42,0)</f>
        <v>0</v>
      </c>
      <c r="AP42">
        <f>IF($AZ42&lt;&gt;3,Person1!FR42,0)</f>
        <v>0</v>
      </c>
      <c r="AQ42" s="4">
        <f t="shared" si="179"/>
        <v>0</v>
      </c>
      <c r="AR42" s="4">
        <f>Person1!FS42</f>
        <v>0</v>
      </c>
      <c r="AS42" s="4">
        <f>$B$41*MAX(0,CHOOSE($AZ42,0,IF(AND(Person1!AW42&gt;=Person1!$B$36,AV42&gt;=$B$93),Person1!$B$35*(1+Person1!$B$37)^(Person1!$B$36-Person1!$B$11)*(1+Person1!$B$38)^(Person1!AW42-Person1!$B$36)-CHOOSE(Person1!$B$39+1,0,BD42,BE42,BD42+BE42),0),0,0))</f>
        <v>0</v>
      </c>
      <c r="AT42" s="4">
        <f t="shared" si="180"/>
        <v>0</v>
      </c>
      <c r="AV42">
        <f t="shared" si="264"/>
        <v>2052</v>
      </c>
      <c r="AW42">
        <f t="shared" si="264"/>
        <v>57</v>
      </c>
      <c r="AX42">
        <f t="shared" si="112"/>
        <v>1.9998895526624565</v>
      </c>
      <c r="AY42">
        <f t="shared" si="113"/>
        <v>0.50002761335929691</v>
      </c>
      <c r="AZ42">
        <f t="shared" si="114"/>
        <v>1</v>
      </c>
      <c r="BB42" s="4">
        <f t="shared" si="181"/>
        <v>94928.207442649611</v>
      </c>
      <c r="BC42">
        <f t="shared" si="182"/>
        <v>0</v>
      </c>
      <c r="BD42" s="4">
        <f t="shared" si="183"/>
        <v>0</v>
      </c>
      <c r="BE42" s="4">
        <f t="shared" si="115"/>
        <v>0</v>
      </c>
      <c r="BF42" s="4">
        <f t="shared" si="116"/>
        <v>0</v>
      </c>
      <c r="BG42" s="4">
        <f t="shared" si="117"/>
        <v>0</v>
      </c>
      <c r="BH42" s="4">
        <f t="shared" si="184"/>
        <v>0</v>
      </c>
      <c r="BI42" s="4">
        <f t="shared" si="118"/>
        <v>94928.207442649611</v>
      </c>
      <c r="BJ42" s="4"/>
      <c r="BK42" s="4">
        <f t="shared" si="185"/>
        <v>49997.23881656141</v>
      </c>
      <c r="BL42" s="4">
        <f t="shared" si="119"/>
        <v>0</v>
      </c>
      <c r="BM42" s="4">
        <f t="shared" si="120"/>
        <v>49997.23881656141</v>
      </c>
      <c r="BN42" s="4">
        <v>16786.951247327641</v>
      </c>
      <c r="BO42" s="4">
        <f t="shared" si="121"/>
        <v>66784.190063889051</v>
      </c>
      <c r="BP42" s="4">
        <f t="shared" si="122"/>
        <v>28144.01737876056</v>
      </c>
      <c r="BQ42" s="4"/>
      <c r="BR42" s="4">
        <v>0</v>
      </c>
      <c r="BS42" s="4">
        <f t="shared" ca="1" si="186"/>
        <v>17087.077339676929</v>
      </c>
      <c r="BT42" s="4">
        <f t="shared" ca="1" si="187"/>
        <v>118315.96594516277</v>
      </c>
      <c r="BU42" s="4">
        <f t="shared" si="188"/>
        <v>0</v>
      </c>
      <c r="BV42" s="4">
        <f t="shared" si="189"/>
        <v>1</v>
      </c>
      <c r="BW42" s="4">
        <f t="shared" ca="1" si="190"/>
        <v>0</v>
      </c>
      <c r="BX42" s="4">
        <f t="shared" ca="1" si="191"/>
        <v>0</v>
      </c>
      <c r="BY42" s="4">
        <f t="shared" ca="1" si="192"/>
        <v>0</v>
      </c>
      <c r="BZ42" s="4">
        <f t="shared" ca="1" si="193"/>
        <v>0</v>
      </c>
      <c r="CA42" s="4">
        <f t="shared" ca="1" si="30"/>
        <v>0</v>
      </c>
      <c r="CB42" s="4">
        <f t="shared" ca="1" si="154"/>
        <v>0</v>
      </c>
      <c r="CC42" s="4"/>
      <c r="CD42" s="4">
        <f t="shared" ca="1" si="194"/>
        <v>94928.207442649611</v>
      </c>
      <c r="CE42" s="4">
        <f t="shared" ca="1" si="123"/>
        <v>71768.104053246323</v>
      </c>
      <c r="CF42" s="16">
        <f t="shared" si="195"/>
        <v>0</v>
      </c>
      <c r="CG42" s="4">
        <f t="shared" si="196"/>
        <v>6073.0260497263444</v>
      </c>
      <c r="CH42" s="4" t="e">
        <f t="shared" ca="1" si="197"/>
        <v>#NAME?</v>
      </c>
      <c r="CI42" s="4" t="e">
        <f t="shared" ca="1" si="198"/>
        <v>#NAME?</v>
      </c>
      <c r="CJ42" s="4" t="e">
        <f t="shared" ca="1" si="124"/>
        <v>#NAME?</v>
      </c>
      <c r="CK42" s="4" t="e">
        <f t="shared" ca="1" si="199"/>
        <v>#NAME?</v>
      </c>
      <c r="CL42" s="4" t="e">
        <f t="shared" ca="1" si="200"/>
        <v>#NAME?</v>
      </c>
      <c r="CM42" s="16"/>
      <c r="CN42" s="4">
        <f t="shared" si="201"/>
        <v>0</v>
      </c>
      <c r="CO42" s="4">
        <f t="shared" si="202"/>
        <v>0</v>
      </c>
      <c r="CP42" s="4">
        <f t="shared" ref="CP42:CP86" ca="1" si="271">DW42+EE42+EN42+EU42</f>
        <v>1915145.6585243866</v>
      </c>
      <c r="CQ42" s="4"/>
      <c r="CR42" s="4">
        <f t="shared" ca="1" si="203"/>
        <v>28144.01737876056</v>
      </c>
      <c r="CS42" s="4">
        <f t="shared" ca="1" si="204"/>
        <v>51750</v>
      </c>
      <c r="CT42" s="4">
        <f t="shared" ca="1" si="205"/>
        <v>17087.077339676929</v>
      </c>
      <c r="CU42" s="4"/>
      <c r="CV42" s="4">
        <f t="shared" ca="1" si="126"/>
        <v>28144.01737876056</v>
      </c>
      <c r="CW42" s="4">
        <f t="shared" ca="1" si="206"/>
        <v>5695.6924465589764</v>
      </c>
      <c r="CX42" s="4">
        <f t="shared" ca="1" si="207"/>
        <v>5695.6924465589764</v>
      </c>
      <c r="CY42" s="4">
        <f t="shared" ca="1" si="127"/>
        <v>22448.324932201584</v>
      </c>
      <c r="CZ42" s="4"/>
      <c r="DA42" s="4">
        <f t="shared" ca="1" si="208"/>
        <v>22448.324932201584</v>
      </c>
      <c r="DB42" s="4">
        <f t="shared" si="209"/>
        <v>0</v>
      </c>
      <c r="DC42" s="4">
        <f t="shared" ca="1" si="128"/>
        <v>5695.6924465589764</v>
      </c>
      <c r="DD42" s="4">
        <f t="shared" ca="1" si="210"/>
        <v>11391.384893117953</v>
      </c>
      <c r="DE42" s="4">
        <f t="shared" ca="1" si="211"/>
        <v>11391.384893117953</v>
      </c>
      <c r="DF42" s="4">
        <f t="shared" ca="1" si="129"/>
        <v>0</v>
      </c>
      <c r="DG42" s="4">
        <f t="shared" ca="1" si="130"/>
        <v>11391.384893117953</v>
      </c>
      <c r="DH42" s="4">
        <f t="shared" ca="1" si="212"/>
        <v>0</v>
      </c>
      <c r="DI42" s="4"/>
      <c r="DJ42" s="4">
        <f t="shared" ca="1" si="213"/>
        <v>11056.940039083631</v>
      </c>
      <c r="DK42" s="4">
        <f t="shared" ca="1" si="214"/>
        <v>11000</v>
      </c>
      <c r="DL42" s="4">
        <f t="shared" ca="1" si="215"/>
        <v>11000</v>
      </c>
      <c r="DM42" s="4">
        <f t="shared" ca="1" si="216"/>
        <v>118315.96594516277</v>
      </c>
      <c r="DN42" s="4">
        <f t="shared" ca="1" si="217"/>
        <v>11056.940039083631</v>
      </c>
      <c r="DO42" s="4">
        <f t="shared" ca="1" si="55"/>
        <v>107259.02590607913</v>
      </c>
      <c r="DP42" s="4"/>
      <c r="DQ42" s="4">
        <f t="shared" ca="1" si="56"/>
        <v>0</v>
      </c>
      <c r="DR42" s="4"/>
      <c r="DS42" s="4">
        <f t="shared" si="131"/>
        <v>0</v>
      </c>
      <c r="DT42" s="4">
        <f t="shared" si="57"/>
        <v>0</v>
      </c>
      <c r="DU42" s="4">
        <f t="shared" si="218"/>
        <v>0</v>
      </c>
      <c r="DV42" s="4"/>
      <c r="DW42" s="4">
        <f t="shared" ca="1" si="265"/>
        <v>1263830.5476942293</v>
      </c>
      <c r="DX42" s="4">
        <f t="shared" ca="1" si="219"/>
        <v>24616.538428664109</v>
      </c>
      <c r="DY42" s="4">
        <f t="shared" ca="1" si="133"/>
        <v>63191.527384711466</v>
      </c>
      <c r="DZ42" s="4">
        <f t="shared" ca="1" si="220"/>
        <v>0</v>
      </c>
      <c r="EA42" s="4">
        <f t="shared" ca="1" si="221"/>
        <v>0</v>
      </c>
      <c r="EB42" s="4">
        <f t="shared" ca="1" si="222"/>
        <v>1327022.0750789407</v>
      </c>
      <c r="EC42" s="4">
        <f t="shared" si="223"/>
        <v>1</v>
      </c>
      <c r="ED42" s="4"/>
      <c r="EE42" s="4">
        <f t="shared" ca="1" si="266"/>
        <v>301709.77742649615</v>
      </c>
      <c r="EF42" s="4">
        <f t="shared" ca="1" si="224"/>
        <v>5695.6924465589764</v>
      </c>
      <c r="EG42" s="4">
        <f t="shared" ca="1" si="135"/>
        <v>15085.488871324807</v>
      </c>
      <c r="EH42" s="4">
        <f t="shared" ca="1" si="225"/>
        <v>0</v>
      </c>
      <c r="EI42" s="4">
        <f t="shared" ca="1" si="226"/>
        <v>0</v>
      </c>
      <c r="EJ42" s="4">
        <f t="shared" ca="1" si="227"/>
        <v>0</v>
      </c>
      <c r="EK42" s="4">
        <f t="shared" si="228"/>
        <v>1</v>
      </c>
      <c r="EL42" s="4">
        <f t="shared" si="229"/>
        <v>0</v>
      </c>
      <c r="EM42" s="4"/>
      <c r="EN42" s="4">
        <f t="shared" ca="1" si="267"/>
        <v>349605.33340366127</v>
      </c>
      <c r="EO42" s="4">
        <f t="shared" ca="1" si="230"/>
        <v>11056.940039083631</v>
      </c>
      <c r="EP42" s="4">
        <f t="shared" ca="1" si="137"/>
        <v>17480.266670183064</v>
      </c>
      <c r="EQ42" s="4">
        <f t="shared" ca="1" si="231"/>
        <v>0</v>
      </c>
      <c r="ER42" s="4">
        <v>0</v>
      </c>
      <c r="ES42" s="4">
        <f t="shared" ca="1" si="138"/>
        <v>367085.60007384431</v>
      </c>
      <c r="ET42" s="4"/>
      <c r="EU42" s="4">
        <f t="shared" ca="1" si="268"/>
        <v>0</v>
      </c>
      <c r="EV42" s="4">
        <f t="shared" ca="1" si="232"/>
        <v>0</v>
      </c>
      <c r="EW42" s="4">
        <f t="shared" ca="1" si="140"/>
        <v>0</v>
      </c>
      <c r="EX42" s="4">
        <f t="shared" ca="1" si="233"/>
        <v>0</v>
      </c>
      <c r="EY42" s="4">
        <v>0</v>
      </c>
      <c r="EZ42" s="4">
        <f t="shared" ca="1" si="141"/>
        <v>0</v>
      </c>
      <c r="FA42" s="4">
        <f t="shared" ca="1" si="269"/>
        <v>0</v>
      </c>
      <c r="FB42" s="1">
        <f t="shared" ca="1" si="74"/>
        <v>0</v>
      </c>
      <c r="FC42" s="4">
        <f t="shared" ca="1" si="143"/>
        <v>0</v>
      </c>
      <c r="FD42" s="4">
        <f t="shared" ca="1" si="144"/>
        <v>0</v>
      </c>
      <c r="FE42" s="4">
        <f t="shared" ca="1" si="234"/>
        <v>0</v>
      </c>
      <c r="FF42" s="4">
        <f t="shared" ca="1" si="235"/>
        <v>0</v>
      </c>
      <c r="FG42" s="4">
        <f t="shared" ca="1" si="236"/>
        <v>0</v>
      </c>
      <c r="FH42" s="17">
        <f t="shared" ca="1" si="237"/>
        <v>0</v>
      </c>
      <c r="FI42" s="4">
        <f t="shared" ca="1" si="238"/>
        <v>0</v>
      </c>
      <c r="FJ42" s="4"/>
      <c r="FK42" s="4">
        <f t="shared" ca="1" si="239"/>
        <v>1694107.6751527851</v>
      </c>
      <c r="FL42" s="4"/>
      <c r="FM42" s="4">
        <v>0</v>
      </c>
      <c r="FN42" s="4">
        <v>0</v>
      </c>
      <c r="FO42" s="4">
        <v>0</v>
      </c>
      <c r="FP42" s="4">
        <v>0</v>
      </c>
      <c r="FQ42" s="4">
        <v>0</v>
      </c>
      <c r="FR42" s="4">
        <v>0</v>
      </c>
      <c r="FS42" s="4">
        <f t="shared" si="240"/>
        <v>0</v>
      </c>
      <c r="FT42" s="4">
        <f t="shared" ca="1" si="241"/>
        <v>0</v>
      </c>
      <c r="FU42" s="4"/>
      <c r="FV42" s="3">
        <f t="shared" si="242"/>
        <v>0.50002761335929691</v>
      </c>
      <c r="FW42" s="3">
        <f t="shared" si="243"/>
        <v>0.50002761335929691</v>
      </c>
      <c r="FX42" s="4">
        <f t="shared" si="145"/>
        <v>2052</v>
      </c>
      <c r="FY42" s="4">
        <f t="shared" si="244"/>
        <v>47.466725008024333</v>
      </c>
      <c r="FZ42" s="4">
        <f t="shared" si="245"/>
        <v>0</v>
      </c>
      <c r="GA42" s="4">
        <f t="shared" si="246"/>
        <v>0</v>
      </c>
      <c r="GB42" s="4">
        <f t="shared" si="247"/>
        <v>0</v>
      </c>
      <c r="GC42" s="4">
        <f t="shared" ca="1" si="248"/>
        <v>0</v>
      </c>
      <c r="GD42" s="4">
        <f t="shared" ca="1" si="249"/>
        <v>0</v>
      </c>
      <c r="GE42" s="4">
        <f t="shared" ca="1" si="250"/>
        <v>0</v>
      </c>
      <c r="GF42" s="4">
        <f t="shared" ca="1" si="251"/>
        <v>0</v>
      </c>
      <c r="GG42" s="18" t="e">
        <f t="shared" ca="1" si="252"/>
        <v>#NAME?</v>
      </c>
      <c r="GH42" s="18" t="e">
        <f t="shared" ca="1" si="253"/>
        <v>#NAME?</v>
      </c>
      <c r="GI42" s="4"/>
      <c r="GJ42" s="4">
        <f t="shared" si="254"/>
        <v>2052</v>
      </c>
      <c r="GK42" s="4">
        <f t="shared" ca="1" si="255"/>
        <v>631.9501724541185</v>
      </c>
      <c r="GL42" s="4">
        <f t="shared" ca="1" si="256"/>
        <v>150.86321993373556</v>
      </c>
      <c r="GM42" s="4">
        <f t="shared" ca="1" si="257"/>
        <v>174.81232047951403</v>
      </c>
      <c r="GN42" s="4">
        <f t="shared" ca="1" si="258"/>
        <v>0</v>
      </c>
      <c r="GO42" s="4"/>
      <c r="GP42" s="3">
        <f t="shared" ca="1" si="146"/>
        <v>0.78331625229149715</v>
      </c>
      <c r="GQ42" s="3">
        <f t="shared" ca="1" si="259"/>
        <v>0</v>
      </c>
      <c r="GR42" s="3">
        <f t="shared" ca="1" si="260"/>
        <v>0</v>
      </c>
      <c r="GS42" s="3">
        <f t="shared" ca="1" si="261"/>
        <v>0.21668374770850279</v>
      </c>
      <c r="GT42" s="3">
        <f t="array" aca="1" ref="GT42" ca="1">SUM(GP42:GS42*$GU$6:$GX$6)</f>
        <v>1</v>
      </c>
      <c r="GU42" s="3">
        <f t="shared" ca="1" si="147"/>
        <v>0.78331625229149715</v>
      </c>
      <c r="GV42" s="3">
        <f t="shared" ca="1" si="148"/>
        <v>0</v>
      </c>
      <c r="GW42" s="3">
        <f t="shared" ca="1" si="149"/>
        <v>0</v>
      </c>
      <c r="GX42" s="3">
        <f t="shared" ca="1" si="150"/>
        <v>0.21668374770850279</v>
      </c>
      <c r="GY42" s="11"/>
      <c r="GZ42" s="27">
        <v>84</v>
      </c>
      <c r="HA42" s="30">
        <v>8.0799999999999997E-2</v>
      </c>
      <c r="HB42" s="29">
        <f t="shared" ca="1" si="151"/>
        <v>0.224</v>
      </c>
      <c r="HC42" s="29">
        <v>0.224</v>
      </c>
      <c r="HD42" s="29">
        <v>0.16</v>
      </c>
      <c r="HE42" s="29">
        <v>0.2087</v>
      </c>
      <c r="HG42" s="27">
        <v>82</v>
      </c>
      <c r="HH42" s="30">
        <v>7.3800000000000004E-2</v>
      </c>
      <c r="HJ42">
        <f t="shared" si="153"/>
        <v>2045</v>
      </c>
      <c r="HK42" s="28">
        <f t="shared" si="163"/>
        <v>45050</v>
      </c>
      <c r="HL42" s="27">
        <f t="shared" si="155"/>
        <v>10000</v>
      </c>
      <c r="HM42" s="28">
        <f t="shared" si="156"/>
        <v>9767.1457966357357</v>
      </c>
      <c r="HQ42" s="27">
        <v>0.33</v>
      </c>
      <c r="HR42" s="27">
        <v>0.183</v>
      </c>
      <c r="HS42" s="27">
        <f>HS41</f>
        <v>0.1837</v>
      </c>
      <c r="HT42" s="27">
        <v>0.21</v>
      </c>
      <c r="HU42" s="27">
        <v>0.20300000000000001</v>
      </c>
      <c r="HV42" s="27">
        <f t="shared" ref="HU42:HW43" si="272">HV41</f>
        <v>0.25750000000000001</v>
      </c>
      <c r="HW42" s="27">
        <f>0.1316*1.56</f>
        <v>0.20529600000000001</v>
      </c>
      <c r="HX42" s="27">
        <f t="shared" si="270"/>
        <v>0.17399999999999999</v>
      </c>
      <c r="HY42" s="27">
        <f t="shared" si="270"/>
        <v>0.15</v>
      </c>
      <c r="HZ42" s="27">
        <v>0.15</v>
      </c>
      <c r="IA42" s="27">
        <v>0.14699999999999999</v>
      </c>
      <c r="IB42" s="27">
        <v>0.15</v>
      </c>
      <c r="IC42" s="27">
        <f t="shared" ref="IB42:ID43" si="273">IC41</f>
        <v>0.14050000000000001</v>
      </c>
      <c r="ID42" s="27">
        <f t="shared" si="273"/>
        <v>0.115</v>
      </c>
      <c r="IE42" s="27">
        <f t="shared" si="262"/>
        <v>0.1</v>
      </c>
      <c r="IF42" s="27">
        <f t="shared" si="262"/>
        <v>0.1</v>
      </c>
      <c r="IG42" s="27">
        <f t="shared" si="262"/>
        <v>0.1</v>
      </c>
    </row>
    <row r="43" spans="1:241" x14ac:dyDescent="0.25">
      <c r="A43" t="s">
        <v>267</v>
      </c>
      <c r="B43" s="62">
        <f>Inputs_Summary!AK40</f>
        <v>8000</v>
      </c>
      <c r="D43">
        <f t="shared" si="106"/>
        <v>2053</v>
      </c>
      <c r="E43">
        <f t="shared" si="106"/>
        <v>58</v>
      </c>
      <c r="F43" s="8"/>
      <c r="G43" s="8"/>
      <c r="H43" s="8"/>
      <c r="I43" s="8"/>
      <c r="J43" s="92"/>
      <c r="K43" s="91"/>
      <c r="L43" s="91"/>
      <c r="N43" s="93">
        <f t="shared" si="107"/>
        <v>0.05</v>
      </c>
      <c r="O43" s="23">
        <f t="shared" si="108"/>
        <v>0</v>
      </c>
      <c r="P43" s="23">
        <f t="shared" si="109"/>
        <v>0.4</v>
      </c>
      <c r="Q43" s="4">
        <f t="shared" si="164"/>
        <v>0</v>
      </c>
      <c r="R43" s="4">
        <f t="shared" si="263"/>
        <v>0</v>
      </c>
      <c r="S43" s="4">
        <f t="shared" si="165"/>
        <v>0</v>
      </c>
      <c r="T43" s="4">
        <f t="shared" ca="1" si="166"/>
        <v>0</v>
      </c>
      <c r="V43" s="18" t="e">
        <f t="shared" ca="1" si="167"/>
        <v>#NAME?</v>
      </c>
      <c r="W43" s="18" t="e">
        <f t="shared" ca="1" si="168"/>
        <v>#NAME?</v>
      </c>
      <c r="X43" s="18">
        <f t="shared" si="169"/>
        <v>0</v>
      </c>
      <c r="Y43" s="18">
        <f t="shared" ca="1" si="170"/>
        <v>5.723928603908818</v>
      </c>
      <c r="Z43" s="18">
        <f t="shared" ca="1" si="171"/>
        <v>2.8619643019544085</v>
      </c>
      <c r="AA43" s="18">
        <f t="shared" ca="1" si="172"/>
        <v>5.6591168272740831</v>
      </c>
      <c r="AB43" s="18">
        <f t="shared" ca="1" si="173"/>
        <v>0</v>
      </c>
      <c r="AC43" s="18">
        <f t="shared" ca="1" si="174"/>
        <v>662.60453925144793</v>
      </c>
      <c r="AD43" s="18">
        <f t="shared" ca="1" si="175"/>
        <v>158.09253375578803</v>
      </c>
      <c r="AE43" s="18">
        <f t="shared" ca="1" si="176"/>
        <v>185.37422729636233</v>
      </c>
      <c r="AF43" s="18">
        <f t="shared" ca="1" si="177"/>
        <v>0</v>
      </c>
      <c r="AG43" s="18">
        <f t="shared" ca="1" si="178"/>
        <v>1006.0713003035983</v>
      </c>
      <c r="AI43">
        <f>Person1!E43</f>
        <v>58</v>
      </c>
      <c r="AJ43">
        <f>Person1!AZ43</f>
        <v>1</v>
      </c>
      <c r="AK43">
        <f>IF(AZ43&lt;&gt;3,Person1!FM43,0)</f>
        <v>0</v>
      </c>
      <c r="AL43" s="4">
        <f ca="1">IF($AZ43&lt;&gt;3,Person1!FN43+Person1!FT43,0)</f>
        <v>13621.908141612541</v>
      </c>
      <c r="AM43">
        <f>IF($AZ43&lt;&gt;3,Person1!FO43,0)</f>
        <v>0</v>
      </c>
      <c r="AN43">
        <f>IF($AZ43&lt;&gt;3,Person1!FP43,0)</f>
        <v>0</v>
      </c>
      <c r="AO43">
        <f>IF($AZ43&lt;&gt;3,Person1!FQ43,0)</f>
        <v>0</v>
      </c>
      <c r="AP43">
        <f>IF($AZ43&lt;&gt;3,Person1!FR43,0)</f>
        <v>0</v>
      </c>
      <c r="AQ43" s="4">
        <f t="shared" si="179"/>
        <v>0</v>
      </c>
      <c r="AR43" s="4">
        <f>Person1!FS43</f>
        <v>0</v>
      </c>
      <c r="AS43" s="4">
        <f>$B$41*MAX(0,CHOOSE($AZ43,0,IF(AND(Person1!AW43&gt;=Person1!$B$36,AV43&gt;=$B$93),Person1!$B$35*(1+Person1!$B$37)^(Person1!$B$36-Person1!$B$11)*(1+Person1!$B$38)^(Person1!AW43-Person1!$B$36)-CHOOSE(Person1!$B$39+1,0,BD43,BE43,BD43+BE43),0),0,0))</f>
        <v>0</v>
      </c>
      <c r="AT43" s="4">
        <f t="shared" si="180"/>
        <v>0</v>
      </c>
      <c r="AV43">
        <f t="shared" si="264"/>
        <v>2053</v>
      </c>
      <c r="AW43">
        <f t="shared" si="264"/>
        <v>58</v>
      </c>
      <c r="AX43">
        <f t="shared" si="112"/>
        <v>2.0398873437157055</v>
      </c>
      <c r="AY43">
        <f t="shared" si="113"/>
        <v>0.49022315035225189</v>
      </c>
      <c r="AZ43">
        <f t="shared" si="114"/>
        <v>1</v>
      </c>
      <c r="BB43" s="4">
        <f t="shared" si="181"/>
        <v>97301.412628715858</v>
      </c>
      <c r="BC43">
        <f t="shared" si="182"/>
        <v>0</v>
      </c>
      <c r="BD43" s="4">
        <f t="shared" si="183"/>
        <v>0</v>
      </c>
      <c r="BE43" s="4">
        <f t="shared" si="115"/>
        <v>0</v>
      </c>
      <c r="BF43" s="4">
        <f t="shared" si="116"/>
        <v>0</v>
      </c>
      <c r="BG43" s="4">
        <f t="shared" si="117"/>
        <v>0</v>
      </c>
      <c r="BH43" s="4">
        <f t="shared" si="184"/>
        <v>0</v>
      </c>
      <c r="BI43" s="4">
        <f t="shared" si="118"/>
        <v>97301.412628715858</v>
      </c>
      <c r="BJ43" s="4"/>
      <c r="BK43" s="4">
        <f t="shared" si="185"/>
        <v>50997.183592892638</v>
      </c>
      <c r="BL43" s="4">
        <f t="shared" si="119"/>
        <v>0</v>
      </c>
      <c r="BM43" s="4">
        <f t="shared" si="120"/>
        <v>50997.183592892638</v>
      </c>
      <c r="BN43" s="4">
        <v>17246.013970089385</v>
      </c>
      <c r="BO43" s="4">
        <f t="shared" si="121"/>
        <v>68243.197562982023</v>
      </c>
      <c r="BP43" s="4">
        <f t="shared" si="122"/>
        <v>29058.215065733835</v>
      </c>
      <c r="BQ43" s="4"/>
      <c r="BR43" s="4">
        <v>0</v>
      </c>
      <c r="BS43" s="4">
        <f t="shared" ca="1" si="186"/>
        <v>17514.254273168855</v>
      </c>
      <c r="BT43" s="4">
        <f t="shared" ca="1" si="187"/>
        <v>118759.02590607913</v>
      </c>
      <c r="BU43" s="4">
        <f t="shared" si="188"/>
        <v>0</v>
      </c>
      <c r="BV43" s="4">
        <f t="shared" si="189"/>
        <v>1</v>
      </c>
      <c r="BW43" s="4">
        <f t="shared" ca="1" si="190"/>
        <v>0</v>
      </c>
      <c r="BX43" s="4">
        <f t="shared" ca="1" si="191"/>
        <v>0</v>
      </c>
      <c r="BY43" s="4">
        <f t="shared" ca="1" si="192"/>
        <v>0</v>
      </c>
      <c r="BZ43" s="4">
        <f t="shared" ca="1" si="193"/>
        <v>0</v>
      </c>
      <c r="CA43" s="4">
        <f t="shared" ca="1" si="30"/>
        <v>0</v>
      </c>
      <c r="CB43" s="4">
        <f t="shared" ca="1" si="154"/>
        <v>0</v>
      </c>
      <c r="CC43" s="4"/>
      <c r="CD43" s="4">
        <f t="shared" ca="1" si="194"/>
        <v>97301.412628715858</v>
      </c>
      <c r="CE43" s="4">
        <f t="shared" ca="1" si="123"/>
        <v>73557.97540457749</v>
      </c>
      <c r="CF43" s="16">
        <f t="shared" si="195"/>
        <v>0</v>
      </c>
      <c r="CG43" s="4">
        <f t="shared" si="196"/>
        <v>6229.1829509695035</v>
      </c>
      <c r="CH43" s="4" t="e">
        <f t="shared" ca="1" si="197"/>
        <v>#NAME?</v>
      </c>
      <c r="CI43" s="4" t="e">
        <f t="shared" ca="1" si="198"/>
        <v>#NAME?</v>
      </c>
      <c r="CJ43" s="4" t="e">
        <f t="shared" ca="1" si="124"/>
        <v>#NAME?</v>
      </c>
      <c r="CK43" s="4" t="e">
        <f t="shared" ca="1" si="199"/>
        <v>#NAME?</v>
      </c>
      <c r="CL43" s="4" t="e">
        <f t="shared" ca="1" si="200"/>
        <v>#NAME?</v>
      </c>
      <c r="CM43" s="16"/>
      <c r="CN43" s="4">
        <f t="shared" si="201"/>
        <v>0</v>
      </c>
      <c r="CO43" s="4">
        <f t="shared" si="202"/>
        <v>0</v>
      </c>
      <c r="CP43" s="4">
        <f t="shared" ca="1" si="271"/>
        <v>2052272.1123649129</v>
      </c>
      <c r="CQ43" s="4"/>
      <c r="CR43" s="4">
        <f t="shared" ca="1" si="203"/>
        <v>29058.215065733835</v>
      </c>
      <c r="CS43" s="4">
        <f t="shared" ca="1" si="204"/>
        <v>52790</v>
      </c>
      <c r="CT43" s="4">
        <f t="shared" ca="1" si="205"/>
        <v>17514.254273168855</v>
      </c>
      <c r="CU43" s="4"/>
      <c r="CV43" s="4">
        <f t="shared" ca="1" si="126"/>
        <v>29058.215065733835</v>
      </c>
      <c r="CW43" s="4">
        <f t="shared" ca="1" si="206"/>
        <v>5838.0847577229515</v>
      </c>
      <c r="CX43" s="4">
        <f t="shared" ca="1" si="207"/>
        <v>5838.0847577229515</v>
      </c>
      <c r="CY43" s="4">
        <f t="shared" ca="1" si="127"/>
        <v>23220.130308010885</v>
      </c>
      <c r="CZ43" s="4"/>
      <c r="DA43" s="4">
        <f t="shared" ca="1" si="208"/>
        <v>23220.130308010885</v>
      </c>
      <c r="DB43" s="4">
        <f t="shared" si="209"/>
        <v>0</v>
      </c>
      <c r="DC43" s="4">
        <f t="shared" ca="1" si="128"/>
        <v>5838.0847577229515</v>
      </c>
      <c r="DD43" s="4">
        <f t="shared" ca="1" si="210"/>
        <v>11676.169515445905</v>
      </c>
      <c r="DE43" s="4">
        <f t="shared" ca="1" si="211"/>
        <v>11676.169515445905</v>
      </c>
      <c r="DF43" s="4">
        <f t="shared" ca="1" si="129"/>
        <v>0</v>
      </c>
      <c r="DG43" s="4">
        <f t="shared" ca="1" si="130"/>
        <v>11676.169515445905</v>
      </c>
      <c r="DH43" s="4">
        <f t="shared" ca="1" si="212"/>
        <v>0</v>
      </c>
      <c r="DI43" s="4"/>
      <c r="DJ43" s="4">
        <f t="shared" ca="1" si="213"/>
        <v>11543.96079256498</v>
      </c>
      <c r="DK43" s="4">
        <f t="shared" ca="1" si="214"/>
        <v>11500</v>
      </c>
      <c r="DL43" s="4">
        <f t="shared" ca="1" si="215"/>
        <v>11500</v>
      </c>
      <c r="DM43" s="4">
        <f t="shared" ca="1" si="216"/>
        <v>118759.02590607913</v>
      </c>
      <c r="DN43" s="4">
        <f t="shared" ca="1" si="217"/>
        <v>11543.96079256498</v>
      </c>
      <c r="DO43" s="4">
        <f t="shared" ca="1" si="55"/>
        <v>107215.06511351415</v>
      </c>
      <c r="DP43" s="4"/>
      <c r="DQ43" s="4">
        <f t="shared" ca="1" si="56"/>
        <v>0</v>
      </c>
      <c r="DR43" s="4"/>
      <c r="DS43" s="4">
        <f t="shared" si="131"/>
        <v>0</v>
      </c>
      <c r="DT43" s="4">
        <f t="shared" si="57"/>
        <v>0</v>
      </c>
      <c r="DU43" s="4">
        <f t="shared" si="218"/>
        <v>0</v>
      </c>
      <c r="DV43" s="4"/>
      <c r="DW43" s="4">
        <f t="shared" ca="1" si="265"/>
        <v>1351638.6135076049</v>
      </c>
      <c r="DX43" s="4">
        <f t="shared" ca="1" si="219"/>
        <v>25298.077657058446</v>
      </c>
      <c r="DY43" s="4">
        <f t="shared" ca="1" si="133"/>
        <v>67581.930675380252</v>
      </c>
      <c r="DZ43" s="4">
        <f t="shared" ca="1" si="220"/>
        <v>0</v>
      </c>
      <c r="EA43" s="4">
        <f t="shared" ca="1" si="221"/>
        <v>0</v>
      </c>
      <c r="EB43" s="4">
        <f t="shared" ca="1" si="222"/>
        <v>1419220.5441829851</v>
      </c>
      <c r="EC43" s="4">
        <f t="shared" si="223"/>
        <v>1</v>
      </c>
      <c r="ED43" s="4"/>
      <c r="EE43" s="4">
        <f t="shared" ca="1" si="266"/>
        <v>322490.95874437992</v>
      </c>
      <c r="EF43" s="4">
        <f t="shared" ca="1" si="224"/>
        <v>5838.0847577229515</v>
      </c>
      <c r="EG43" s="4">
        <f t="shared" ca="1" si="135"/>
        <v>16124.547937218997</v>
      </c>
      <c r="EH43" s="4">
        <f t="shared" ca="1" si="225"/>
        <v>0</v>
      </c>
      <c r="EI43" s="4">
        <f t="shared" ca="1" si="226"/>
        <v>0</v>
      </c>
      <c r="EJ43" s="4">
        <f t="shared" ca="1" si="227"/>
        <v>0</v>
      </c>
      <c r="EK43" s="4">
        <f t="shared" si="228"/>
        <v>1</v>
      </c>
      <c r="EL43" s="4">
        <f t="shared" si="229"/>
        <v>0</v>
      </c>
      <c r="EM43" s="4"/>
      <c r="EN43" s="4">
        <f t="shared" ca="1" si="267"/>
        <v>378142.54011292796</v>
      </c>
      <c r="EO43" s="4">
        <f t="shared" ca="1" si="230"/>
        <v>11543.96079256498</v>
      </c>
      <c r="EP43" s="4">
        <f t="shared" ca="1" si="137"/>
        <v>18907.127005646398</v>
      </c>
      <c r="EQ43" s="4">
        <f t="shared" ca="1" si="231"/>
        <v>0</v>
      </c>
      <c r="ER43" s="4">
        <v>0</v>
      </c>
      <c r="ES43" s="4">
        <f t="shared" ca="1" si="138"/>
        <v>397049.66711857438</v>
      </c>
      <c r="ET43" s="4"/>
      <c r="EU43" s="4">
        <f t="shared" ca="1" si="268"/>
        <v>0</v>
      </c>
      <c r="EV43" s="4">
        <f t="shared" ca="1" si="232"/>
        <v>0</v>
      </c>
      <c r="EW43" s="4">
        <f t="shared" ca="1" si="140"/>
        <v>0</v>
      </c>
      <c r="EX43" s="4">
        <f t="shared" ca="1" si="233"/>
        <v>0</v>
      </c>
      <c r="EY43" s="4">
        <v>0</v>
      </c>
      <c r="EZ43" s="4">
        <f t="shared" ca="1" si="141"/>
        <v>0</v>
      </c>
      <c r="FA43" s="4">
        <f t="shared" ca="1" si="269"/>
        <v>0</v>
      </c>
      <c r="FB43" s="1">
        <f t="shared" ca="1" si="74"/>
        <v>0</v>
      </c>
      <c r="FC43" s="4">
        <f t="shared" ca="1" si="143"/>
        <v>0</v>
      </c>
      <c r="FD43" s="4">
        <f t="shared" ca="1" si="144"/>
        <v>0</v>
      </c>
      <c r="FE43" s="4">
        <f t="shared" ca="1" si="234"/>
        <v>0</v>
      </c>
      <c r="FF43" s="4">
        <f t="shared" ca="1" si="235"/>
        <v>0</v>
      </c>
      <c r="FG43" s="4">
        <f t="shared" ca="1" si="236"/>
        <v>0</v>
      </c>
      <c r="FH43" s="17">
        <f t="shared" ca="1" si="237"/>
        <v>0</v>
      </c>
      <c r="FI43" s="4">
        <f t="shared" ca="1" si="238"/>
        <v>0</v>
      </c>
      <c r="FJ43" s="4"/>
      <c r="FK43" s="4">
        <f t="shared" ca="1" si="239"/>
        <v>1816270.2113015596</v>
      </c>
      <c r="FL43" s="4"/>
      <c r="FM43" s="4">
        <v>0</v>
      </c>
      <c r="FN43" s="4">
        <v>0</v>
      </c>
      <c r="FO43" s="4">
        <v>0</v>
      </c>
      <c r="FP43" s="4">
        <v>0</v>
      </c>
      <c r="FQ43" s="4">
        <v>0</v>
      </c>
      <c r="FR43" s="4">
        <v>0</v>
      </c>
      <c r="FS43" s="4">
        <f t="shared" si="240"/>
        <v>0</v>
      </c>
      <c r="FT43" s="4">
        <f t="shared" ca="1" si="241"/>
        <v>0</v>
      </c>
      <c r="FU43" s="4"/>
      <c r="FV43" s="3">
        <f t="shared" si="242"/>
        <v>0.49022315035225189</v>
      </c>
      <c r="FW43" s="3">
        <f t="shared" si="243"/>
        <v>0.49022315035225189</v>
      </c>
      <c r="FX43" s="4">
        <f t="shared" si="145"/>
        <v>2053</v>
      </c>
      <c r="FY43" s="4">
        <f t="shared" si="244"/>
        <v>47.699405032573473</v>
      </c>
      <c r="FZ43" s="4">
        <f t="shared" si="245"/>
        <v>0</v>
      </c>
      <c r="GA43" s="4">
        <f t="shared" si="246"/>
        <v>0</v>
      </c>
      <c r="GB43" s="4">
        <f t="shared" si="247"/>
        <v>0</v>
      </c>
      <c r="GC43" s="4">
        <f t="shared" ca="1" si="248"/>
        <v>0</v>
      </c>
      <c r="GD43" s="4">
        <f t="shared" ca="1" si="249"/>
        <v>0</v>
      </c>
      <c r="GE43" s="4">
        <f t="shared" ca="1" si="250"/>
        <v>0</v>
      </c>
      <c r="GF43" s="4">
        <f t="shared" ca="1" si="251"/>
        <v>0</v>
      </c>
      <c r="GG43" s="18" t="e">
        <f t="shared" ca="1" si="252"/>
        <v>#NAME?</v>
      </c>
      <c r="GH43" s="18" t="e">
        <f t="shared" ca="1" si="253"/>
        <v>#NAME?</v>
      </c>
      <c r="GI43" s="4"/>
      <c r="GJ43" s="4">
        <f t="shared" si="254"/>
        <v>2053</v>
      </c>
      <c r="GK43" s="4">
        <f t="shared" ca="1" si="255"/>
        <v>662.60453925144793</v>
      </c>
      <c r="GL43" s="4">
        <f t="shared" ca="1" si="256"/>
        <v>158.09253375578803</v>
      </c>
      <c r="GM43" s="4">
        <f t="shared" ca="1" si="257"/>
        <v>185.37422729636233</v>
      </c>
      <c r="GN43" s="4">
        <f t="shared" ca="1" si="258"/>
        <v>0</v>
      </c>
      <c r="GO43" s="4"/>
      <c r="GP43" s="3">
        <f t="shared" ca="1" si="146"/>
        <v>0.78139284306488499</v>
      </c>
      <c r="GQ43" s="3">
        <f t="shared" ca="1" si="259"/>
        <v>0</v>
      </c>
      <c r="GR43" s="3">
        <f t="shared" ca="1" si="260"/>
        <v>0</v>
      </c>
      <c r="GS43" s="3">
        <f t="shared" ca="1" si="261"/>
        <v>0.21860715693511493</v>
      </c>
      <c r="GT43" s="3">
        <f t="array" aca="1" ref="GT43" ca="1">SUM(GP43:GS43*$GU$6:$GX$6)</f>
        <v>0.99999999999999989</v>
      </c>
      <c r="GU43" s="3">
        <f t="shared" ca="1" si="147"/>
        <v>0.7813928430648851</v>
      </c>
      <c r="GV43" s="3">
        <f t="shared" ca="1" si="148"/>
        <v>0</v>
      </c>
      <c r="GW43" s="3">
        <f t="shared" ca="1" si="149"/>
        <v>0</v>
      </c>
      <c r="GX43" s="3">
        <f t="shared" ca="1" si="150"/>
        <v>0.21860715693511495</v>
      </c>
      <c r="GY43" s="11"/>
      <c r="GZ43" s="27">
        <v>85</v>
      </c>
      <c r="HA43" s="30">
        <v>8.5099999999999995E-2</v>
      </c>
      <c r="HB43" s="29">
        <f t="shared" ca="1" si="151"/>
        <v>0.27229999999999999</v>
      </c>
      <c r="HC43" s="29">
        <v>0.27229999999999999</v>
      </c>
      <c r="HD43" s="29">
        <v>0.17299999999999999</v>
      </c>
      <c r="HE43" s="29">
        <v>0.2581</v>
      </c>
      <c r="HG43" s="27">
        <v>83</v>
      </c>
      <c r="HH43" s="30">
        <v>7.7100000000000002E-2</v>
      </c>
      <c r="HJ43">
        <f t="shared" si="153"/>
        <v>2046</v>
      </c>
      <c r="HK43" s="28">
        <f t="shared" si="163"/>
        <v>45950</v>
      </c>
      <c r="HL43" s="27">
        <f t="shared" si="155"/>
        <v>10000</v>
      </c>
      <c r="HM43" s="28">
        <f t="shared" si="156"/>
        <v>9962.4887125684509</v>
      </c>
      <c r="HQ43" s="27">
        <f>HQ42</f>
        <v>0.33</v>
      </c>
      <c r="HR43" s="27">
        <f>HR42</f>
        <v>0.183</v>
      </c>
      <c r="HS43" s="27">
        <f>HS42</f>
        <v>0.1837</v>
      </c>
      <c r="HT43" s="27">
        <f>HT42</f>
        <v>0.21</v>
      </c>
      <c r="HU43" s="27">
        <f t="shared" si="272"/>
        <v>0.20300000000000001</v>
      </c>
      <c r="HV43" s="27">
        <f t="shared" si="272"/>
        <v>0.25750000000000001</v>
      </c>
      <c r="HW43" s="27">
        <f t="shared" si="272"/>
        <v>0.20529600000000001</v>
      </c>
      <c r="HX43" s="27">
        <f t="shared" si="270"/>
        <v>0.17399999999999999</v>
      </c>
      <c r="HY43" s="27">
        <f t="shared" si="270"/>
        <v>0.15</v>
      </c>
      <c r="HZ43" s="27">
        <f t="shared" si="270"/>
        <v>0.15</v>
      </c>
      <c r="IA43" s="27">
        <f>IA42</f>
        <v>0.14699999999999999</v>
      </c>
      <c r="IB43" s="27">
        <f t="shared" si="273"/>
        <v>0.15</v>
      </c>
      <c r="IC43" s="27">
        <f t="shared" si="273"/>
        <v>0.14050000000000001</v>
      </c>
      <c r="ID43" s="27">
        <f t="shared" si="273"/>
        <v>0.115</v>
      </c>
      <c r="IE43" s="27">
        <f t="shared" si="262"/>
        <v>0.1</v>
      </c>
      <c r="IF43" s="27">
        <f t="shared" si="262"/>
        <v>0.1</v>
      </c>
      <c r="IG43" s="27">
        <f t="shared" si="262"/>
        <v>0.1</v>
      </c>
    </row>
    <row r="44" spans="1:241" x14ac:dyDescent="0.25">
      <c r="A44" t="s">
        <v>346</v>
      </c>
      <c r="B44" s="62">
        <f>Inputs_Summary!AK41</f>
        <v>4000</v>
      </c>
      <c r="D44">
        <f t="shared" si="106"/>
        <v>2054</v>
      </c>
      <c r="E44">
        <f t="shared" si="106"/>
        <v>59</v>
      </c>
      <c r="F44" s="8"/>
      <c r="G44" s="8"/>
      <c r="H44" s="8"/>
      <c r="I44" s="8"/>
      <c r="J44" s="92"/>
      <c r="K44" s="91"/>
      <c r="L44" s="91"/>
      <c r="N44" s="93">
        <f t="shared" si="107"/>
        <v>0.05</v>
      </c>
      <c r="O44" s="23">
        <f t="shared" si="108"/>
        <v>0</v>
      </c>
      <c r="P44" s="23">
        <f t="shared" si="109"/>
        <v>0.4</v>
      </c>
      <c r="Q44" s="4">
        <f t="shared" si="164"/>
        <v>0</v>
      </c>
      <c r="R44" s="4">
        <f t="shared" si="263"/>
        <v>0</v>
      </c>
      <c r="S44" s="4">
        <f t="shared" si="165"/>
        <v>0</v>
      </c>
      <c r="T44" s="4">
        <f t="shared" ca="1" si="166"/>
        <v>0</v>
      </c>
      <c r="V44" s="18" t="e">
        <f t="shared" ca="1" si="167"/>
        <v>#NAME?</v>
      </c>
      <c r="W44" s="18" t="e">
        <f t="shared" ca="1" si="168"/>
        <v>#NAME?</v>
      </c>
      <c r="X44" s="18">
        <f t="shared" si="169"/>
        <v>0</v>
      </c>
      <c r="Y44" s="18">
        <f t="shared" ca="1" si="170"/>
        <v>5.7519870774573869</v>
      </c>
      <c r="Z44" s="18">
        <f t="shared" ca="1" si="171"/>
        <v>2.8759935387286939</v>
      </c>
      <c r="AA44" s="18">
        <f t="shared" ca="1" si="172"/>
        <v>5.79012846930486</v>
      </c>
      <c r="AB44" s="18">
        <f t="shared" ca="1" si="173"/>
        <v>0</v>
      </c>
      <c r="AC44" s="18">
        <f t="shared" ca="1" si="174"/>
        <v>694.25144072639137</v>
      </c>
      <c r="AD44" s="18">
        <f t="shared" ca="1" si="175"/>
        <v>165.54816151522726</v>
      </c>
      <c r="AE44" s="18">
        <f t="shared" ca="1" si="176"/>
        <v>196.37456420436715</v>
      </c>
      <c r="AF44" s="18">
        <f t="shared" ca="1" si="177"/>
        <v>0</v>
      </c>
      <c r="AG44" s="18">
        <f t="shared" ca="1" si="178"/>
        <v>1056.174166445986</v>
      </c>
      <c r="AI44">
        <f>Person1!E44</f>
        <v>59</v>
      </c>
      <c r="AJ44">
        <f>Person1!AZ44</f>
        <v>1</v>
      </c>
      <c r="AK44">
        <f>IF(AZ44&lt;&gt;3,Person1!FM44,0)</f>
        <v>0</v>
      </c>
      <c r="AL44" s="4">
        <f ca="1">IF($AZ44&lt;&gt;3,Person1!FN44+Person1!FT44,0)</f>
        <v>14030.565385860915</v>
      </c>
      <c r="AM44">
        <f>IF($AZ44&lt;&gt;3,Person1!FO44,0)</f>
        <v>0</v>
      </c>
      <c r="AN44">
        <f>IF($AZ44&lt;&gt;3,Person1!FP44,0)</f>
        <v>0</v>
      </c>
      <c r="AO44">
        <f>IF($AZ44&lt;&gt;3,Person1!FQ44,0)</f>
        <v>0</v>
      </c>
      <c r="AP44">
        <f>IF($AZ44&lt;&gt;3,Person1!FR44,0)</f>
        <v>0</v>
      </c>
      <c r="AQ44" s="4">
        <f t="shared" si="179"/>
        <v>0</v>
      </c>
      <c r="AR44" s="4">
        <f>Person1!FS44</f>
        <v>0</v>
      </c>
      <c r="AS44" s="4">
        <f>$B$41*MAX(0,CHOOSE($AZ44,0,IF(AND(Person1!AW44&gt;=Person1!$B$36,AV44&gt;=$B$93),Person1!$B$35*(1+Person1!$B$37)^(Person1!$B$36-Person1!$B$11)*(1+Person1!$B$38)^(Person1!AW44-Person1!$B$36)-CHOOSE(Person1!$B$39+1,0,BD44,BE44,BD44+BE44),0),0,0))</f>
        <v>0</v>
      </c>
      <c r="AT44" s="4">
        <f t="shared" si="180"/>
        <v>0</v>
      </c>
      <c r="AV44">
        <f t="shared" si="264"/>
        <v>2054</v>
      </c>
      <c r="AW44">
        <f t="shared" si="264"/>
        <v>59</v>
      </c>
      <c r="AX44">
        <f t="shared" si="112"/>
        <v>2.0806850905900198</v>
      </c>
      <c r="AY44">
        <f t="shared" si="113"/>
        <v>0.48061093171789393</v>
      </c>
      <c r="AZ44">
        <f t="shared" si="114"/>
        <v>1</v>
      </c>
      <c r="BB44" s="4">
        <f t="shared" si="181"/>
        <v>99733.947944433734</v>
      </c>
      <c r="BC44">
        <f t="shared" si="182"/>
        <v>0</v>
      </c>
      <c r="BD44" s="4">
        <f t="shared" si="183"/>
        <v>0</v>
      </c>
      <c r="BE44" s="4">
        <f t="shared" si="115"/>
        <v>0</v>
      </c>
      <c r="BF44" s="4">
        <f t="shared" si="116"/>
        <v>0</v>
      </c>
      <c r="BG44" s="4">
        <f t="shared" si="117"/>
        <v>0</v>
      </c>
      <c r="BH44" s="4">
        <f t="shared" si="184"/>
        <v>0</v>
      </c>
      <c r="BI44" s="4">
        <f t="shared" si="118"/>
        <v>99733.947944433734</v>
      </c>
      <c r="BJ44" s="4"/>
      <c r="BK44" s="4">
        <f t="shared" si="185"/>
        <v>52017.127264750496</v>
      </c>
      <c r="BL44" s="4">
        <f t="shared" si="119"/>
        <v>0</v>
      </c>
      <c r="BM44" s="4">
        <f t="shared" si="120"/>
        <v>52017.127264750496</v>
      </c>
      <c r="BN44" s="4">
        <v>17717.276071001739</v>
      </c>
      <c r="BO44" s="4">
        <f t="shared" si="121"/>
        <v>69734.403335752228</v>
      </c>
      <c r="BP44" s="4">
        <f t="shared" si="122"/>
        <v>29999.544608681506</v>
      </c>
      <c r="BQ44" s="4"/>
      <c r="BR44" s="4">
        <v>0</v>
      </c>
      <c r="BS44" s="4">
        <f t="shared" ca="1" si="186"/>
        <v>17952.110629998071</v>
      </c>
      <c r="BT44" s="4">
        <f t="shared" ca="1" si="187"/>
        <v>118715.06511351415</v>
      </c>
      <c r="BU44" s="4">
        <f t="shared" si="188"/>
        <v>0</v>
      </c>
      <c r="BV44" s="4">
        <f t="shared" si="189"/>
        <v>1</v>
      </c>
      <c r="BW44" s="4">
        <f t="shared" ca="1" si="190"/>
        <v>0</v>
      </c>
      <c r="BX44" s="4">
        <f t="shared" ca="1" si="191"/>
        <v>0</v>
      </c>
      <c r="BY44" s="4">
        <f t="shared" ca="1" si="192"/>
        <v>0</v>
      </c>
      <c r="BZ44" s="4">
        <f t="shared" ca="1" si="193"/>
        <v>0</v>
      </c>
      <c r="CA44" s="4">
        <f t="shared" ca="1" si="30"/>
        <v>0</v>
      </c>
      <c r="CB44" s="4">
        <f t="shared" ca="1" si="154"/>
        <v>0</v>
      </c>
      <c r="CC44" s="4"/>
      <c r="CD44" s="4">
        <f t="shared" ca="1" si="194"/>
        <v>99733.947944433734</v>
      </c>
      <c r="CE44" s="4">
        <f t="shared" ca="1" si="123"/>
        <v>75392.593539691923</v>
      </c>
      <c r="CF44" s="16">
        <f t="shared" si="195"/>
        <v>0</v>
      </c>
      <c r="CG44" s="4">
        <f t="shared" si="196"/>
        <v>6389.2437747437398</v>
      </c>
      <c r="CH44" s="4" t="e">
        <f t="shared" ca="1" si="197"/>
        <v>#NAME?</v>
      </c>
      <c r="CI44" s="4" t="e">
        <f t="shared" ca="1" si="198"/>
        <v>#NAME?</v>
      </c>
      <c r="CJ44" s="4" t="e">
        <f t="shared" ca="1" si="124"/>
        <v>#NAME?</v>
      </c>
      <c r="CK44" s="4" t="e">
        <f t="shared" ca="1" si="199"/>
        <v>#NAME?</v>
      </c>
      <c r="CL44" s="4" t="e">
        <f t="shared" ca="1" si="200"/>
        <v>#NAME?</v>
      </c>
      <c r="CM44" s="16"/>
      <c r="CN44" s="4">
        <f t="shared" si="201"/>
        <v>0</v>
      </c>
      <c r="CO44" s="4">
        <f t="shared" si="202"/>
        <v>0</v>
      </c>
      <c r="CP44" s="4">
        <f t="shared" ca="1" si="271"/>
        <v>2197565.8411905048</v>
      </c>
      <c r="CQ44" s="4"/>
      <c r="CR44" s="4">
        <f t="shared" ca="1" si="203"/>
        <v>29999.544608681506</v>
      </c>
      <c r="CS44" s="4">
        <f t="shared" ca="1" si="204"/>
        <v>53840</v>
      </c>
      <c r="CT44" s="4">
        <f t="shared" ca="1" si="205"/>
        <v>17952.110629998071</v>
      </c>
      <c r="CU44" s="4"/>
      <c r="CV44" s="4">
        <f t="shared" ca="1" si="126"/>
        <v>29999.544608681506</v>
      </c>
      <c r="CW44" s="4">
        <f t="shared" ca="1" si="206"/>
        <v>5984.036876666024</v>
      </c>
      <c r="CX44" s="4">
        <f t="shared" ca="1" si="207"/>
        <v>5984.036876666024</v>
      </c>
      <c r="CY44" s="4">
        <f t="shared" ca="1" si="127"/>
        <v>24015.507732015481</v>
      </c>
      <c r="CZ44" s="4"/>
      <c r="DA44" s="4">
        <f t="shared" ca="1" si="208"/>
        <v>24015.507732015481</v>
      </c>
      <c r="DB44" s="4">
        <f t="shared" si="209"/>
        <v>0</v>
      </c>
      <c r="DC44" s="4">
        <f t="shared" ca="1" si="128"/>
        <v>5984.036876666024</v>
      </c>
      <c r="DD44" s="4">
        <f t="shared" ca="1" si="210"/>
        <v>11968.073753332046</v>
      </c>
      <c r="DE44" s="4">
        <f t="shared" ca="1" si="211"/>
        <v>11968.073753332046</v>
      </c>
      <c r="DF44" s="4">
        <f t="shared" ca="1" si="129"/>
        <v>0</v>
      </c>
      <c r="DG44" s="4">
        <f t="shared" ca="1" si="130"/>
        <v>11968.073753332046</v>
      </c>
      <c r="DH44" s="4">
        <f t="shared" ca="1" si="212"/>
        <v>0</v>
      </c>
      <c r="DI44" s="4"/>
      <c r="DJ44" s="4">
        <f t="shared" ca="1" si="213"/>
        <v>12047.433978683435</v>
      </c>
      <c r="DK44" s="4">
        <f t="shared" ca="1" si="214"/>
        <v>11500</v>
      </c>
      <c r="DL44" s="4">
        <f t="shared" ca="1" si="215"/>
        <v>11500</v>
      </c>
      <c r="DM44" s="4">
        <f t="shared" ca="1" si="216"/>
        <v>118715.06511351415</v>
      </c>
      <c r="DN44" s="4">
        <f t="shared" ca="1" si="217"/>
        <v>12047.433978683435</v>
      </c>
      <c r="DO44" s="4">
        <f t="shared" ca="1" si="55"/>
        <v>106667.63113483072</v>
      </c>
      <c r="DP44" s="4"/>
      <c r="DQ44" s="4">
        <f t="shared" ca="1" si="56"/>
        <v>0</v>
      </c>
      <c r="DR44" s="4"/>
      <c r="DS44" s="4">
        <f t="shared" si="131"/>
        <v>0</v>
      </c>
      <c r="DT44" s="4">
        <f t="shared" si="57"/>
        <v>0</v>
      </c>
      <c r="DU44" s="4">
        <f t="shared" si="218"/>
        <v>0</v>
      </c>
      <c r="DV44" s="4"/>
      <c r="DW44" s="4">
        <f t="shared" ca="1" si="265"/>
        <v>1444518.6218400435</v>
      </c>
      <c r="DX44" s="4">
        <f t="shared" ca="1" si="219"/>
        <v>25998.639139192961</v>
      </c>
      <c r="DY44" s="4">
        <f t="shared" ca="1" si="133"/>
        <v>72225.931092002182</v>
      </c>
      <c r="DZ44" s="4">
        <f t="shared" ca="1" si="220"/>
        <v>0</v>
      </c>
      <c r="EA44" s="4">
        <f t="shared" ca="1" si="221"/>
        <v>0</v>
      </c>
      <c r="EB44" s="4">
        <f t="shared" ca="1" si="222"/>
        <v>1516744.5529320457</v>
      </c>
      <c r="EC44" s="4">
        <f t="shared" si="223"/>
        <v>1</v>
      </c>
      <c r="ED44" s="4"/>
      <c r="EE44" s="4">
        <f t="shared" ca="1" si="266"/>
        <v>344453.59143932187</v>
      </c>
      <c r="EF44" s="4">
        <f t="shared" ca="1" si="224"/>
        <v>5984.036876666024</v>
      </c>
      <c r="EG44" s="4">
        <f t="shared" ca="1" si="135"/>
        <v>17222.679571966095</v>
      </c>
      <c r="EH44" s="4">
        <f t="shared" ca="1" si="225"/>
        <v>0</v>
      </c>
      <c r="EI44" s="4">
        <f t="shared" ca="1" si="226"/>
        <v>0</v>
      </c>
      <c r="EJ44" s="4">
        <f t="shared" ca="1" si="227"/>
        <v>0</v>
      </c>
      <c r="EK44" s="4">
        <f t="shared" si="228"/>
        <v>1</v>
      </c>
      <c r="EL44" s="4">
        <f t="shared" si="229"/>
        <v>0</v>
      </c>
      <c r="EM44" s="4"/>
      <c r="EN44" s="4">
        <f t="shared" ca="1" si="267"/>
        <v>408593.62791113934</v>
      </c>
      <c r="EO44" s="4">
        <f t="shared" ca="1" si="230"/>
        <v>12047.433978683435</v>
      </c>
      <c r="EP44" s="4">
        <f t="shared" ca="1" si="137"/>
        <v>20429.681395556967</v>
      </c>
      <c r="EQ44" s="4">
        <f t="shared" ca="1" si="231"/>
        <v>0</v>
      </c>
      <c r="ER44" s="4">
        <v>0</v>
      </c>
      <c r="ES44" s="4">
        <f t="shared" ca="1" si="138"/>
        <v>429023.30930669629</v>
      </c>
      <c r="ET44" s="4"/>
      <c r="EU44" s="4">
        <f t="shared" ca="1" si="268"/>
        <v>0</v>
      </c>
      <c r="EV44" s="4">
        <f t="shared" ca="1" si="232"/>
        <v>0</v>
      </c>
      <c r="EW44" s="4">
        <f t="shared" ca="1" si="140"/>
        <v>0</v>
      </c>
      <c r="EX44" s="4">
        <f t="shared" ca="1" si="233"/>
        <v>0</v>
      </c>
      <c r="EY44" s="4">
        <v>0</v>
      </c>
      <c r="EZ44" s="4">
        <f t="shared" ca="1" si="141"/>
        <v>0</v>
      </c>
      <c r="FA44" s="4">
        <f t="shared" ca="1" si="269"/>
        <v>0</v>
      </c>
      <c r="FB44" s="1">
        <f t="shared" ca="1" si="74"/>
        <v>0</v>
      </c>
      <c r="FC44" s="4">
        <f t="shared" ca="1" si="143"/>
        <v>0</v>
      </c>
      <c r="FD44" s="4">
        <f t="shared" ca="1" si="144"/>
        <v>0</v>
      </c>
      <c r="FE44" s="4">
        <f t="shared" ca="1" si="234"/>
        <v>0</v>
      </c>
      <c r="FF44" s="4">
        <f t="shared" ca="1" si="235"/>
        <v>0</v>
      </c>
      <c r="FG44" s="4">
        <f t="shared" ca="1" si="236"/>
        <v>0</v>
      </c>
      <c r="FH44" s="17">
        <f t="shared" ca="1" si="237"/>
        <v>0</v>
      </c>
      <c r="FI44" s="4">
        <f t="shared" ca="1" si="238"/>
        <v>0</v>
      </c>
      <c r="FJ44" s="4"/>
      <c r="FK44" s="4">
        <f t="shared" ca="1" si="239"/>
        <v>1945767.8622387419</v>
      </c>
      <c r="FL44" s="4"/>
      <c r="FM44" s="4">
        <v>0</v>
      </c>
      <c r="FN44" s="4">
        <v>0</v>
      </c>
      <c r="FO44" s="4">
        <v>0</v>
      </c>
      <c r="FP44" s="4">
        <v>0</v>
      </c>
      <c r="FQ44" s="4">
        <v>0</v>
      </c>
      <c r="FR44" s="4">
        <v>0</v>
      </c>
      <c r="FS44" s="4">
        <f t="shared" si="240"/>
        <v>0</v>
      </c>
      <c r="FT44" s="4">
        <f t="shared" ca="1" si="241"/>
        <v>0</v>
      </c>
      <c r="FU44" s="4"/>
      <c r="FV44" s="3">
        <f t="shared" si="242"/>
        <v>0.48061093171789393</v>
      </c>
      <c r="FW44" s="3">
        <f t="shared" si="243"/>
        <v>0.48061093171789393</v>
      </c>
      <c r="FX44" s="4">
        <f t="shared" si="145"/>
        <v>2054</v>
      </c>
      <c r="FY44" s="4">
        <f t="shared" si="244"/>
        <v>47.933225645478224</v>
      </c>
      <c r="FZ44" s="4">
        <f t="shared" si="245"/>
        <v>0</v>
      </c>
      <c r="GA44" s="4">
        <f t="shared" si="246"/>
        <v>0</v>
      </c>
      <c r="GB44" s="4">
        <f t="shared" si="247"/>
        <v>0</v>
      </c>
      <c r="GC44" s="4">
        <f t="shared" ca="1" si="248"/>
        <v>0</v>
      </c>
      <c r="GD44" s="4">
        <f t="shared" ca="1" si="249"/>
        <v>0</v>
      </c>
      <c r="GE44" s="4">
        <f t="shared" ca="1" si="250"/>
        <v>0</v>
      </c>
      <c r="GF44" s="4">
        <f t="shared" ca="1" si="251"/>
        <v>0</v>
      </c>
      <c r="GG44" s="18" t="e">
        <f t="shared" ca="1" si="252"/>
        <v>#NAME?</v>
      </c>
      <c r="GH44" s="18" t="e">
        <f t="shared" ca="1" si="253"/>
        <v>#NAME?</v>
      </c>
      <c r="GI44" s="4"/>
      <c r="GJ44" s="4">
        <f t="shared" si="254"/>
        <v>2054</v>
      </c>
      <c r="GK44" s="4">
        <f t="shared" ca="1" si="255"/>
        <v>694.25144072639137</v>
      </c>
      <c r="GL44" s="4">
        <f t="shared" ca="1" si="256"/>
        <v>165.54816151522726</v>
      </c>
      <c r="GM44" s="4">
        <f t="shared" ca="1" si="257"/>
        <v>196.37456420436715</v>
      </c>
      <c r="GN44" s="4">
        <f t="shared" ca="1" si="258"/>
        <v>0</v>
      </c>
      <c r="GO44" s="4"/>
      <c r="GP44" s="3">
        <f t="shared" ca="1" si="146"/>
        <v>0.77950951003318814</v>
      </c>
      <c r="GQ44" s="3">
        <f t="shared" ca="1" si="259"/>
        <v>0</v>
      </c>
      <c r="GR44" s="3">
        <f t="shared" ca="1" si="260"/>
        <v>0</v>
      </c>
      <c r="GS44" s="3">
        <f t="shared" ca="1" si="261"/>
        <v>0.22049048996681186</v>
      </c>
      <c r="GT44" s="3">
        <f t="array" aca="1" ref="GT44" ca="1">SUM(GP44:GS44*$GU$6:$GX$6)</f>
        <v>1</v>
      </c>
      <c r="GU44" s="3">
        <f t="shared" ca="1" si="147"/>
        <v>0.77950951003318814</v>
      </c>
      <c r="GV44" s="3">
        <f t="shared" ca="1" si="148"/>
        <v>0</v>
      </c>
      <c r="GW44" s="3">
        <f t="shared" ca="1" si="149"/>
        <v>0</v>
      </c>
      <c r="GX44" s="3">
        <f t="shared" ca="1" si="150"/>
        <v>0.22049048996681186</v>
      </c>
      <c r="GY44" s="11"/>
      <c r="GZ44" s="27">
        <v>86</v>
      </c>
      <c r="HA44" s="30">
        <v>8.9899999999999994E-2</v>
      </c>
      <c r="HB44" s="29">
        <f t="shared" ca="1" si="151"/>
        <v>0.35289999999999999</v>
      </c>
      <c r="HC44" s="29">
        <v>0.35289999999999999</v>
      </c>
      <c r="HD44" s="29">
        <v>0.189</v>
      </c>
      <c r="HE44" s="29">
        <v>0.34050000000000002</v>
      </c>
      <c r="HG44" s="27">
        <v>84</v>
      </c>
      <c r="HH44" s="30">
        <v>8.0799999999999997E-2</v>
      </c>
      <c r="HJ44">
        <f t="shared" si="153"/>
        <v>2047</v>
      </c>
      <c r="HK44" s="28">
        <f t="shared" si="163"/>
        <v>46870</v>
      </c>
      <c r="HL44" s="27">
        <f t="shared" si="155"/>
        <v>10000</v>
      </c>
      <c r="HM44" s="28">
        <f t="shared" si="156"/>
        <v>10161.738486819821</v>
      </c>
      <c r="HQ44" t="s">
        <v>109</v>
      </c>
      <c r="HR44" t="s">
        <v>109</v>
      </c>
      <c r="HS44" t="s">
        <v>613</v>
      </c>
      <c r="HT44" t="s">
        <v>109</v>
      </c>
      <c r="HU44" t="s">
        <v>109</v>
      </c>
      <c r="HV44" t="s">
        <v>109</v>
      </c>
      <c r="HW44" t="s">
        <v>614</v>
      </c>
      <c r="HX44" t="s">
        <v>109</v>
      </c>
      <c r="HY44" t="s">
        <v>109</v>
      </c>
      <c r="HZ44" t="s">
        <v>109</v>
      </c>
      <c r="IA44" t="s">
        <v>109</v>
      </c>
      <c r="IB44" t="s">
        <v>109</v>
      </c>
      <c r="IC44" t="s">
        <v>109</v>
      </c>
      <c r="ID44" t="s">
        <v>109</v>
      </c>
      <c r="IE44" t="s">
        <v>109</v>
      </c>
      <c r="IF44" t="s">
        <v>109</v>
      </c>
      <c r="IG44" t="s">
        <v>109</v>
      </c>
    </row>
    <row r="45" spans="1:241" x14ac:dyDescent="0.25">
      <c r="A45" t="s">
        <v>66</v>
      </c>
      <c r="B45" s="62">
        <f>Inputs_Summary!AK42</f>
        <v>65</v>
      </c>
      <c r="D45">
        <f t="shared" si="106"/>
        <v>2055</v>
      </c>
      <c r="E45">
        <f t="shared" si="106"/>
        <v>60</v>
      </c>
      <c r="F45" s="8"/>
      <c r="G45" s="8"/>
      <c r="H45" s="8"/>
      <c r="I45" s="8"/>
      <c r="J45" s="92"/>
      <c r="K45" s="91"/>
      <c r="L45" s="91"/>
      <c r="N45" s="93">
        <f t="shared" si="107"/>
        <v>0.05</v>
      </c>
      <c r="O45" s="23">
        <f t="shared" si="108"/>
        <v>0</v>
      </c>
      <c r="P45" s="23">
        <f t="shared" si="109"/>
        <v>0.4</v>
      </c>
      <c r="Q45" s="4">
        <f t="shared" si="164"/>
        <v>0</v>
      </c>
      <c r="R45" s="4">
        <f t="shared" si="263"/>
        <v>0</v>
      </c>
      <c r="S45" s="4">
        <f t="shared" si="165"/>
        <v>0</v>
      </c>
      <c r="T45" s="4">
        <f t="shared" ca="1" si="166"/>
        <v>0</v>
      </c>
      <c r="V45" s="18" t="e">
        <f t="shared" ca="1" si="167"/>
        <v>#NAME?</v>
      </c>
      <c r="W45" s="18" t="e">
        <f t="shared" ca="1" si="168"/>
        <v>#NAME?</v>
      </c>
      <c r="X45" s="18" t="e">
        <f t="shared" ca="1" si="169"/>
        <v>#NAME?</v>
      </c>
      <c r="Y45" s="18">
        <f t="shared" ca="1" si="170"/>
        <v>-15.214543459745784</v>
      </c>
      <c r="Z45" s="18">
        <f t="shared" ca="1" si="171"/>
        <v>0</v>
      </c>
      <c r="AA45" s="18">
        <f t="shared" ca="1" si="172"/>
        <v>-4.349842557741721</v>
      </c>
      <c r="AB45" s="18">
        <f t="shared" ca="1" si="173"/>
        <v>0</v>
      </c>
      <c r="AC45" s="18">
        <f t="shared" ca="1" si="174"/>
        <v>726.92082641450565</v>
      </c>
      <c r="AD45" s="18">
        <f t="shared" ca="1" si="175"/>
        <v>173.23682659776208</v>
      </c>
      <c r="AE45" s="18">
        <f t="shared" ca="1" si="176"/>
        <v>207.82688321950033</v>
      </c>
      <c r="AF45" s="18">
        <f t="shared" ca="1" si="177"/>
        <v>0</v>
      </c>
      <c r="AG45" s="18">
        <f t="shared" ca="1" si="178"/>
        <v>1107.9845362317678</v>
      </c>
      <c r="AI45">
        <f>Person1!E45</f>
        <v>60</v>
      </c>
      <c r="AJ45">
        <f>Person1!AZ45</f>
        <v>2</v>
      </c>
      <c r="AK45">
        <f>IF(AZ45&lt;&gt;3,Person1!FM45,0)</f>
        <v>0</v>
      </c>
      <c r="AL45" s="4">
        <f ca="1">IF($AZ45&lt;&gt;3,Person1!FN45+Person1!FT45,0)</f>
        <v>0</v>
      </c>
      <c r="AM45">
        <f>IF($AZ45&lt;&gt;3,Person1!FO45,0)</f>
        <v>0</v>
      </c>
      <c r="AN45">
        <f>IF($AZ45&lt;&gt;3,Person1!FP45,0)</f>
        <v>0</v>
      </c>
      <c r="AO45">
        <f>IF($AZ45&lt;&gt;3,Person1!FQ45,0)</f>
        <v>0</v>
      </c>
      <c r="AP45">
        <f>IF($AZ45&lt;&gt;3,Person1!FR45,0)</f>
        <v>0</v>
      </c>
      <c r="AQ45" s="4">
        <f t="shared" si="179"/>
        <v>0</v>
      </c>
      <c r="AR45" s="4">
        <f>Person1!FS45</f>
        <v>15917.240943013639</v>
      </c>
      <c r="AS45" s="4">
        <f>$B$41*MAX(0,CHOOSE($AZ45,0,IF(AND(Person1!AW45&gt;=Person1!$B$36,AV45&gt;=$B$93),Person1!$B$35*(1+Person1!$B$37)^(Person1!$B$36-Person1!$B$11)*(1+Person1!$B$38)^(Person1!AW45-Person1!$B$36)-CHOOSE(Person1!$B$39+1,0,BD45,BE45,BD45+BE45),0),0,0))</f>
        <v>0</v>
      </c>
      <c r="AT45" s="4">
        <f t="shared" si="180"/>
        <v>0</v>
      </c>
      <c r="AV45">
        <f t="shared" si="264"/>
        <v>2055</v>
      </c>
      <c r="AW45">
        <f t="shared" si="264"/>
        <v>60</v>
      </c>
      <c r="AX45">
        <f t="shared" si="112"/>
        <v>2.1222987924018204</v>
      </c>
      <c r="AY45">
        <f t="shared" si="113"/>
        <v>0.4711871879587195</v>
      </c>
      <c r="AZ45">
        <f t="shared" si="114"/>
        <v>2</v>
      </c>
      <c r="BB45" s="4">
        <f t="shared" si="181"/>
        <v>0</v>
      </c>
      <c r="BC45">
        <f t="shared" si="182"/>
        <v>0</v>
      </c>
      <c r="BD45" s="4">
        <f t="shared" si="183"/>
        <v>0</v>
      </c>
      <c r="BE45" s="4">
        <f t="shared" si="115"/>
        <v>0</v>
      </c>
      <c r="BF45" s="4">
        <f t="shared" si="116"/>
        <v>0</v>
      </c>
      <c r="BG45" s="4">
        <f t="shared" si="117"/>
        <v>15917.240943013639</v>
      </c>
      <c r="BH45" s="4">
        <f t="shared" si="184"/>
        <v>0</v>
      </c>
      <c r="BI45" s="4">
        <f t="shared" si="118"/>
        <v>15917.240943013639</v>
      </c>
      <c r="BJ45" s="16"/>
      <c r="BK45" s="4">
        <f t="shared" si="185"/>
        <v>53057.469810045513</v>
      </c>
      <c r="BL45" s="4">
        <f t="shared" si="119"/>
        <v>0</v>
      </c>
      <c r="BM45" s="4">
        <f t="shared" si="120"/>
        <v>53057.469810045513</v>
      </c>
      <c r="BN45" s="4">
        <v>4381.2439519649161</v>
      </c>
      <c r="BO45" s="4">
        <f t="shared" si="121"/>
        <v>57438.713762010433</v>
      </c>
      <c r="BP45" s="4">
        <f t="shared" si="122"/>
        <v>-41521.472818996794</v>
      </c>
      <c r="BQ45" s="4"/>
      <c r="BR45" s="4">
        <v>0</v>
      </c>
      <c r="BS45" s="4">
        <f t="shared" ca="1" si="186"/>
        <v>0</v>
      </c>
      <c r="BT45" s="4">
        <f t="shared" ca="1" si="187"/>
        <v>118667.63113483072</v>
      </c>
      <c r="BU45" s="4">
        <f t="shared" si="188"/>
        <v>41521.472818996794</v>
      </c>
      <c r="BV45" s="4">
        <f t="shared" si="189"/>
        <v>1</v>
      </c>
      <c r="BW45" s="4">
        <f t="shared" ca="1" si="190"/>
        <v>32289.807211563493</v>
      </c>
      <c r="BX45" s="4">
        <f t="shared" ca="1" si="191"/>
        <v>0</v>
      </c>
      <c r="BY45" s="4">
        <f t="shared" ca="1" si="192"/>
        <v>0</v>
      </c>
      <c r="BZ45" s="4">
        <f t="shared" ca="1" si="193"/>
        <v>9231.6656074333005</v>
      </c>
      <c r="CA45" s="4">
        <f t="shared" ca="1" si="30"/>
        <v>41521.472818996794</v>
      </c>
      <c r="CB45" s="4">
        <f t="shared" ca="1" si="154"/>
        <v>0</v>
      </c>
      <c r="CC45" s="4"/>
      <c r="CD45" s="4">
        <f t="shared" ca="1" si="194"/>
        <v>57438.713762010433</v>
      </c>
      <c r="CE45" s="4">
        <f t="shared" ca="1" si="123"/>
        <v>48207.048154577133</v>
      </c>
      <c r="CF45" s="16">
        <f t="shared" si="195"/>
        <v>0</v>
      </c>
      <c r="CG45" s="4">
        <f t="shared" si="196"/>
        <v>0</v>
      </c>
      <c r="CH45" s="4" t="e">
        <f t="shared" ca="1" si="197"/>
        <v>#NAME?</v>
      </c>
      <c r="CI45" s="4" t="e">
        <f t="shared" ca="1" si="198"/>
        <v>#NAME?</v>
      </c>
      <c r="CJ45" s="4" t="e">
        <f t="shared" ca="1" si="124"/>
        <v>#NAME?</v>
      </c>
      <c r="CK45" s="4" t="e">
        <f t="shared" ca="1" si="199"/>
        <v>#NAME?</v>
      </c>
      <c r="CL45" s="4" t="e">
        <f t="shared" ca="1" si="200"/>
        <v>#NAME?</v>
      </c>
      <c r="CM45" s="16"/>
      <c r="CN45" s="4" t="e">
        <f t="shared" ca="1" si="201"/>
        <v>#NAME?</v>
      </c>
      <c r="CO45" s="4" t="e">
        <f t="shared" ca="1" si="202"/>
        <v>#NAME?</v>
      </c>
      <c r="CP45" s="4">
        <f t="shared" ca="1" si="271"/>
        <v>2351474.2432445721</v>
      </c>
      <c r="CQ45" s="4"/>
      <c r="CR45" s="4">
        <f t="shared" ca="1" si="203"/>
        <v>0</v>
      </c>
      <c r="CS45" s="4">
        <f t="shared" ca="1" si="204"/>
        <v>54920</v>
      </c>
      <c r="CT45" s="4">
        <f t="shared" ca="1" si="205"/>
        <v>0</v>
      </c>
      <c r="CU45" s="4"/>
      <c r="CV45" s="4">
        <f t="shared" ca="1" si="126"/>
        <v>0</v>
      </c>
      <c r="CW45" s="4">
        <f t="shared" ca="1" si="206"/>
        <v>0</v>
      </c>
      <c r="CX45" s="4">
        <f t="shared" ca="1" si="207"/>
        <v>0</v>
      </c>
      <c r="CY45" s="4">
        <f t="shared" ca="1" si="127"/>
        <v>0</v>
      </c>
      <c r="CZ45" s="4"/>
      <c r="DA45" s="4">
        <f t="shared" ca="1" si="208"/>
        <v>0</v>
      </c>
      <c r="DB45" s="4">
        <f t="shared" si="209"/>
        <v>0</v>
      </c>
      <c r="DC45" s="4">
        <f t="shared" ca="1" si="128"/>
        <v>0</v>
      </c>
      <c r="DD45" s="4">
        <f t="shared" ca="1" si="210"/>
        <v>0</v>
      </c>
      <c r="DE45" s="4">
        <f t="shared" ca="1" si="211"/>
        <v>0</v>
      </c>
      <c r="DF45" s="4">
        <f t="shared" ca="1" si="129"/>
        <v>0</v>
      </c>
      <c r="DG45" s="4">
        <f t="shared" ca="1" si="130"/>
        <v>0</v>
      </c>
      <c r="DH45" s="4">
        <f t="shared" ca="1" si="212"/>
        <v>0</v>
      </c>
      <c r="DI45" s="4"/>
      <c r="DJ45" s="4">
        <f t="shared" ca="1" si="213"/>
        <v>0</v>
      </c>
      <c r="DK45" s="4">
        <f t="shared" ca="1" si="214"/>
        <v>12000</v>
      </c>
      <c r="DL45" s="4">
        <f t="shared" ca="1" si="215"/>
        <v>12000</v>
      </c>
      <c r="DM45" s="4">
        <f t="shared" ca="1" si="216"/>
        <v>118667.63113483072</v>
      </c>
      <c r="DN45" s="4">
        <f t="shared" ca="1" si="217"/>
        <v>0</v>
      </c>
      <c r="DO45" s="4">
        <f t="shared" ca="1" si="55"/>
        <v>118667.63113483072</v>
      </c>
      <c r="DP45" s="4"/>
      <c r="DQ45" s="4">
        <f t="shared" ca="1" si="56"/>
        <v>0</v>
      </c>
      <c r="DR45" s="4"/>
      <c r="DS45" s="4">
        <f t="shared" si="131"/>
        <v>0</v>
      </c>
      <c r="DT45" s="4">
        <f ca="1">IF(AZ45=2,MAX(0,MIN(EB45,DS45-CE45+BR45)),0)</f>
        <v>0</v>
      </c>
      <c r="DU45" s="4">
        <f t="shared" si="218"/>
        <v>0</v>
      </c>
      <c r="DV45" s="4"/>
      <c r="DW45" s="4">
        <f t="shared" ca="1" si="265"/>
        <v>1542743.1920712385</v>
      </c>
      <c r="DX45" s="4">
        <f t="shared" ca="1" si="219"/>
        <v>0</v>
      </c>
      <c r="DY45" s="4">
        <f t="shared" ca="1" si="133"/>
        <v>77137.15960356193</v>
      </c>
      <c r="DZ45" s="4">
        <f t="shared" ca="1" si="220"/>
        <v>32289.807211563493</v>
      </c>
      <c r="EA45" s="4">
        <f t="shared" ca="1" si="221"/>
        <v>0</v>
      </c>
      <c r="EB45" s="4">
        <f t="shared" ca="1" si="222"/>
        <v>1619880.3516748005</v>
      </c>
      <c r="EC45" s="4">
        <f t="shared" si="223"/>
        <v>1</v>
      </c>
      <c r="ED45" s="4"/>
      <c r="EE45" s="4">
        <f t="shared" ca="1" si="266"/>
        <v>367660.307887954</v>
      </c>
      <c r="EF45" s="4">
        <f t="shared" ca="1" si="224"/>
        <v>0</v>
      </c>
      <c r="EG45" s="4">
        <f t="shared" ca="1" si="135"/>
        <v>18383.015394397702</v>
      </c>
      <c r="EH45" s="4">
        <f t="shared" ca="1" si="225"/>
        <v>0</v>
      </c>
      <c r="EI45" s="4">
        <f t="shared" ca="1" si="226"/>
        <v>0</v>
      </c>
      <c r="EJ45" s="4">
        <f t="shared" ca="1" si="227"/>
        <v>0</v>
      </c>
      <c r="EK45" s="4">
        <f t="shared" si="228"/>
        <v>1</v>
      </c>
      <c r="EL45" s="4">
        <f t="shared" si="229"/>
        <v>0</v>
      </c>
      <c r="EM45" s="4"/>
      <c r="EN45" s="4">
        <f t="shared" ca="1" si="267"/>
        <v>441070.74328537972</v>
      </c>
      <c r="EO45" s="4">
        <f t="shared" ca="1" si="230"/>
        <v>0</v>
      </c>
      <c r="EP45" s="4">
        <f t="shared" ca="1" si="137"/>
        <v>22053.537164268986</v>
      </c>
      <c r="EQ45" s="4">
        <f t="shared" ca="1" si="231"/>
        <v>9231.6656074333005</v>
      </c>
      <c r="ER45" s="4">
        <v>0</v>
      </c>
      <c r="ES45" s="4">
        <f t="shared" ca="1" si="138"/>
        <v>463124.28044964874</v>
      </c>
      <c r="ET45" s="4"/>
      <c r="EU45" s="4">
        <f t="shared" ca="1" si="268"/>
        <v>0</v>
      </c>
      <c r="EV45" s="4">
        <f t="shared" ca="1" si="232"/>
        <v>0</v>
      </c>
      <c r="EW45" s="4">
        <f t="shared" ca="1" si="140"/>
        <v>0</v>
      </c>
      <c r="EX45" s="4">
        <f t="shared" ca="1" si="233"/>
        <v>0</v>
      </c>
      <c r="EY45" s="4">
        <v>0</v>
      </c>
      <c r="EZ45" s="4">
        <f t="shared" ca="1" si="141"/>
        <v>0</v>
      </c>
      <c r="FA45" s="4">
        <f t="shared" ca="1" si="269"/>
        <v>0</v>
      </c>
      <c r="FB45" s="1">
        <f t="shared" ca="1" si="74"/>
        <v>0</v>
      </c>
      <c r="FC45" s="4">
        <f t="shared" ca="1" si="143"/>
        <v>0</v>
      </c>
      <c r="FD45" s="4">
        <f t="shared" ca="1" si="144"/>
        <v>0</v>
      </c>
      <c r="FE45" s="4">
        <f t="shared" ca="1" si="234"/>
        <v>0</v>
      </c>
      <c r="FF45" s="4">
        <f t="shared" ca="1" si="235"/>
        <v>0</v>
      </c>
      <c r="FG45" s="4">
        <f t="shared" ca="1" si="236"/>
        <v>0</v>
      </c>
      <c r="FH45" s="17">
        <f t="shared" ca="1" si="237"/>
        <v>0</v>
      </c>
      <c r="FI45" s="4">
        <f t="shared" ca="1" si="238"/>
        <v>0</v>
      </c>
      <c r="FJ45" s="4"/>
      <c r="FK45" s="4">
        <f t="shared" ca="1" si="239"/>
        <v>2083004.6321244491</v>
      </c>
      <c r="FL45" s="4"/>
      <c r="FM45" s="4">
        <v>0</v>
      </c>
      <c r="FN45" s="4">
        <v>0</v>
      </c>
      <c r="FO45" s="4">
        <v>0</v>
      </c>
      <c r="FP45" s="4">
        <v>0</v>
      </c>
      <c r="FQ45" s="4">
        <v>0</v>
      </c>
      <c r="FR45" s="4">
        <v>0</v>
      </c>
      <c r="FS45" s="4">
        <f t="shared" si="240"/>
        <v>0</v>
      </c>
      <c r="FT45" s="4">
        <f t="shared" ca="1" si="241"/>
        <v>0</v>
      </c>
      <c r="FU45" s="4"/>
      <c r="FV45" s="3">
        <f t="shared" si="242"/>
        <v>0.4711871879587195</v>
      </c>
      <c r="FW45" s="3">
        <f t="shared" si="243"/>
        <v>0.4711871879587195</v>
      </c>
      <c r="FX45" s="4">
        <f t="shared" si="145"/>
        <v>2055</v>
      </c>
      <c r="FY45" s="4">
        <f t="shared" si="244"/>
        <v>0</v>
      </c>
      <c r="FZ45" s="4">
        <f t="shared" si="245"/>
        <v>0</v>
      </c>
      <c r="GA45" s="4">
        <f t="shared" si="246"/>
        <v>0</v>
      </c>
      <c r="GB45" s="4">
        <f t="shared" si="247"/>
        <v>7.4999999999999938</v>
      </c>
      <c r="GC45" s="4">
        <f t="shared" ca="1" si="248"/>
        <v>15.214543459745784</v>
      </c>
      <c r="GD45" s="4">
        <f t="shared" ca="1" si="249"/>
        <v>0</v>
      </c>
      <c r="GE45" s="4">
        <f t="shared" ca="1" si="250"/>
        <v>0</v>
      </c>
      <c r="GF45" s="4">
        <f t="shared" ca="1" si="251"/>
        <v>4.349842557741721</v>
      </c>
      <c r="GG45" s="18" t="e">
        <f t="shared" ca="1" si="252"/>
        <v>#NAME?</v>
      </c>
      <c r="GH45" s="18" t="e">
        <f t="shared" ca="1" si="253"/>
        <v>#NAME?</v>
      </c>
      <c r="GI45" s="4"/>
      <c r="GJ45" s="4">
        <f t="shared" si="254"/>
        <v>2055</v>
      </c>
      <c r="GK45" s="4">
        <f t="shared" ca="1" si="255"/>
        <v>726.92082641450565</v>
      </c>
      <c r="GL45" s="4">
        <f t="shared" ca="1" si="256"/>
        <v>173.23682659776208</v>
      </c>
      <c r="GM45" s="4">
        <f t="shared" ca="1" si="257"/>
        <v>207.82688321950033</v>
      </c>
      <c r="GN45" s="4">
        <f t="shared" ca="1" si="258"/>
        <v>0</v>
      </c>
      <c r="GO45" s="4"/>
      <c r="GP45" s="3">
        <f t="shared" ca="1" si="146"/>
        <v>0.77766526617019105</v>
      </c>
      <c r="GQ45" s="3">
        <f t="shared" ca="1" si="259"/>
        <v>0</v>
      </c>
      <c r="GR45" s="3">
        <f t="shared" ca="1" si="260"/>
        <v>0</v>
      </c>
      <c r="GS45" s="3">
        <f t="shared" ca="1" si="261"/>
        <v>0.22233473382980906</v>
      </c>
      <c r="GT45" s="3">
        <f t="array" aca="1" ref="GT45" ca="1">SUM(GP45:GS45*$GU$6:$GX$6)</f>
        <v>1</v>
      </c>
      <c r="GU45" s="3">
        <f t="shared" ca="1" si="147"/>
        <v>0.77766526617019105</v>
      </c>
      <c r="GV45" s="3">
        <f t="shared" ca="1" si="148"/>
        <v>0</v>
      </c>
      <c r="GW45" s="3">
        <f t="shared" ca="1" si="149"/>
        <v>0</v>
      </c>
      <c r="GX45" s="3">
        <f t="shared" ca="1" si="150"/>
        <v>0.22233473382980906</v>
      </c>
      <c r="GY45" s="11"/>
      <c r="GZ45" s="27">
        <v>87</v>
      </c>
      <c r="HA45" s="30">
        <v>9.5500000000000002E-2</v>
      </c>
      <c r="HB45" s="29">
        <f t="shared" ca="1" si="151"/>
        <v>0.51459999999999995</v>
      </c>
      <c r="HC45" s="29">
        <v>0.51459999999999995</v>
      </c>
      <c r="HD45" s="29">
        <v>0.2</v>
      </c>
      <c r="HE45" s="29">
        <v>0.50539999999999996</v>
      </c>
      <c r="HG45" s="27">
        <v>85</v>
      </c>
      <c r="HH45" s="30">
        <v>8.5099999999999995E-2</v>
      </c>
      <c r="HJ45">
        <f t="shared" si="153"/>
        <v>2048</v>
      </c>
      <c r="HK45" s="28">
        <f t="shared" si="163"/>
        <v>47810</v>
      </c>
      <c r="HL45" s="27">
        <f t="shared" si="155"/>
        <v>10500</v>
      </c>
      <c r="HM45" s="28">
        <f t="shared" si="156"/>
        <v>10364.973256556217</v>
      </c>
      <c r="HO45" t="s">
        <v>170</v>
      </c>
      <c r="HQ45" s="27">
        <v>0.15</v>
      </c>
      <c r="HR45" s="27">
        <v>8.6999999999999994E-2</v>
      </c>
      <c r="HS45" s="27">
        <v>9.8000000000000004E-2</v>
      </c>
      <c r="HT45" s="27">
        <v>8.7900000000000006E-2</v>
      </c>
      <c r="HU45" s="27">
        <v>9.6799999999999997E-2</v>
      </c>
      <c r="HV45" s="27">
        <v>0.2</v>
      </c>
      <c r="HW45" s="27">
        <v>5.0500000000000003E-2</v>
      </c>
      <c r="HX45" s="27">
        <v>0.108</v>
      </c>
      <c r="HY45" s="27">
        <v>0.11</v>
      </c>
      <c r="HZ45" s="27">
        <v>0.1</v>
      </c>
      <c r="IA45" s="27">
        <v>5.0599999999999999E-2</v>
      </c>
      <c r="IB45" s="27">
        <v>6.4000000000000001E-2</v>
      </c>
      <c r="IC45" s="27">
        <v>5.8999999999999997E-2</v>
      </c>
      <c r="ID45" s="27">
        <v>0.04</v>
      </c>
      <c r="IE45" s="27">
        <v>0.1</v>
      </c>
      <c r="IF45" s="27">
        <v>0.1</v>
      </c>
      <c r="IG45" s="27">
        <v>0.1</v>
      </c>
    </row>
    <row r="46" spans="1:241" x14ac:dyDescent="0.25">
      <c r="A46" t="s">
        <v>268</v>
      </c>
      <c r="B46" s="62">
        <f>Inputs_Summary!AK43</f>
        <v>6846</v>
      </c>
      <c r="D46">
        <f t="shared" si="106"/>
        <v>2056</v>
      </c>
      <c r="E46">
        <f t="shared" si="106"/>
        <v>61</v>
      </c>
      <c r="F46" s="8"/>
      <c r="G46" s="8"/>
      <c r="H46" s="9"/>
      <c r="I46" s="8"/>
      <c r="J46" s="92"/>
      <c r="K46" s="91"/>
      <c r="L46" s="91"/>
      <c r="N46" s="93">
        <f t="shared" si="107"/>
        <v>0.05</v>
      </c>
      <c r="O46" s="23">
        <f t="shared" si="108"/>
        <v>0</v>
      </c>
      <c r="P46" s="23">
        <f t="shared" si="109"/>
        <v>0.4</v>
      </c>
      <c r="Q46" s="4">
        <f t="shared" si="164"/>
        <v>0</v>
      </c>
      <c r="R46" s="4">
        <f t="shared" si="263"/>
        <v>0</v>
      </c>
      <c r="S46" s="4">
        <f t="shared" si="165"/>
        <v>0</v>
      </c>
      <c r="T46" s="4">
        <f t="shared" ca="1" si="166"/>
        <v>0</v>
      </c>
      <c r="V46" s="18" t="e">
        <f t="shared" ca="1" si="167"/>
        <v>#NAME?</v>
      </c>
      <c r="W46" s="18" t="e">
        <f t="shared" ca="1" si="168"/>
        <v>#NAME?</v>
      </c>
      <c r="X46" s="18" t="e">
        <f t="shared" ca="1" si="169"/>
        <v>#NAME?</v>
      </c>
      <c r="Y46" s="18">
        <f t="shared" ca="1" si="170"/>
        <v>-15.294397273149347</v>
      </c>
      <c r="Z46" s="18">
        <f t="shared" ca="1" si="171"/>
        <v>0</v>
      </c>
      <c r="AA46" s="18">
        <f t="shared" ca="1" si="172"/>
        <v>-4.3726727870456639</v>
      </c>
      <c r="AB46" s="18">
        <f t="shared" ca="1" si="173"/>
        <v>0</v>
      </c>
      <c r="AC46" s="18">
        <f t="shared" ca="1" si="174"/>
        <v>733.38463164263248</v>
      </c>
      <c r="AD46" s="18">
        <f t="shared" ca="1" si="175"/>
        <v>178.3320273800492</v>
      </c>
      <c r="AE46" s="18">
        <f t="shared" ca="1" si="176"/>
        <v>209.67488708111142</v>
      </c>
      <c r="AF46" s="18">
        <f t="shared" ca="1" si="177"/>
        <v>0</v>
      </c>
      <c r="AG46" s="18">
        <f t="shared" ca="1" si="178"/>
        <v>1121.391546103793</v>
      </c>
      <c r="AI46">
        <f>Person1!E46</f>
        <v>61</v>
      </c>
      <c r="AJ46">
        <f>Person1!AZ46</f>
        <v>2</v>
      </c>
      <c r="AK46">
        <f>IF(AZ46&lt;&gt;3,Person1!FM46,0)</f>
        <v>0</v>
      </c>
      <c r="AL46" s="4">
        <f ca="1">IF($AZ46&lt;&gt;3,Person1!FN46+Person1!FT46,0)</f>
        <v>0</v>
      </c>
      <c r="AM46">
        <f>IF($AZ46&lt;&gt;3,Person1!FO46,0)</f>
        <v>0</v>
      </c>
      <c r="AN46">
        <f>IF($AZ46&lt;&gt;3,Person1!FP46,0)</f>
        <v>0</v>
      </c>
      <c r="AO46">
        <f>IF($AZ46&lt;&gt;3,Person1!FQ46,0)</f>
        <v>0</v>
      </c>
      <c r="AP46">
        <f>IF($AZ46&lt;&gt;3,Person1!FR46,0)</f>
        <v>0</v>
      </c>
      <c r="AQ46" s="4">
        <f t="shared" si="179"/>
        <v>0</v>
      </c>
      <c r="AR46" s="4">
        <f>Person1!FS46</f>
        <v>15996.827147728705</v>
      </c>
      <c r="AS46" s="4">
        <f>$B$41*MAX(0,CHOOSE($AZ46,0,IF(AND(Person1!AW46&gt;=Person1!$B$36,AV46&gt;=$B$93),Person1!$B$35*(1+Person1!$B$37)^(Person1!$B$36-Person1!$B$11)*(1+Person1!$B$38)^(Person1!AW46-Person1!$B$36)-CHOOSE(Person1!$B$39+1,0,BD46,BE46,BD46+BE46),0),0,0))</f>
        <v>0</v>
      </c>
      <c r="AT46" s="4">
        <f t="shared" si="180"/>
        <v>0</v>
      </c>
      <c r="AV46">
        <f t="shared" si="264"/>
        <v>2056</v>
      </c>
      <c r="AW46">
        <f t="shared" si="264"/>
        <v>61</v>
      </c>
      <c r="AX46">
        <f t="shared" si="112"/>
        <v>2.1647447682498568</v>
      </c>
      <c r="AY46">
        <f t="shared" si="113"/>
        <v>0.46194822348894071</v>
      </c>
      <c r="AZ46">
        <f t="shared" si="114"/>
        <v>2</v>
      </c>
      <c r="BB46" s="4">
        <f t="shared" si="181"/>
        <v>0</v>
      </c>
      <c r="BC46">
        <f t="shared" si="182"/>
        <v>0</v>
      </c>
      <c r="BD46" s="4">
        <f t="shared" si="183"/>
        <v>0</v>
      </c>
      <c r="BE46" s="4">
        <f t="shared" si="115"/>
        <v>0</v>
      </c>
      <c r="BF46" s="4">
        <f t="shared" si="116"/>
        <v>0</v>
      </c>
      <c r="BG46" s="4">
        <f t="shared" si="117"/>
        <v>15996.827147728705</v>
      </c>
      <c r="BH46" s="4">
        <f t="shared" si="184"/>
        <v>0</v>
      </c>
      <c r="BI46" s="4">
        <f t="shared" si="118"/>
        <v>15996.827147728705</v>
      </c>
      <c r="BJ46" s="4"/>
      <c r="BK46" s="4">
        <f t="shared" si="185"/>
        <v>54118.619206246418</v>
      </c>
      <c r="BL46" s="4">
        <f t="shared" si="119"/>
        <v>0</v>
      </c>
      <c r="BM46" s="4">
        <f t="shared" si="120"/>
        <v>54118.619206246418</v>
      </c>
      <c r="BN46" s="4">
        <v>4452.3949610928348</v>
      </c>
      <c r="BO46" s="4">
        <f t="shared" si="121"/>
        <v>58571.01416733925</v>
      </c>
      <c r="BP46" s="4">
        <f t="shared" si="122"/>
        <v>-42574.187019610545</v>
      </c>
      <c r="BQ46" s="4"/>
      <c r="BR46" s="4">
        <v>0</v>
      </c>
      <c r="BS46" s="4">
        <f t="shared" ca="1" si="186"/>
        <v>0</v>
      </c>
      <c r="BT46" s="4">
        <f t="shared" ca="1" si="187"/>
        <v>139899.29674226401</v>
      </c>
      <c r="BU46" s="4">
        <f t="shared" si="188"/>
        <v>42574.187019610545</v>
      </c>
      <c r="BV46" s="4">
        <f t="shared" si="189"/>
        <v>1</v>
      </c>
      <c r="BW46" s="4">
        <f t="shared" ca="1" si="190"/>
        <v>33108.466480584924</v>
      </c>
      <c r="BX46" s="4">
        <f t="shared" ca="1" si="191"/>
        <v>0</v>
      </c>
      <c r="BY46" s="4">
        <f t="shared" ca="1" si="192"/>
        <v>0</v>
      </c>
      <c r="BZ46" s="4">
        <f t="shared" ca="1" si="193"/>
        <v>9465.7205390256204</v>
      </c>
      <c r="CA46" s="4">
        <f t="shared" ca="1" si="30"/>
        <v>42574.187019610545</v>
      </c>
      <c r="CB46" s="4">
        <f t="shared" ca="1" si="154"/>
        <v>0</v>
      </c>
      <c r="CC46" s="4"/>
      <c r="CD46" s="4">
        <f t="shared" ca="1" si="194"/>
        <v>58571.01416733925</v>
      </c>
      <c r="CE46" s="4">
        <f t="shared" ca="1" si="123"/>
        <v>49105.29362831363</v>
      </c>
      <c r="CF46" s="16">
        <f t="shared" si="195"/>
        <v>0</v>
      </c>
      <c r="CG46" s="4">
        <f t="shared" si="196"/>
        <v>0</v>
      </c>
      <c r="CH46" s="4" t="e">
        <f t="shared" ca="1" si="197"/>
        <v>#NAME?</v>
      </c>
      <c r="CI46" s="4" t="e">
        <f t="shared" ca="1" si="198"/>
        <v>#NAME?</v>
      </c>
      <c r="CJ46" s="4" t="e">
        <f t="shared" ca="1" si="124"/>
        <v>#NAME?</v>
      </c>
      <c r="CK46" s="4" t="e">
        <f t="shared" ca="1" si="199"/>
        <v>#NAME?</v>
      </c>
      <c r="CL46" s="4" t="e">
        <f t="shared" ca="1" si="200"/>
        <v>#NAME?</v>
      </c>
      <c r="CM46" s="16"/>
      <c r="CN46" s="4" t="e">
        <f t="shared" ca="1" si="201"/>
        <v>#NAME?</v>
      </c>
      <c r="CO46" s="4" t="e">
        <f t="shared" ca="1" si="202"/>
        <v>#NAME?</v>
      </c>
      <c r="CP46" s="4">
        <f t="shared" ca="1" si="271"/>
        <v>2427526.4825878041</v>
      </c>
      <c r="CQ46" s="4"/>
      <c r="CR46" s="4">
        <f t="shared" ca="1" si="203"/>
        <v>0</v>
      </c>
      <c r="CS46" s="4">
        <f t="shared" ca="1" si="204"/>
        <v>56020</v>
      </c>
      <c r="CT46" s="4">
        <f t="shared" ca="1" si="205"/>
        <v>0</v>
      </c>
      <c r="CU46" s="4"/>
      <c r="CV46" s="4">
        <f t="shared" ca="1" si="126"/>
        <v>0</v>
      </c>
      <c r="CW46" s="4">
        <f t="shared" ca="1" si="206"/>
        <v>0</v>
      </c>
      <c r="CX46" s="4">
        <f t="shared" ca="1" si="207"/>
        <v>0</v>
      </c>
      <c r="CY46" s="4">
        <f t="shared" ca="1" si="127"/>
        <v>0</v>
      </c>
      <c r="CZ46" s="4"/>
      <c r="DA46" s="4">
        <f t="shared" ca="1" si="208"/>
        <v>0</v>
      </c>
      <c r="DB46" s="4">
        <f t="shared" si="209"/>
        <v>0</v>
      </c>
      <c r="DC46" s="4">
        <f t="shared" ca="1" si="128"/>
        <v>0</v>
      </c>
      <c r="DD46" s="4">
        <f t="shared" ca="1" si="210"/>
        <v>0</v>
      </c>
      <c r="DE46" s="4">
        <f t="shared" ca="1" si="211"/>
        <v>0</v>
      </c>
      <c r="DF46" s="4">
        <f t="shared" ca="1" si="129"/>
        <v>0</v>
      </c>
      <c r="DG46" s="4">
        <f t="shared" ca="1" si="130"/>
        <v>0</v>
      </c>
      <c r="DH46" s="4">
        <f t="shared" ca="1" si="212"/>
        <v>0</v>
      </c>
      <c r="DI46" s="4"/>
      <c r="DJ46" s="4">
        <f t="shared" ca="1" si="213"/>
        <v>0</v>
      </c>
      <c r="DK46" s="4">
        <f t="shared" ca="1" si="214"/>
        <v>12000</v>
      </c>
      <c r="DL46" s="4">
        <f t="shared" ca="1" si="215"/>
        <v>12000</v>
      </c>
      <c r="DM46" s="4">
        <f t="shared" ca="1" si="216"/>
        <v>139899.29674226401</v>
      </c>
      <c r="DN46" s="4">
        <f t="shared" ca="1" si="217"/>
        <v>0</v>
      </c>
      <c r="DO46" s="4">
        <f t="shared" ca="1" si="55"/>
        <v>139899.29674226401</v>
      </c>
      <c r="DP46" s="4"/>
      <c r="DQ46" s="4">
        <f t="shared" ca="1" si="56"/>
        <v>0</v>
      </c>
      <c r="DR46" s="4"/>
      <c r="DS46" s="4">
        <f t="shared" si="131"/>
        <v>0</v>
      </c>
      <c r="DT46" s="4">
        <f t="shared" ref="DT46:DT86" ca="1" si="274">IF(AZ46=2,MAX(0,MIN(EB46,DS46-CE46+BR46)),0)</f>
        <v>0</v>
      </c>
      <c r="DU46" s="4">
        <f t="shared" si="218"/>
        <v>0</v>
      </c>
      <c r="DV46" s="4"/>
      <c r="DW46" s="4">
        <f t="shared" ca="1" si="265"/>
        <v>1587590.544463237</v>
      </c>
      <c r="DX46" s="4">
        <f t="shared" ca="1" si="219"/>
        <v>0</v>
      </c>
      <c r="DY46" s="4">
        <f t="shared" ca="1" si="133"/>
        <v>79379.527223161858</v>
      </c>
      <c r="DZ46" s="4">
        <f t="shared" ca="1" si="220"/>
        <v>33108.466480584924</v>
      </c>
      <c r="EA46" s="4">
        <f t="shared" ca="1" si="221"/>
        <v>0</v>
      </c>
      <c r="EB46" s="4">
        <f t="shared" ca="1" si="222"/>
        <v>1666970.0716863989</v>
      </c>
      <c r="EC46" s="4">
        <f t="shared" si="223"/>
        <v>1</v>
      </c>
      <c r="ED46" s="4"/>
      <c r="EE46" s="4">
        <f t="shared" ca="1" si="266"/>
        <v>386043.32328235172</v>
      </c>
      <c r="EF46" s="4">
        <f t="shared" ca="1" si="224"/>
        <v>0</v>
      </c>
      <c r="EG46" s="4">
        <f t="shared" ca="1" si="135"/>
        <v>19302.166164117585</v>
      </c>
      <c r="EH46" s="4">
        <f t="shared" ca="1" si="225"/>
        <v>0</v>
      </c>
      <c r="EI46" s="4">
        <f t="shared" ca="1" si="226"/>
        <v>0</v>
      </c>
      <c r="EJ46" s="4">
        <f t="shared" ca="1" si="227"/>
        <v>0</v>
      </c>
      <c r="EK46" s="4">
        <f t="shared" si="228"/>
        <v>1</v>
      </c>
      <c r="EL46" s="4">
        <f t="shared" si="229"/>
        <v>0</v>
      </c>
      <c r="EM46" s="4"/>
      <c r="EN46" s="4">
        <f t="shared" ca="1" si="267"/>
        <v>453892.61484221544</v>
      </c>
      <c r="EO46" s="4">
        <f t="shared" ca="1" si="230"/>
        <v>0</v>
      </c>
      <c r="EP46" s="4">
        <f t="shared" ca="1" si="137"/>
        <v>22694.630742110774</v>
      </c>
      <c r="EQ46" s="4">
        <f t="shared" ca="1" si="231"/>
        <v>9465.7205390256204</v>
      </c>
      <c r="ER46" s="4">
        <v>0</v>
      </c>
      <c r="ES46" s="4">
        <f t="shared" ca="1" si="138"/>
        <v>476587.24558432621</v>
      </c>
      <c r="ET46" s="4"/>
      <c r="EU46" s="4">
        <f t="shared" ca="1" si="268"/>
        <v>0</v>
      </c>
      <c r="EV46" s="4">
        <f t="shared" ca="1" si="232"/>
        <v>0</v>
      </c>
      <c r="EW46" s="4">
        <f t="shared" ca="1" si="140"/>
        <v>0</v>
      </c>
      <c r="EX46" s="4">
        <f t="shared" ca="1" si="233"/>
        <v>0</v>
      </c>
      <c r="EY46" s="4">
        <v>0</v>
      </c>
      <c r="EZ46" s="4">
        <f t="shared" ca="1" si="141"/>
        <v>0</v>
      </c>
      <c r="FA46" s="4">
        <f t="shared" ca="1" si="269"/>
        <v>0</v>
      </c>
      <c r="FB46" s="1">
        <f t="shared" ca="1" si="74"/>
        <v>0</v>
      </c>
      <c r="FC46" s="4">
        <f t="shared" ca="1" si="143"/>
        <v>0</v>
      </c>
      <c r="FD46" s="4">
        <f t="shared" ca="1" si="144"/>
        <v>0</v>
      </c>
      <c r="FE46" s="4">
        <f t="shared" ca="1" si="234"/>
        <v>0</v>
      </c>
      <c r="FF46" s="4">
        <f t="shared" ca="1" si="235"/>
        <v>0</v>
      </c>
      <c r="FG46" s="4">
        <f t="shared" ca="1" si="236"/>
        <v>0</v>
      </c>
      <c r="FH46" s="17">
        <f t="shared" ca="1" si="237"/>
        <v>0</v>
      </c>
      <c r="FI46" s="4">
        <f t="shared" ca="1" si="238"/>
        <v>0</v>
      </c>
      <c r="FJ46" s="4"/>
      <c r="FK46" s="4">
        <f t="shared" ca="1" si="239"/>
        <v>2143557.317270725</v>
      </c>
      <c r="FL46" s="4"/>
      <c r="FM46" s="4">
        <v>0</v>
      </c>
      <c r="FN46" s="4">
        <v>0</v>
      </c>
      <c r="FO46" s="4">
        <v>0</v>
      </c>
      <c r="FP46" s="4">
        <v>0</v>
      </c>
      <c r="FQ46" s="4">
        <v>0</v>
      </c>
      <c r="FR46" s="4">
        <v>0</v>
      </c>
      <c r="FS46" s="4">
        <f t="shared" si="240"/>
        <v>0</v>
      </c>
      <c r="FT46" s="4">
        <f t="shared" ca="1" si="241"/>
        <v>0</v>
      </c>
      <c r="FU46" s="4"/>
      <c r="FV46" s="3">
        <f t="shared" si="242"/>
        <v>0.46194822348894071</v>
      </c>
      <c r="FW46" s="3">
        <f t="shared" si="243"/>
        <v>0.46194822348894071</v>
      </c>
      <c r="FX46" s="4">
        <f t="shared" si="145"/>
        <v>2056</v>
      </c>
      <c r="FY46" s="4">
        <f t="shared" si="244"/>
        <v>0</v>
      </c>
      <c r="FZ46" s="4">
        <f t="shared" si="245"/>
        <v>0</v>
      </c>
      <c r="GA46" s="4">
        <f t="shared" si="246"/>
        <v>0</v>
      </c>
      <c r="GB46" s="4">
        <f t="shared" si="247"/>
        <v>7.389705882352934</v>
      </c>
      <c r="GC46" s="4">
        <f t="shared" ca="1" si="248"/>
        <v>15.294397273149347</v>
      </c>
      <c r="GD46" s="4">
        <f t="shared" ca="1" si="249"/>
        <v>0</v>
      </c>
      <c r="GE46" s="4">
        <f t="shared" ca="1" si="250"/>
        <v>0</v>
      </c>
      <c r="GF46" s="4">
        <f t="shared" ca="1" si="251"/>
        <v>4.3726727870456639</v>
      </c>
      <c r="GG46" s="18" t="e">
        <f t="shared" ca="1" si="252"/>
        <v>#NAME?</v>
      </c>
      <c r="GH46" s="18" t="e">
        <f t="shared" ca="1" si="253"/>
        <v>#NAME?</v>
      </c>
      <c r="GI46" s="4"/>
      <c r="GJ46" s="4">
        <f t="shared" si="254"/>
        <v>2056</v>
      </c>
      <c r="GK46" s="4">
        <f t="shared" ca="1" si="255"/>
        <v>733.38463164263248</v>
      </c>
      <c r="GL46" s="4">
        <f t="shared" ca="1" si="256"/>
        <v>178.3320273800492</v>
      </c>
      <c r="GM46" s="4">
        <f t="shared" ca="1" si="257"/>
        <v>209.67488708111142</v>
      </c>
      <c r="GN46" s="4">
        <f t="shared" ca="1" si="258"/>
        <v>0</v>
      </c>
      <c r="GO46" s="4"/>
      <c r="GP46" s="3">
        <f t="shared" ca="1" si="146"/>
        <v>0.77766526617019105</v>
      </c>
      <c r="GQ46" s="3">
        <f t="shared" ca="1" si="259"/>
        <v>0</v>
      </c>
      <c r="GR46" s="3">
        <f t="shared" ca="1" si="260"/>
        <v>0</v>
      </c>
      <c r="GS46" s="3">
        <f t="shared" ca="1" si="261"/>
        <v>0.22233473382980906</v>
      </c>
      <c r="GT46" s="3">
        <f t="array" aca="1" ref="GT46" ca="1">SUM(GP46:GS46*$GU$6:$GX$6)</f>
        <v>1</v>
      </c>
      <c r="GU46" s="3">
        <f t="shared" ca="1" si="147"/>
        <v>0.77766526617019105</v>
      </c>
      <c r="GV46" s="3">
        <f t="shared" ca="1" si="148"/>
        <v>0</v>
      </c>
      <c r="GW46" s="3">
        <f t="shared" ca="1" si="149"/>
        <v>0</v>
      </c>
      <c r="GX46" s="3">
        <f t="shared" ca="1" si="150"/>
        <v>0.22233473382980906</v>
      </c>
      <c r="GY46" s="11"/>
      <c r="GZ46" s="27">
        <v>88</v>
      </c>
      <c r="HA46" s="30">
        <v>0.1021</v>
      </c>
      <c r="HB46" s="29">
        <f t="shared" ca="1" si="151"/>
        <v>1</v>
      </c>
      <c r="HC46" s="29">
        <v>1</v>
      </c>
      <c r="HD46" s="29">
        <v>0.2</v>
      </c>
      <c r="HE46" s="29">
        <v>1</v>
      </c>
      <c r="HG46" s="27">
        <v>86</v>
      </c>
      <c r="HH46" s="30">
        <v>8.9899999999999994E-2</v>
      </c>
      <c r="HJ46">
        <f t="shared" si="153"/>
        <v>2049</v>
      </c>
      <c r="HK46" s="28">
        <f t="shared" si="163"/>
        <v>48770</v>
      </c>
      <c r="HL46" s="27">
        <f t="shared" si="155"/>
        <v>10500</v>
      </c>
      <c r="HM46" s="28">
        <f t="shared" si="156"/>
        <v>10572.272721687341</v>
      </c>
    </row>
    <row r="47" spans="1:241" x14ac:dyDescent="0.25">
      <c r="A47" s="15" t="s">
        <v>83</v>
      </c>
      <c r="D47">
        <f t="shared" si="106"/>
        <v>2057</v>
      </c>
      <c r="E47">
        <f t="shared" si="106"/>
        <v>62</v>
      </c>
      <c r="F47" s="8"/>
      <c r="G47" s="8"/>
      <c r="H47" s="9"/>
      <c r="I47" s="8"/>
      <c r="J47" s="92"/>
      <c r="K47" s="91"/>
      <c r="L47" s="91"/>
      <c r="N47" s="93">
        <f t="shared" si="107"/>
        <v>0.05</v>
      </c>
      <c r="O47" s="23">
        <f t="shared" si="108"/>
        <v>0</v>
      </c>
      <c r="P47" s="23">
        <f t="shared" si="109"/>
        <v>0.4</v>
      </c>
      <c r="Q47" s="4">
        <f t="shared" si="164"/>
        <v>0</v>
      </c>
      <c r="R47" s="4">
        <f t="shared" si="263"/>
        <v>0</v>
      </c>
      <c r="S47" s="4">
        <f t="shared" si="165"/>
        <v>0</v>
      </c>
      <c r="T47" s="4">
        <f t="shared" ca="1" si="166"/>
        <v>0</v>
      </c>
      <c r="V47" s="18" t="e">
        <f t="shared" ca="1" si="167"/>
        <v>#NAME?</v>
      </c>
      <c r="W47" s="18" t="e">
        <f t="shared" ca="1" si="168"/>
        <v>#NAME?</v>
      </c>
      <c r="X47" s="18" t="e">
        <f t="shared" ca="1" si="169"/>
        <v>#NAME?</v>
      </c>
      <c r="Y47" s="18">
        <f t="shared" ca="1" si="170"/>
        <v>-15.373076765765521</v>
      </c>
      <c r="Z47" s="18">
        <f t="shared" ca="1" si="171"/>
        <v>0</v>
      </c>
      <c r="AA47" s="18">
        <f t="shared" ca="1" si="172"/>
        <v>-4.3951672776827833</v>
      </c>
      <c r="AB47" s="18">
        <f t="shared" ca="1" si="173"/>
        <v>0</v>
      </c>
      <c r="AC47" s="18">
        <f t="shared" ca="1" si="174"/>
        <v>739.96026073687733</v>
      </c>
      <c r="AD47" s="18">
        <f t="shared" ca="1" si="175"/>
        <v>183.57708700887417</v>
      </c>
      <c r="AE47" s="18">
        <f t="shared" ca="1" si="176"/>
        <v>211.55486141972679</v>
      </c>
      <c r="AF47" s="18">
        <f t="shared" ca="1" si="177"/>
        <v>0</v>
      </c>
      <c r="AG47" s="18">
        <f t="shared" ca="1" si="178"/>
        <v>1135.0922091654782</v>
      </c>
      <c r="AI47">
        <f>Person1!E47</f>
        <v>62</v>
      </c>
      <c r="AJ47">
        <f>Person1!AZ47</f>
        <v>2</v>
      </c>
      <c r="AK47">
        <f>IF(AZ47&lt;&gt;3,Person1!FM47,0)</f>
        <v>0</v>
      </c>
      <c r="AL47" s="4">
        <f ca="1">IF($AZ47&lt;&gt;3,Person1!FN47+Person1!FT47,0)</f>
        <v>0</v>
      </c>
      <c r="AM47">
        <f>IF($AZ47&lt;&gt;3,Person1!FO47,0)</f>
        <v>0</v>
      </c>
      <c r="AN47">
        <f>IF($AZ47&lt;&gt;3,Person1!FP47,0)</f>
        <v>0</v>
      </c>
      <c r="AO47">
        <f>IF($AZ47&lt;&gt;3,Person1!FQ47,0)</f>
        <v>0</v>
      </c>
      <c r="AP47">
        <f>IF($AZ47&lt;&gt;3,Person1!FR47,0)</f>
        <v>0</v>
      </c>
      <c r="AQ47" s="4">
        <f t="shared" si="179"/>
        <v>0</v>
      </c>
      <c r="AR47" s="4">
        <f>Person1!FS47</f>
        <v>16076.811283467347</v>
      </c>
      <c r="AS47" s="4">
        <f>$B$41*MAX(0,CHOOSE($AZ47,0,IF(AND(Person1!AW47&gt;=Person1!$B$36,AV47&gt;=$B$93),Person1!$B$35*(1+Person1!$B$37)^(Person1!$B$36-Person1!$B$11)*(1+Person1!$B$38)^(Person1!AW47-Person1!$B$36)-CHOOSE(Person1!$B$39+1,0,BD47,BE47,BD47+BE47),0),0,0))</f>
        <v>0</v>
      </c>
      <c r="AT47" s="4">
        <f t="shared" si="180"/>
        <v>0</v>
      </c>
      <c r="AV47">
        <f t="shared" si="264"/>
        <v>2057</v>
      </c>
      <c r="AW47">
        <f t="shared" si="264"/>
        <v>62</v>
      </c>
      <c r="AX47">
        <f t="shared" si="112"/>
        <v>2.208039663614854</v>
      </c>
      <c r="AY47">
        <f t="shared" si="113"/>
        <v>0.45289041518523598</v>
      </c>
      <c r="AZ47">
        <f t="shared" si="114"/>
        <v>2</v>
      </c>
      <c r="BB47" s="4">
        <f t="shared" si="181"/>
        <v>0</v>
      </c>
      <c r="BC47">
        <f t="shared" si="182"/>
        <v>0</v>
      </c>
      <c r="BD47" s="4">
        <f t="shared" si="183"/>
        <v>0</v>
      </c>
      <c r="BE47" s="4">
        <f t="shared" si="115"/>
        <v>0</v>
      </c>
      <c r="BF47" s="4">
        <f t="shared" si="116"/>
        <v>0</v>
      </c>
      <c r="BG47" s="4">
        <f t="shared" si="117"/>
        <v>16076.811283467347</v>
      </c>
      <c r="BH47" s="4">
        <f t="shared" si="184"/>
        <v>0</v>
      </c>
      <c r="BI47" s="4">
        <f t="shared" si="118"/>
        <v>16076.811283467347</v>
      </c>
      <c r="BJ47" s="4"/>
      <c r="BK47" s="4">
        <f t="shared" si="185"/>
        <v>55200.991590371348</v>
      </c>
      <c r="BL47" s="4">
        <f t="shared" si="119"/>
        <v>0</v>
      </c>
      <c r="BM47" s="4">
        <f t="shared" si="120"/>
        <v>55200.991590371348</v>
      </c>
      <c r="BN47" s="4">
        <v>4524.8866210479327</v>
      </c>
      <c r="BO47" s="4">
        <f t="shared" si="121"/>
        <v>59725.87821141928</v>
      </c>
      <c r="BP47" s="4">
        <f t="shared" si="122"/>
        <v>-43649.066927951935</v>
      </c>
      <c r="BQ47" s="4"/>
      <c r="BR47" s="4">
        <v>0</v>
      </c>
      <c r="BS47" s="4">
        <f t="shared" ca="1" si="186"/>
        <v>0</v>
      </c>
      <c r="BT47" s="4">
        <f t="shared" ca="1" si="187"/>
        <v>161865.01728128962</v>
      </c>
      <c r="BU47" s="4">
        <f t="shared" si="188"/>
        <v>43649.066927951935</v>
      </c>
      <c r="BV47" s="4">
        <f t="shared" si="189"/>
        <v>1</v>
      </c>
      <c r="BW47" s="4">
        <f t="shared" ca="1" si="190"/>
        <v>33944.363250606228</v>
      </c>
      <c r="BX47" s="4">
        <f t="shared" ca="1" si="191"/>
        <v>0</v>
      </c>
      <c r="BY47" s="4">
        <f t="shared" ca="1" si="192"/>
        <v>0</v>
      </c>
      <c r="BZ47" s="4">
        <f t="shared" ca="1" si="193"/>
        <v>9704.7036773457075</v>
      </c>
      <c r="CA47" s="4">
        <f t="shared" ca="1" si="30"/>
        <v>43649.066927951935</v>
      </c>
      <c r="CB47" s="4">
        <f t="shared" ca="1" si="154"/>
        <v>0</v>
      </c>
      <c r="CC47" s="4"/>
      <c r="CD47" s="4">
        <f t="shared" ca="1" si="194"/>
        <v>59725.87821141928</v>
      </c>
      <c r="CE47" s="4">
        <f t="shared" ca="1" si="123"/>
        <v>50021.174534073572</v>
      </c>
      <c r="CF47" s="16">
        <f t="shared" si="195"/>
        <v>0</v>
      </c>
      <c r="CG47" s="4">
        <f t="shared" si="196"/>
        <v>0</v>
      </c>
      <c r="CH47" s="4" t="e">
        <f t="shared" ca="1" si="197"/>
        <v>#NAME?</v>
      </c>
      <c r="CI47" s="4" t="e">
        <f t="shared" ca="1" si="198"/>
        <v>#NAME?</v>
      </c>
      <c r="CJ47" s="4" t="e">
        <f t="shared" ca="1" si="124"/>
        <v>#NAME?</v>
      </c>
      <c r="CK47" s="4" t="e">
        <f t="shared" ca="1" si="199"/>
        <v>#NAME?</v>
      </c>
      <c r="CL47" s="4" t="e">
        <f t="shared" ca="1" si="200"/>
        <v>#NAME?</v>
      </c>
      <c r="CM47" s="16"/>
      <c r="CN47" s="4" t="e">
        <f t="shared" ca="1" si="201"/>
        <v>#NAME?</v>
      </c>
      <c r="CO47" s="4" t="e">
        <f t="shared" ca="1" si="202"/>
        <v>#NAME?</v>
      </c>
      <c r="CP47" s="4">
        <f t="shared" ca="1" si="271"/>
        <v>2506328.6196975838</v>
      </c>
      <c r="CQ47" s="4"/>
      <c r="CR47" s="4">
        <f t="shared" ca="1" si="203"/>
        <v>0</v>
      </c>
      <c r="CS47" s="4">
        <f t="shared" ca="1" si="204"/>
        <v>57140</v>
      </c>
      <c r="CT47" s="4">
        <f t="shared" ca="1" si="205"/>
        <v>0</v>
      </c>
      <c r="CU47" s="4"/>
      <c r="CV47" s="4">
        <f t="shared" ca="1" si="126"/>
        <v>0</v>
      </c>
      <c r="CW47" s="4">
        <f t="shared" ca="1" si="206"/>
        <v>0</v>
      </c>
      <c r="CX47" s="4">
        <f t="shared" ca="1" si="207"/>
        <v>0</v>
      </c>
      <c r="CY47" s="4">
        <f t="shared" ca="1" si="127"/>
        <v>0</v>
      </c>
      <c r="CZ47" s="4"/>
      <c r="DA47" s="4">
        <f t="shared" ca="1" si="208"/>
        <v>0</v>
      </c>
      <c r="DB47" s="4">
        <f t="shared" si="209"/>
        <v>0</v>
      </c>
      <c r="DC47" s="4">
        <f t="shared" ca="1" si="128"/>
        <v>0</v>
      </c>
      <c r="DD47" s="4">
        <f t="shared" ca="1" si="210"/>
        <v>0</v>
      </c>
      <c r="DE47" s="4">
        <f t="shared" ca="1" si="211"/>
        <v>0</v>
      </c>
      <c r="DF47" s="4">
        <f t="shared" ca="1" si="129"/>
        <v>0</v>
      </c>
      <c r="DG47" s="4">
        <f t="shared" ca="1" si="130"/>
        <v>0</v>
      </c>
      <c r="DH47" s="4">
        <f t="shared" ca="1" si="212"/>
        <v>0</v>
      </c>
      <c r="DI47" s="4"/>
      <c r="DJ47" s="4">
        <f t="shared" ca="1" si="213"/>
        <v>0</v>
      </c>
      <c r="DK47" s="4">
        <f t="shared" ca="1" si="214"/>
        <v>12500</v>
      </c>
      <c r="DL47" s="4">
        <f t="shared" ca="1" si="215"/>
        <v>12500</v>
      </c>
      <c r="DM47" s="4">
        <f t="shared" ca="1" si="216"/>
        <v>161865.01728128962</v>
      </c>
      <c r="DN47" s="4">
        <f t="shared" ca="1" si="217"/>
        <v>0</v>
      </c>
      <c r="DO47" s="4">
        <f t="shared" ca="1" si="55"/>
        <v>161865.01728128962</v>
      </c>
      <c r="DP47" s="4"/>
      <c r="DQ47" s="4">
        <f t="shared" ca="1" si="56"/>
        <v>0</v>
      </c>
      <c r="DR47" s="4"/>
      <c r="DS47" s="4">
        <f t="shared" si="131"/>
        <v>0</v>
      </c>
      <c r="DT47" s="4">
        <f t="shared" ca="1" si="274"/>
        <v>0</v>
      </c>
      <c r="DU47" s="4">
        <f t="shared" si="218"/>
        <v>0</v>
      </c>
      <c r="DV47" s="4"/>
      <c r="DW47" s="4">
        <f t="shared" ca="1" si="265"/>
        <v>1633861.6052058141</v>
      </c>
      <c r="DX47" s="4">
        <f t="shared" ca="1" si="219"/>
        <v>0</v>
      </c>
      <c r="DY47" s="4">
        <f t="shared" ca="1" si="133"/>
        <v>81693.080260290706</v>
      </c>
      <c r="DZ47" s="4">
        <f t="shared" ca="1" si="220"/>
        <v>33944.363250606228</v>
      </c>
      <c r="EA47" s="4">
        <f t="shared" ca="1" si="221"/>
        <v>0</v>
      </c>
      <c r="EB47" s="4">
        <f t="shared" ca="1" si="222"/>
        <v>1715554.6854661049</v>
      </c>
      <c r="EC47" s="4">
        <f t="shared" si="223"/>
        <v>1</v>
      </c>
      <c r="ED47" s="4"/>
      <c r="EE47" s="4">
        <f t="shared" ca="1" si="266"/>
        <v>405345.48944646929</v>
      </c>
      <c r="EF47" s="4">
        <f t="shared" ca="1" si="224"/>
        <v>0</v>
      </c>
      <c r="EG47" s="4">
        <f t="shared" ca="1" si="135"/>
        <v>20267.274472323465</v>
      </c>
      <c r="EH47" s="4">
        <f t="shared" ca="1" si="225"/>
        <v>0</v>
      </c>
      <c r="EI47" s="4">
        <f t="shared" ca="1" si="226"/>
        <v>0</v>
      </c>
      <c r="EJ47" s="4">
        <f t="shared" ca="1" si="227"/>
        <v>0</v>
      </c>
      <c r="EK47" s="4">
        <f t="shared" si="228"/>
        <v>1</v>
      </c>
      <c r="EL47" s="4">
        <f t="shared" si="229"/>
        <v>0</v>
      </c>
      <c r="EM47" s="4"/>
      <c r="EN47" s="4">
        <f t="shared" ca="1" si="267"/>
        <v>467121.5250453006</v>
      </c>
      <c r="EO47" s="4">
        <f t="shared" ca="1" si="230"/>
        <v>0</v>
      </c>
      <c r="EP47" s="4">
        <f t="shared" ca="1" si="137"/>
        <v>23356.076252265033</v>
      </c>
      <c r="EQ47" s="4">
        <f t="shared" ca="1" si="231"/>
        <v>9704.7036773457075</v>
      </c>
      <c r="ER47" s="4">
        <v>0</v>
      </c>
      <c r="ES47" s="4">
        <f t="shared" ca="1" si="138"/>
        <v>490477.60129756562</v>
      </c>
      <c r="ET47" s="4"/>
      <c r="EU47" s="4">
        <f t="shared" ca="1" si="268"/>
        <v>0</v>
      </c>
      <c r="EV47" s="4">
        <f t="shared" ca="1" si="232"/>
        <v>0</v>
      </c>
      <c r="EW47" s="4">
        <f t="shared" ca="1" si="140"/>
        <v>0</v>
      </c>
      <c r="EX47" s="4">
        <f t="shared" ca="1" si="233"/>
        <v>0</v>
      </c>
      <c r="EY47" s="4">
        <v>0</v>
      </c>
      <c r="EZ47" s="4">
        <f t="shared" ca="1" si="141"/>
        <v>0</v>
      </c>
      <c r="FA47" s="4">
        <f t="shared" ca="1" si="269"/>
        <v>0</v>
      </c>
      <c r="FB47" s="1">
        <f t="shared" ca="1" si="74"/>
        <v>0</v>
      </c>
      <c r="FC47" s="4">
        <f t="shared" ca="1" si="143"/>
        <v>0</v>
      </c>
      <c r="FD47" s="4">
        <f t="shared" ca="1" si="144"/>
        <v>0</v>
      </c>
      <c r="FE47" s="4">
        <f t="shared" ca="1" si="234"/>
        <v>0</v>
      </c>
      <c r="FF47" s="4">
        <f t="shared" ca="1" si="235"/>
        <v>0</v>
      </c>
      <c r="FG47" s="4">
        <f t="shared" ca="1" si="236"/>
        <v>0</v>
      </c>
      <c r="FH47" s="17">
        <f t="shared" ca="1" si="237"/>
        <v>0</v>
      </c>
      <c r="FI47" s="4">
        <f t="shared" ca="1" si="238"/>
        <v>0</v>
      </c>
      <c r="FJ47" s="4"/>
      <c r="FK47" s="4">
        <f t="shared" ca="1" si="239"/>
        <v>2206032.2867636704</v>
      </c>
      <c r="FL47" s="4"/>
      <c r="FM47" s="4">
        <v>0</v>
      </c>
      <c r="FN47" s="4">
        <v>0</v>
      </c>
      <c r="FO47" s="4">
        <v>0</v>
      </c>
      <c r="FP47" s="4">
        <v>0</v>
      </c>
      <c r="FQ47" s="4">
        <v>0</v>
      </c>
      <c r="FR47" s="4">
        <v>0</v>
      </c>
      <c r="FS47" s="4">
        <f t="shared" si="240"/>
        <v>0</v>
      </c>
      <c r="FT47" s="4">
        <f t="shared" ca="1" si="241"/>
        <v>0</v>
      </c>
      <c r="FU47" s="4"/>
      <c r="FV47" s="3">
        <f t="shared" si="242"/>
        <v>0.45289041518523598</v>
      </c>
      <c r="FW47" s="3">
        <f t="shared" si="243"/>
        <v>0.45289041518523598</v>
      </c>
      <c r="FX47" s="4">
        <f t="shared" si="145"/>
        <v>2057</v>
      </c>
      <c r="FY47" s="4">
        <f t="shared" si="244"/>
        <v>0</v>
      </c>
      <c r="FZ47" s="4">
        <f t="shared" si="245"/>
        <v>0</v>
      </c>
      <c r="GA47" s="4">
        <f t="shared" si="246"/>
        <v>0</v>
      </c>
      <c r="GB47" s="4">
        <f t="shared" si="247"/>
        <v>7.2810337370242131</v>
      </c>
      <c r="GC47" s="4">
        <f t="shared" ca="1" si="248"/>
        <v>15.373076765765521</v>
      </c>
      <c r="GD47" s="4">
        <f t="shared" ca="1" si="249"/>
        <v>0</v>
      </c>
      <c r="GE47" s="4">
        <f t="shared" ca="1" si="250"/>
        <v>0</v>
      </c>
      <c r="GF47" s="4">
        <f t="shared" ca="1" si="251"/>
        <v>4.3951672776827833</v>
      </c>
      <c r="GG47" s="18" t="e">
        <f t="shared" ca="1" si="252"/>
        <v>#NAME?</v>
      </c>
      <c r="GH47" s="18" t="e">
        <f t="shared" ca="1" si="253"/>
        <v>#NAME?</v>
      </c>
      <c r="GI47" s="4"/>
      <c r="GJ47" s="4">
        <f t="shared" si="254"/>
        <v>2057</v>
      </c>
      <c r="GK47" s="4">
        <f t="shared" ca="1" si="255"/>
        <v>739.96026073687733</v>
      </c>
      <c r="GL47" s="4">
        <f t="shared" ca="1" si="256"/>
        <v>183.57708700887417</v>
      </c>
      <c r="GM47" s="4">
        <f t="shared" ca="1" si="257"/>
        <v>211.55486141972679</v>
      </c>
      <c r="GN47" s="4">
        <f t="shared" ca="1" si="258"/>
        <v>0</v>
      </c>
      <c r="GO47" s="4"/>
      <c r="GP47" s="3">
        <f t="shared" ca="1" si="146"/>
        <v>0.77766526617019105</v>
      </c>
      <c r="GQ47" s="3">
        <f t="shared" ca="1" si="259"/>
        <v>0</v>
      </c>
      <c r="GR47" s="3">
        <f t="shared" ca="1" si="260"/>
        <v>0</v>
      </c>
      <c r="GS47" s="3">
        <f t="shared" ca="1" si="261"/>
        <v>0.22233473382980903</v>
      </c>
      <c r="GT47" s="3">
        <f t="array" aca="1" ref="GT47" ca="1">SUM(GP47:GS47*$GU$6:$GX$6)</f>
        <v>1</v>
      </c>
      <c r="GU47" s="3">
        <f t="shared" ca="1" si="147"/>
        <v>0.77766526617019105</v>
      </c>
      <c r="GV47" s="3">
        <f t="shared" ca="1" si="148"/>
        <v>0</v>
      </c>
      <c r="GW47" s="3">
        <f t="shared" ca="1" si="149"/>
        <v>0</v>
      </c>
      <c r="GX47" s="3">
        <f t="shared" ca="1" si="150"/>
        <v>0.22233473382980903</v>
      </c>
      <c r="GY47" s="11"/>
      <c r="GZ47" s="27">
        <v>89</v>
      </c>
      <c r="HA47" s="30">
        <v>0.1099</v>
      </c>
      <c r="HB47" s="29">
        <f t="shared" ca="1" si="151"/>
        <v>1</v>
      </c>
      <c r="HC47" s="29">
        <v>1</v>
      </c>
      <c r="HD47" s="29">
        <v>0.2</v>
      </c>
      <c r="HE47" s="29">
        <v>1</v>
      </c>
      <c r="HG47" s="27">
        <v>87</v>
      </c>
      <c r="HH47" s="30">
        <v>9.5500000000000002E-2</v>
      </c>
      <c r="HJ47">
        <f t="shared" si="153"/>
        <v>2050</v>
      </c>
      <c r="HK47" s="28">
        <f t="shared" si="163"/>
        <v>49740</v>
      </c>
      <c r="HL47" s="27">
        <f t="shared" si="155"/>
        <v>11000</v>
      </c>
      <c r="HM47" s="28">
        <f t="shared" si="156"/>
        <v>10783.718176121089</v>
      </c>
      <c r="HO47" t="s">
        <v>171</v>
      </c>
      <c r="HQ47" s="27">
        <v>11635</v>
      </c>
      <c r="HR47" s="27">
        <v>8978</v>
      </c>
      <c r="HS47" s="27">
        <v>8000</v>
      </c>
      <c r="HT47" s="27">
        <v>8481</v>
      </c>
      <c r="HU47" s="27">
        <v>9895</v>
      </c>
      <c r="HV47" s="27">
        <v>11635</v>
      </c>
      <c r="HW47" s="27">
        <v>10171</v>
      </c>
      <c r="HX47" s="27">
        <v>9271</v>
      </c>
      <c r="HY47" s="27">
        <v>16065</v>
      </c>
      <c r="HZ47" s="27">
        <v>18690</v>
      </c>
      <c r="IA47" s="27">
        <v>10208</v>
      </c>
      <c r="IB47" s="27">
        <v>11635</v>
      </c>
      <c r="IC47" s="27">
        <v>14278</v>
      </c>
      <c r="ID47" s="27">
        <v>13128</v>
      </c>
      <c r="IE47" s="27">
        <v>11635</v>
      </c>
      <c r="IF47" s="27">
        <v>11635</v>
      </c>
      <c r="IG47" s="27">
        <v>11635</v>
      </c>
    </row>
    <row r="48" spans="1:241" x14ac:dyDescent="0.25">
      <c r="A48" t="s">
        <v>54</v>
      </c>
      <c r="B48" s="62">
        <f>Inputs_Summary!AK45</f>
        <v>71</v>
      </c>
      <c r="D48">
        <f t="shared" si="106"/>
        <v>2058</v>
      </c>
      <c r="E48">
        <f t="shared" si="106"/>
        <v>63</v>
      </c>
      <c r="F48" s="8"/>
      <c r="G48" s="8"/>
      <c r="H48" s="8"/>
      <c r="I48" s="8"/>
      <c r="J48" s="92"/>
      <c r="K48" s="91"/>
      <c r="L48" s="91"/>
      <c r="N48" s="93">
        <f t="shared" si="107"/>
        <v>0.05</v>
      </c>
      <c r="O48" s="23">
        <f t="shared" si="108"/>
        <v>0</v>
      </c>
      <c r="P48" s="23">
        <f t="shared" si="109"/>
        <v>0.4</v>
      </c>
      <c r="Q48" s="4">
        <f t="shared" si="164"/>
        <v>0</v>
      </c>
      <c r="R48" s="4">
        <f t="shared" si="263"/>
        <v>0</v>
      </c>
      <c r="S48" s="4">
        <f t="shared" si="165"/>
        <v>0</v>
      </c>
      <c r="T48" s="4">
        <f t="shared" ca="1" si="166"/>
        <v>0</v>
      </c>
      <c r="V48" s="18" t="e">
        <f t="shared" ca="1" si="167"/>
        <v>#NAME?</v>
      </c>
      <c r="W48" s="18" t="e">
        <f t="shared" ca="1" si="168"/>
        <v>#NAME?</v>
      </c>
      <c r="X48" s="18" t="e">
        <f t="shared" ca="1" si="169"/>
        <v>#NAME?</v>
      </c>
      <c r="Y48" s="18">
        <f t="shared" ca="1" si="170"/>
        <v>-15.450599207021705</v>
      </c>
      <c r="Z48" s="18">
        <f t="shared" ca="1" si="171"/>
        <v>0</v>
      </c>
      <c r="AA48" s="18">
        <f t="shared" ca="1" si="172"/>
        <v>-4.4173309669875866</v>
      </c>
      <c r="AB48" s="18">
        <f t="shared" ca="1" si="173"/>
        <v>0</v>
      </c>
      <c r="AC48" s="18">
        <f t="shared" ca="1" si="174"/>
        <v>746.6521539293683</v>
      </c>
      <c r="AD48" s="18">
        <f t="shared" ca="1" si="175"/>
        <v>188.97641309737048</v>
      </c>
      <c r="AE48" s="18">
        <f t="shared" ca="1" si="176"/>
        <v>213.46807569904936</v>
      </c>
      <c r="AF48" s="18">
        <f t="shared" ca="1" si="177"/>
        <v>0</v>
      </c>
      <c r="AG48" s="18">
        <f t="shared" ca="1" si="178"/>
        <v>1149.0966427257881</v>
      </c>
      <c r="AI48">
        <f>Person1!E48</f>
        <v>63</v>
      </c>
      <c r="AJ48">
        <f>Person1!AZ48</f>
        <v>2</v>
      </c>
      <c r="AK48">
        <f>IF(AZ48&lt;&gt;3,Person1!FM48,0)</f>
        <v>0</v>
      </c>
      <c r="AL48" s="4">
        <f ca="1">IF($AZ48&lt;&gt;3,Person1!FN48+Person1!FT48,0)</f>
        <v>0</v>
      </c>
      <c r="AM48">
        <f>IF($AZ48&lt;&gt;3,Person1!FO48,0)</f>
        <v>0</v>
      </c>
      <c r="AN48">
        <f>IF($AZ48&lt;&gt;3,Person1!FP48,0)</f>
        <v>0</v>
      </c>
      <c r="AO48">
        <f>IF($AZ48&lt;&gt;3,Person1!FQ48,0)</f>
        <v>0</v>
      </c>
      <c r="AP48">
        <f>IF($AZ48&lt;&gt;3,Person1!FR48,0)</f>
        <v>0</v>
      </c>
      <c r="AQ48" s="4">
        <f t="shared" si="179"/>
        <v>0</v>
      </c>
      <c r="AR48" s="4">
        <f>Person1!FS48</f>
        <v>16157.195339884682</v>
      </c>
      <c r="AS48" s="4">
        <f>$B$41*MAX(0,CHOOSE($AZ48,0,IF(AND(Person1!AW48&gt;=Person1!$B$36,AV48&gt;=$B$93),Person1!$B$35*(1+Person1!$B$37)^(Person1!$B$36-Person1!$B$11)*(1+Person1!$B$38)^(Person1!AW48-Person1!$B$36)-CHOOSE(Person1!$B$39+1,0,BD48,BE48,BD48+BE48),0),0,0))</f>
        <v>0</v>
      </c>
      <c r="AT48" s="4">
        <f t="shared" si="180"/>
        <v>0</v>
      </c>
      <c r="AV48">
        <f t="shared" si="264"/>
        <v>2058</v>
      </c>
      <c r="AW48">
        <f t="shared" si="264"/>
        <v>63</v>
      </c>
      <c r="AX48">
        <f t="shared" si="112"/>
        <v>2.252200456887151</v>
      </c>
      <c r="AY48">
        <f t="shared" si="113"/>
        <v>0.44401021096591764</v>
      </c>
      <c r="AZ48">
        <f t="shared" si="114"/>
        <v>2</v>
      </c>
      <c r="BB48" s="4">
        <f t="shared" si="181"/>
        <v>0</v>
      </c>
      <c r="BC48">
        <f t="shared" si="182"/>
        <v>0</v>
      </c>
      <c r="BD48" s="4">
        <f t="shared" si="183"/>
        <v>0</v>
      </c>
      <c r="BE48" s="4">
        <f t="shared" si="115"/>
        <v>0</v>
      </c>
      <c r="BF48" s="4">
        <f t="shared" si="116"/>
        <v>0</v>
      </c>
      <c r="BG48" s="4">
        <f t="shared" si="117"/>
        <v>16157.195339884682</v>
      </c>
      <c r="BH48" s="4">
        <f t="shared" si="184"/>
        <v>0</v>
      </c>
      <c r="BI48" s="4">
        <f t="shared" si="118"/>
        <v>16157.195339884682</v>
      </c>
      <c r="BJ48" s="4"/>
      <c r="BK48" s="4">
        <f t="shared" si="185"/>
        <v>56305.011422178774</v>
      </c>
      <c r="BL48" s="4">
        <f t="shared" si="119"/>
        <v>0</v>
      </c>
      <c r="BM48" s="4">
        <f t="shared" si="120"/>
        <v>56305.011422178774</v>
      </c>
      <c r="BN48" s="4">
        <v>4598.7453330116468</v>
      </c>
      <c r="BO48" s="4">
        <f t="shared" si="121"/>
        <v>60903.756755190421</v>
      </c>
      <c r="BP48" s="4">
        <f t="shared" si="122"/>
        <v>-44746.56141530574</v>
      </c>
      <c r="BQ48" s="4"/>
      <c r="BR48" s="4">
        <v>0</v>
      </c>
      <c r="BS48" s="4">
        <f t="shared" ca="1" si="186"/>
        <v>0</v>
      </c>
      <c r="BT48" s="4">
        <f t="shared" ca="1" si="187"/>
        <v>184069.72095863533</v>
      </c>
      <c r="BU48" s="4">
        <f t="shared" si="188"/>
        <v>44746.56141530574</v>
      </c>
      <c r="BV48" s="4">
        <f t="shared" si="189"/>
        <v>1</v>
      </c>
      <c r="BW48" s="4">
        <f t="shared" ca="1" si="190"/>
        <v>34797.846593234535</v>
      </c>
      <c r="BX48" s="4">
        <f t="shared" ca="1" si="191"/>
        <v>0</v>
      </c>
      <c r="BY48" s="4">
        <f t="shared" ca="1" si="192"/>
        <v>0</v>
      </c>
      <c r="BZ48" s="4">
        <f t="shared" ca="1" si="193"/>
        <v>9948.7148220712043</v>
      </c>
      <c r="CA48" s="4">
        <f t="shared" ca="1" si="30"/>
        <v>44746.56141530574</v>
      </c>
      <c r="CB48" s="4">
        <f t="shared" ca="1" si="154"/>
        <v>0</v>
      </c>
      <c r="CC48" s="4"/>
      <c r="CD48" s="4">
        <f t="shared" ca="1" si="194"/>
        <v>60903.756755190421</v>
      </c>
      <c r="CE48" s="4">
        <f t="shared" ca="1" si="123"/>
        <v>50955.041933119217</v>
      </c>
      <c r="CF48" s="16">
        <f t="shared" si="195"/>
        <v>0</v>
      </c>
      <c r="CG48" s="4">
        <f t="shared" si="196"/>
        <v>0</v>
      </c>
      <c r="CH48" s="4" t="e">
        <f t="shared" ca="1" si="197"/>
        <v>#NAME?</v>
      </c>
      <c r="CI48" s="4" t="e">
        <f t="shared" ca="1" si="198"/>
        <v>#NAME?</v>
      </c>
      <c r="CJ48" s="4" t="e">
        <f t="shared" ca="1" si="124"/>
        <v>#NAME?</v>
      </c>
      <c r="CK48" s="4" t="e">
        <f t="shared" ca="1" si="199"/>
        <v>#NAME?</v>
      </c>
      <c r="CL48" s="4" t="e">
        <f t="shared" ca="1" si="200"/>
        <v>#NAME?</v>
      </c>
      <c r="CM48" s="16"/>
      <c r="CN48" s="4" t="e">
        <f t="shared" ca="1" si="201"/>
        <v>#NAME?</v>
      </c>
      <c r="CO48" s="4" t="e">
        <f t="shared" ca="1" si="202"/>
        <v>#NAME?</v>
      </c>
      <c r="CP48" s="4">
        <f t="shared" ca="1" si="271"/>
        <v>2587995.983754511</v>
      </c>
      <c r="CQ48" s="4"/>
      <c r="CR48" s="4">
        <f t="shared" ca="1" si="203"/>
        <v>0</v>
      </c>
      <c r="CS48" s="4">
        <f t="shared" ca="1" si="204"/>
        <v>58280</v>
      </c>
      <c r="CT48" s="4">
        <f t="shared" ca="1" si="205"/>
        <v>0</v>
      </c>
      <c r="CU48" s="4"/>
      <c r="CV48" s="4">
        <f t="shared" ca="1" si="126"/>
        <v>0</v>
      </c>
      <c r="CW48" s="4">
        <f t="shared" ca="1" si="206"/>
        <v>0</v>
      </c>
      <c r="CX48" s="4">
        <f t="shared" ca="1" si="207"/>
        <v>0</v>
      </c>
      <c r="CY48" s="4">
        <f t="shared" ca="1" si="127"/>
        <v>0</v>
      </c>
      <c r="CZ48" s="4"/>
      <c r="DA48" s="4">
        <f t="shared" ca="1" si="208"/>
        <v>0</v>
      </c>
      <c r="DB48" s="4">
        <f t="shared" si="209"/>
        <v>0</v>
      </c>
      <c r="DC48" s="4">
        <f t="shared" ca="1" si="128"/>
        <v>0</v>
      </c>
      <c r="DD48" s="4">
        <f t="shared" ca="1" si="210"/>
        <v>0</v>
      </c>
      <c r="DE48" s="4">
        <f t="shared" ca="1" si="211"/>
        <v>0</v>
      </c>
      <c r="DF48" s="4">
        <f t="shared" ca="1" si="129"/>
        <v>0</v>
      </c>
      <c r="DG48" s="4">
        <f t="shared" ca="1" si="130"/>
        <v>0</v>
      </c>
      <c r="DH48" s="4">
        <f t="shared" ca="1" si="212"/>
        <v>0</v>
      </c>
      <c r="DI48" s="4"/>
      <c r="DJ48" s="4">
        <f t="shared" ca="1" si="213"/>
        <v>0</v>
      </c>
      <c r="DK48" s="4">
        <f t="shared" ca="1" si="214"/>
        <v>12500</v>
      </c>
      <c r="DL48" s="4">
        <f t="shared" ca="1" si="215"/>
        <v>12500</v>
      </c>
      <c r="DM48" s="4">
        <f t="shared" ca="1" si="216"/>
        <v>184069.72095863533</v>
      </c>
      <c r="DN48" s="4">
        <f t="shared" ca="1" si="217"/>
        <v>0</v>
      </c>
      <c r="DO48" s="4">
        <f t="shared" ca="1" si="55"/>
        <v>184069.72095863533</v>
      </c>
      <c r="DP48" s="4"/>
      <c r="DQ48" s="4">
        <f t="shared" ca="1" si="56"/>
        <v>0</v>
      </c>
      <c r="DR48" s="4"/>
      <c r="DS48" s="4">
        <f t="shared" si="131"/>
        <v>0</v>
      </c>
      <c r="DT48" s="4">
        <f t="shared" ca="1" si="274"/>
        <v>0</v>
      </c>
      <c r="DU48" s="4">
        <f t="shared" si="218"/>
        <v>0</v>
      </c>
      <c r="DV48" s="4"/>
      <c r="DW48" s="4">
        <f t="shared" ca="1" si="265"/>
        <v>1681610.3222154987</v>
      </c>
      <c r="DX48" s="4">
        <f t="shared" ca="1" si="219"/>
        <v>0</v>
      </c>
      <c r="DY48" s="4">
        <f t="shared" ca="1" si="133"/>
        <v>84080.516110774945</v>
      </c>
      <c r="DZ48" s="4">
        <f t="shared" ca="1" si="220"/>
        <v>34797.846593234535</v>
      </c>
      <c r="EA48" s="4">
        <f t="shared" ca="1" si="221"/>
        <v>0</v>
      </c>
      <c r="EB48" s="4">
        <f t="shared" ca="1" si="222"/>
        <v>1765690.8383262735</v>
      </c>
      <c r="EC48" s="4">
        <f t="shared" si="223"/>
        <v>1</v>
      </c>
      <c r="ED48" s="4"/>
      <c r="EE48" s="4">
        <f t="shared" ca="1" si="266"/>
        <v>425612.76391879277</v>
      </c>
      <c r="EF48" s="4">
        <f t="shared" ca="1" si="224"/>
        <v>0</v>
      </c>
      <c r="EG48" s="4">
        <f t="shared" ca="1" si="135"/>
        <v>21280.638195939639</v>
      </c>
      <c r="EH48" s="4">
        <f t="shared" ca="1" si="225"/>
        <v>0</v>
      </c>
      <c r="EI48" s="4">
        <f t="shared" ca="1" si="226"/>
        <v>0</v>
      </c>
      <c r="EJ48" s="4">
        <f t="shared" ca="1" si="227"/>
        <v>0</v>
      </c>
      <c r="EK48" s="4">
        <f t="shared" si="228"/>
        <v>1</v>
      </c>
      <c r="EL48" s="4">
        <f t="shared" si="229"/>
        <v>0</v>
      </c>
      <c r="EM48" s="4"/>
      <c r="EN48" s="4">
        <f t="shared" ca="1" si="267"/>
        <v>480772.89762021991</v>
      </c>
      <c r="EO48" s="4">
        <f t="shared" ca="1" si="230"/>
        <v>0</v>
      </c>
      <c r="EP48" s="4">
        <f t="shared" ca="1" si="137"/>
        <v>24038.644881010998</v>
      </c>
      <c r="EQ48" s="4">
        <f t="shared" ca="1" si="231"/>
        <v>9948.7148220712043</v>
      </c>
      <c r="ER48" s="4">
        <v>0</v>
      </c>
      <c r="ES48" s="4">
        <f t="shared" ca="1" si="138"/>
        <v>504811.5425012309</v>
      </c>
      <c r="ET48" s="4"/>
      <c r="EU48" s="4">
        <f t="shared" ca="1" si="268"/>
        <v>0</v>
      </c>
      <c r="EV48" s="4">
        <f t="shared" ca="1" si="232"/>
        <v>0</v>
      </c>
      <c r="EW48" s="4">
        <f t="shared" ca="1" si="140"/>
        <v>0</v>
      </c>
      <c r="EX48" s="4">
        <f t="shared" ca="1" si="233"/>
        <v>0</v>
      </c>
      <c r="EY48" s="4">
        <v>0</v>
      </c>
      <c r="EZ48" s="4">
        <f t="shared" ca="1" si="141"/>
        <v>0</v>
      </c>
      <c r="FA48" s="4">
        <f t="shared" ca="1" si="269"/>
        <v>0</v>
      </c>
      <c r="FB48" s="1">
        <f t="shared" ca="1" si="74"/>
        <v>0</v>
      </c>
      <c r="FC48" s="4">
        <f t="shared" ca="1" si="143"/>
        <v>0</v>
      </c>
      <c r="FD48" s="4">
        <f t="shared" ca="1" si="144"/>
        <v>0</v>
      </c>
      <c r="FE48" s="4">
        <f t="shared" ca="1" si="234"/>
        <v>0</v>
      </c>
      <c r="FF48" s="4">
        <f t="shared" ca="1" si="235"/>
        <v>0</v>
      </c>
      <c r="FG48" s="4">
        <f t="shared" ca="1" si="236"/>
        <v>0</v>
      </c>
      <c r="FH48" s="17">
        <f t="shared" ca="1" si="237"/>
        <v>0</v>
      </c>
      <c r="FI48" s="4">
        <f t="shared" ca="1" si="238"/>
        <v>0</v>
      </c>
      <c r="FJ48" s="4"/>
      <c r="FK48" s="4">
        <f t="shared" ca="1" si="239"/>
        <v>2270502.3808275042</v>
      </c>
      <c r="FL48" s="4"/>
      <c r="FM48" s="4">
        <v>0</v>
      </c>
      <c r="FN48" s="4">
        <v>0</v>
      </c>
      <c r="FO48" s="4">
        <v>0</v>
      </c>
      <c r="FP48" s="4">
        <v>0</v>
      </c>
      <c r="FQ48" s="4">
        <v>0</v>
      </c>
      <c r="FR48" s="4">
        <v>0</v>
      </c>
      <c r="FS48" s="4">
        <f t="shared" si="240"/>
        <v>0</v>
      </c>
      <c r="FT48" s="4">
        <f t="shared" ca="1" si="241"/>
        <v>0</v>
      </c>
      <c r="FU48" s="4"/>
      <c r="FV48" s="3">
        <f t="shared" si="242"/>
        <v>0.44401021096591764</v>
      </c>
      <c r="FW48" s="3">
        <f t="shared" si="243"/>
        <v>0.44401021096591764</v>
      </c>
      <c r="FX48" s="4">
        <f t="shared" si="145"/>
        <v>2058</v>
      </c>
      <c r="FY48" s="4">
        <f t="shared" si="244"/>
        <v>0</v>
      </c>
      <c r="FZ48" s="4">
        <f t="shared" si="245"/>
        <v>0</v>
      </c>
      <c r="GA48" s="4">
        <f t="shared" si="246"/>
        <v>0</v>
      </c>
      <c r="GB48" s="4">
        <f t="shared" si="247"/>
        <v>7.1739597114797391</v>
      </c>
      <c r="GC48" s="4">
        <f t="shared" ca="1" si="248"/>
        <v>15.450599207021705</v>
      </c>
      <c r="GD48" s="4">
        <f t="shared" ca="1" si="249"/>
        <v>0</v>
      </c>
      <c r="GE48" s="4">
        <f t="shared" ca="1" si="250"/>
        <v>0</v>
      </c>
      <c r="GF48" s="4">
        <f t="shared" ca="1" si="251"/>
        <v>4.4173309669875866</v>
      </c>
      <c r="GG48" s="18" t="e">
        <f t="shared" ca="1" si="252"/>
        <v>#NAME?</v>
      </c>
      <c r="GH48" s="18" t="e">
        <f t="shared" ca="1" si="253"/>
        <v>#NAME?</v>
      </c>
      <c r="GI48" s="4"/>
      <c r="GJ48" s="4">
        <f t="shared" si="254"/>
        <v>2058</v>
      </c>
      <c r="GK48" s="4">
        <f t="shared" ca="1" si="255"/>
        <v>746.6521539293683</v>
      </c>
      <c r="GL48" s="4">
        <f t="shared" ca="1" si="256"/>
        <v>188.97641309737048</v>
      </c>
      <c r="GM48" s="4">
        <f t="shared" ca="1" si="257"/>
        <v>213.46807569904936</v>
      </c>
      <c r="GN48" s="4">
        <f t="shared" ca="1" si="258"/>
        <v>0</v>
      </c>
      <c r="GO48" s="4"/>
      <c r="GP48" s="3">
        <f t="shared" ca="1" si="146"/>
        <v>0.77766526617019105</v>
      </c>
      <c r="GQ48" s="3">
        <f t="shared" ca="1" si="259"/>
        <v>0</v>
      </c>
      <c r="GR48" s="3">
        <f t="shared" ca="1" si="260"/>
        <v>0</v>
      </c>
      <c r="GS48" s="3">
        <f t="shared" ca="1" si="261"/>
        <v>0.22233473382980906</v>
      </c>
      <c r="GT48" s="3">
        <f t="array" aca="1" ref="GT48" ca="1">SUM(GP48:GS48*$GU$6:$GX$6)</f>
        <v>1</v>
      </c>
      <c r="GU48" s="3">
        <f t="shared" ca="1" si="147"/>
        <v>0.77766526617019105</v>
      </c>
      <c r="GV48" s="3">
        <f t="shared" ca="1" si="148"/>
        <v>0</v>
      </c>
      <c r="GW48" s="3">
        <f t="shared" ca="1" si="149"/>
        <v>0</v>
      </c>
      <c r="GX48" s="3">
        <f t="shared" ca="1" si="150"/>
        <v>0.22233473382980906</v>
      </c>
      <c r="GY48" s="11"/>
      <c r="GZ48" s="27">
        <v>90</v>
      </c>
      <c r="HA48" s="30">
        <v>0.1192</v>
      </c>
      <c r="HB48" s="29">
        <f t="shared" ca="1" si="151"/>
        <v>1</v>
      </c>
      <c r="HC48" s="29">
        <v>1</v>
      </c>
      <c r="HD48" s="29">
        <v>0.2</v>
      </c>
      <c r="HE48" s="29">
        <v>1</v>
      </c>
      <c r="HG48" s="27">
        <v>88</v>
      </c>
      <c r="HH48" s="30">
        <v>0.1021</v>
      </c>
      <c r="HJ48">
        <f t="shared" si="153"/>
        <v>2051</v>
      </c>
      <c r="HK48" s="28">
        <f t="shared" si="163"/>
        <v>50740</v>
      </c>
      <c r="HL48" s="27">
        <f t="shared" si="155"/>
        <v>11000</v>
      </c>
      <c r="HM48" s="28">
        <f t="shared" si="156"/>
        <v>10999.39253964351</v>
      </c>
      <c r="HO48" t="s">
        <v>172</v>
      </c>
      <c r="HQ48" s="27">
        <v>7225</v>
      </c>
      <c r="HR48" s="27">
        <v>5731</v>
      </c>
      <c r="HS48" s="27">
        <v>3764</v>
      </c>
      <c r="HT48" s="27">
        <v>4141</v>
      </c>
      <c r="HU48" s="27">
        <v>4831</v>
      </c>
      <c r="HV48" s="88">
        <v>2500</v>
      </c>
      <c r="HW48" s="27">
        <v>4966</v>
      </c>
      <c r="HX48" s="27">
        <v>3728</v>
      </c>
      <c r="HY48" s="27">
        <v>4894</v>
      </c>
      <c r="HZ48" s="27">
        <v>5208</v>
      </c>
      <c r="IA48" s="27">
        <v>4578</v>
      </c>
      <c r="IB48" s="27">
        <v>7225</v>
      </c>
      <c r="IC48" s="27">
        <v>6984</v>
      </c>
      <c r="ID48" s="27">
        <v>9846</v>
      </c>
      <c r="IE48" s="27">
        <v>7225</v>
      </c>
      <c r="IF48" s="27">
        <v>7225</v>
      </c>
      <c r="IG48" s="27">
        <v>7225</v>
      </c>
    </row>
    <row r="49" spans="1:241" x14ac:dyDescent="0.25">
      <c r="A49" t="s">
        <v>55</v>
      </c>
      <c r="B49" s="62">
        <f>Inputs_Summary!AK46</f>
        <v>71</v>
      </c>
      <c r="D49">
        <f t="shared" si="106"/>
        <v>2059</v>
      </c>
      <c r="E49">
        <f t="shared" si="106"/>
        <v>64</v>
      </c>
      <c r="F49" s="8"/>
      <c r="G49" s="8"/>
      <c r="H49" s="8"/>
      <c r="I49" s="8"/>
      <c r="J49" s="92"/>
      <c r="K49" s="91"/>
      <c r="L49" s="91"/>
      <c r="N49" s="93">
        <f t="shared" si="107"/>
        <v>0.05</v>
      </c>
      <c r="O49" s="23">
        <f t="shared" si="108"/>
        <v>0</v>
      </c>
      <c r="P49" s="23">
        <f t="shared" si="109"/>
        <v>0.4</v>
      </c>
      <c r="Q49" s="4">
        <f t="shared" si="164"/>
        <v>0</v>
      </c>
      <c r="R49" s="4">
        <f t="shared" si="263"/>
        <v>0</v>
      </c>
      <c r="S49" s="4">
        <f t="shared" si="165"/>
        <v>0</v>
      </c>
      <c r="T49" s="4">
        <f t="shared" ca="1" si="166"/>
        <v>0</v>
      </c>
      <c r="V49" s="18" t="e">
        <f t="shared" ca="1" si="167"/>
        <v>#NAME?</v>
      </c>
      <c r="W49" s="18" t="e">
        <f t="shared" ca="1" si="168"/>
        <v>#NAME?</v>
      </c>
      <c r="X49" s="18" t="e">
        <f t="shared" ca="1" si="169"/>
        <v>#NAME?</v>
      </c>
      <c r="Y49" s="18">
        <f t="shared" ca="1" si="170"/>
        <v>-15.526981612377071</v>
      </c>
      <c r="Z49" s="18">
        <f t="shared" ca="1" si="171"/>
        <v>0</v>
      </c>
      <c r="AA49" s="18">
        <f t="shared" ca="1" si="172"/>
        <v>-4.4391687196849663</v>
      </c>
      <c r="AB49" s="18">
        <f t="shared" ca="1" si="173"/>
        <v>0</v>
      </c>
      <c r="AC49" s="18">
        <f t="shared" ca="1" si="174"/>
        <v>753.46486511648538</v>
      </c>
      <c r="AD49" s="18">
        <f t="shared" ca="1" si="175"/>
        <v>194.534542894352</v>
      </c>
      <c r="AE49" s="18">
        <f t="shared" ca="1" si="176"/>
        <v>215.41583187942575</v>
      </c>
      <c r="AF49" s="18">
        <f t="shared" ca="1" si="177"/>
        <v>0</v>
      </c>
      <c r="AG49" s="18">
        <f t="shared" ca="1" si="178"/>
        <v>1163.4152398902629</v>
      </c>
      <c r="AI49">
        <f>Person1!E49</f>
        <v>64</v>
      </c>
      <c r="AJ49">
        <f>Person1!AZ49</f>
        <v>2</v>
      </c>
      <c r="AK49">
        <f>IF(AZ49&lt;&gt;3,Person1!FM49,0)</f>
        <v>0</v>
      </c>
      <c r="AL49" s="4">
        <f ca="1">IF($AZ49&lt;&gt;3,Person1!FN49+Person1!FT49,0)</f>
        <v>0</v>
      </c>
      <c r="AM49">
        <f>IF($AZ49&lt;&gt;3,Person1!FO49,0)</f>
        <v>0</v>
      </c>
      <c r="AN49">
        <f>IF($AZ49&lt;&gt;3,Person1!FP49,0)</f>
        <v>0</v>
      </c>
      <c r="AO49">
        <f>IF($AZ49&lt;&gt;3,Person1!FQ49,0)</f>
        <v>0</v>
      </c>
      <c r="AP49">
        <f>IF($AZ49&lt;&gt;3,Person1!FR49,0)</f>
        <v>0</v>
      </c>
      <c r="AQ49" s="4">
        <f t="shared" si="179"/>
        <v>0</v>
      </c>
      <c r="AR49" s="4">
        <f>Person1!FS49</f>
        <v>16237.981316584099</v>
      </c>
      <c r="AS49" s="4">
        <f>$B$41*MAX(0,CHOOSE($AZ49,0,IF(AND(Person1!AW49&gt;=Person1!$B$36,AV49&gt;=$B$93),Person1!$B$35*(1+Person1!$B$37)^(Person1!$B$36-Person1!$B$11)*(1+Person1!$B$38)^(Person1!AW49-Person1!$B$36)-CHOOSE(Person1!$B$39+1,0,BD49,BE49,BD49+BE49),0),0,0))</f>
        <v>0</v>
      </c>
      <c r="AT49" s="4">
        <f t="shared" si="180"/>
        <v>0</v>
      </c>
      <c r="AV49">
        <f t="shared" si="264"/>
        <v>2059</v>
      </c>
      <c r="AW49">
        <f t="shared" si="264"/>
        <v>64</v>
      </c>
      <c r="AX49">
        <f t="shared" si="112"/>
        <v>2.2972444660248938</v>
      </c>
      <c r="AY49">
        <f t="shared" si="113"/>
        <v>0.43530412839795851</v>
      </c>
      <c r="AZ49">
        <f t="shared" si="114"/>
        <v>2</v>
      </c>
      <c r="BB49" s="4">
        <f t="shared" si="181"/>
        <v>0</v>
      </c>
      <c r="BC49">
        <f t="shared" si="182"/>
        <v>0</v>
      </c>
      <c r="BD49" s="4">
        <f t="shared" si="183"/>
        <v>0</v>
      </c>
      <c r="BE49" s="4">
        <f t="shared" si="115"/>
        <v>0</v>
      </c>
      <c r="BF49" s="4">
        <f t="shared" si="116"/>
        <v>0</v>
      </c>
      <c r="BG49" s="4">
        <f t="shared" si="117"/>
        <v>16237.981316584099</v>
      </c>
      <c r="BH49" s="4">
        <f t="shared" si="184"/>
        <v>0</v>
      </c>
      <c r="BI49" s="4">
        <f t="shared" si="118"/>
        <v>16237.981316584099</v>
      </c>
      <c r="BJ49" s="4"/>
      <c r="BK49" s="4">
        <f t="shared" si="185"/>
        <v>57431.111650622348</v>
      </c>
      <c r="BL49" s="4">
        <f t="shared" si="119"/>
        <v>0</v>
      </c>
      <c r="BM49" s="4">
        <f t="shared" si="120"/>
        <v>57431.111650622348</v>
      </c>
      <c r="BN49" s="4">
        <v>4673.998024112354</v>
      </c>
      <c r="BO49" s="4">
        <f t="shared" si="121"/>
        <v>62105.109674734704</v>
      </c>
      <c r="BP49" s="4">
        <f t="shared" si="122"/>
        <v>-45867.128358150607</v>
      </c>
      <c r="BQ49" s="4"/>
      <c r="BR49" s="4">
        <v>0</v>
      </c>
      <c r="BS49" s="4">
        <f t="shared" ca="1" si="186"/>
        <v>0</v>
      </c>
      <c r="BT49" s="4">
        <f t="shared" ca="1" si="187"/>
        <v>207018.43578070652</v>
      </c>
      <c r="BU49" s="4">
        <f t="shared" si="188"/>
        <v>45867.128358150607</v>
      </c>
      <c r="BV49" s="4">
        <f t="shared" si="189"/>
        <v>1</v>
      </c>
      <c r="BW49" s="4">
        <f t="shared" ca="1" si="190"/>
        <v>35669.272583103506</v>
      </c>
      <c r="BX49" s="4">
        <f t="shared" ca="1" si="191"/>
        <v>0</v>
      </c>
      <c r="BY49" s="4">
        <f t="shared" ca="1" si="192"/>
        <v>0</v>
      </c>
      <c r="BZ49" s="4">
        <f t="shared" ca="1" si="193"/>
        <v>10197.855775047101</v>
      </c>
      <c r="CA49" s="4">
        <f t="shared" ca="1" si="30"/>
        <v>45867.128358150607</v>
      </c>
      <c r="CB49" s="4">
        <f t="shared" ca="1" si="154"/>
        <v>0</v>
      </c>
      <c r="CC49" s="4"/>
      <c r="CD49" s="4">
        <f t="shared" ca="1" si="194"/>
        <v>62105.109674734704</v>
      </c>
      <c r="CE49" s="4">
        <f t="shared" ca="1" si="123"/>
        <v>51907.253899687603</v>
      </c>
      <c r="CF49" s="16">
        <f t="shared" si="195"/>
        <v>0</v>
      </c>
      <c r="CG49" s="4">
        <f t="shared" si="196"/>
        <v>0</v>
      </c>
      <c r="CH49" s="4" t="e">
        <f t="shared" ca="1" si="197"/>
        <v>#NAME?</v>
      </c>
      <c r="CI49" s="4" t="e">
        <f t="shared" ca="1" si="198"/>
        <v>#NAME?</v>
      </c>
      <c r="CJ49" s="4" t="e">
        <f t="shared" ca="1" si="124"/>
        <v>#NAME?</v>
      </c>
      <c r="CK49" s="4" t="e">
        <f t="shared" ca="1" si="199"/>
        <v>#NAME?</v>
      </c>
      <c r="CL49" s="4" t="e">
        <f t="shared" ca="1" si="200"/>
        <v>#NAME?</v>
      </c>
      <c r="CM49" s="16"/>
      <c r="CN49" s="4" t="e">
        <f t="shared" ca="1" si="201"/>
        <v>#NAME?</v>
      </c>
      <c r="CO49" s="4" t="e">
        <f t="shared" ca="1" si="202"/>
        <v>#NAME?</v>
      </c>
      <c r="CP49" s="4">
        <f t="shared" ca="1" si="271"/>
        <v>2672649.221526931</v>
      </c>
      <c r="CQ49" s="4"/>
      <c r="CR49" s="4">
        <f t="shared" ca="1" si="203"/>
        <v>0</v>
      </c>
      <c r="CS49" s="4">
        <f t="shared" ca="1" si="204"/>
        <v>59450</v>
      </c>
      <c r="CT49" s="4">
        <f t="shared" ca="1" si="205"/>
        <v>0</v>
      </c>
      <c r="CU49" s="4"/>
      <c r="CV49" s="4">
        <f t="shared" ca="1" si="126"/>
        <v>0</v>
      </c>
      <c r="CW49" s="4">
        <f t="shared" ca="1" si="206"/>
        <v>0</v>
      </c>
      <c r="CX49" s="4">
        <f t="shared" ca="1" si="207"/>
        <v>0</v>
      </c>
      <c r="CY49" s="4">
        <f t="shared" ca="1" si="127"/>
        <v>0</v>
      </c>
      <c r="CZ49" s="4"/>
      <c r="DA49" s="4">
        <f t="shared" ca="1" si="208"/>
        <v>0</v>
      </c>
      <c r="DB49" s="4">
        <f t="shared" si="209"/>
        <v>0</v>
      </c>
      <c r="DC49" s="4">
        <f t="shared" ca="1" si="128"/>
        <v>0</v>
      </c>
      <c r="DD49" s="4">
        <f t="shared" ca="1" si="210"/>
        <v>0</v>
      </c>
      <c r="DE49" s="4">
        <f t="shared" ca="1" si="211"/>
        <v>0</v>
      </c>
      <c r="DF49" s="4">
        <f t="shared" ca="1" si="129"/>
        <v>0</v>
      </c>
      <c r="DG49" s="4">
        <f t="shared" ca="1" si="130"/>
        <v>0</v>
      </c>
      <c r="DH49" s="4">
        <f t="shared" ca="1" si="212"/>
        <v>0</v>
      </c>
      <c r="DI49" s="4"/>
      <c r="DJ49" s="4">
        <f t="shared" ca="1" si="213"/>
        <v>0</v>
      </c>
      <c r="DK49" s="4">
        <f t="shared" ca="1" si="214"/>
        <v>13000</v>
      </c>
      <c r="DL49" s="4">
        <f t="shared" ca="1" si="215"/>
        <v>13000</v>
      </c>
      <c r="DM49" s="4">
        <f t="shared" ca="1" si="216"/>
        <v>207018.43578070652</v>
      </c>
      <c r="DN49" s="4">
        <f t="shared" ca="1" si="217"/>
        <v>0</v>
      </c>
      <c r="DO49" s="4">
        <f t="shared" ca="1" si="55"/>
        <v>207018.43578070652</v>
      </c>
      <c r="DP49" s="4"/>
      <c r="DQ49" s="4">
        <f t="shared" ca="1" si="56"/>
        <v>0</v>
      </c>
      <c r="DR49" s="4"/>
      <c r="DS49" s="4">
        <f t="shared" si="131"/>
        <v>0</v>
      </c>
      <c r="DT49" s="4">
        <f t="shared" ca="1" si="274"/>
        <v>0</v>
      </c>
      <c r="DU49" s="4">
        <f t="shared" si="218"/>
        <v>0</v>
      </c>
      <c r="DV49" s="4"/>
      <c r="DW49" s="4">
        <f t="shared" ca="1" si="265"/>
        <v>1730892.991733039</v>
      </c>
      <c r="DX49" s="4">
        <f t="shared" ca="1" si="219"/>
        <v>0</v>
      </c>
      <c r="DY49" s="4">
        <f t="shared" ca="1" si="133"/>
        <v>86544.649586651954</v>
      </c>
      <c r="DZ49" s="4">
        <f t="shared" ca="1" si="220"/>
        <v>35669.272583103506</v>
      </c>
      <c r="EA49" s="4">
        <f t="shared" ca="1" si="221"/>
        <v>0</v>
      </c>
      <c r="EB49" s="4">
        <f t="shared" ca="1" si="222"/>
        <v>1817437.641319691</v>
      </c>
      <c r="EC49" s="4">
        <f t="shared" si="223"/>
        <v>1</v>
      </c>
      <c r="ED49" s="4"/>
      <c r="EE49" s="4">
        <f t="shared" ca="1" si="266"/>
        <v>446893.40211473242</v>
      </c>
      <c r="EF49" s="4">
        <f t="shared" ca="1" si="224"/>
        <v>0</v>
      </c>
      <c r="EG49" s="4">
        <f t="shared" ca="1" si="135"/>
        <v>22344.670105736623</v>
      </c>
      <c r="EH49" s="4">
        <f t="shared" ca="1" si="225"/>
        <v>0</v>
      </c>
      <c r="EI49" s="4">
        <f t="shared" ca="1" si="226"/>
        <v>0</v>
      </c>
      <c r="EJ49" s="4">
        <f t="shared" ca="1" si="227"/>
        <v>0</v>
      </c>
      <c r="EK49" s="4">
        <f t="shared" si="228"/>
        <v>1</v>
      </c>
      <c r="EL49" s="4">
        <f t="shared" si="229"/>
        <v>0</v>
      </c>
      <c r="EM49" s="4"/>
      <c r="EN49" s="4">
        <f t="shared" ca="1" si="267"/>
        <v>494862.8276791597</v>
      </c>
      <c r="EO49" s="4">
        <f t="shared" ca="1" si="230"/>
        <v>0</v>
      </c>
      <c r="EP49" s="4">
        <f t="shared" ca="1" si="137"/>
        <v>24743.141383957987</v>
      </c>
      <c r="EQ49" s="4">
        <f t="shared" ca="1" si="231"/>
        <v>10197.855775047101</v>
      </c>
      <c r="ER49" s="4">
        <v>0</v>
      </c>
      <c r="ES49" s="4">
        <f t="shared" ca="1" si="138"/>
        <v>519605.96906311769</v>
      </c>
      <c r="ET49" s="4"/>
      <c r="EU49" s="4">
        <f t="shared" ca="1" si="268"/>
        <v>0</v>
      </c>
      <c r="EV49" s="4">
        <f t="shared" ca="1" si="232"/>
        <v>0</v>
      </c>
      <c r="EW49" s="4">
        <f t="shared" ca="1" si="140"/>
        <v>0</v>
      </c>
      <c r="EX49" s="4">
        <f t="shared" ca="1" si="233"/>
        <v>0</v>
      </c>
      <c r="EY49" s="4">
        <v>0</v>
      </c>
      <c r="EZ49" s="4">
        <f t="shared" ca="1" si="141"/>
        <v>0</v>
      </c>
      <c r="FA49" s="4">
        <f t="shared" ca="1" si="269"/>
        <v>0</v>
      </c>
      <c r="FB49" s="1">
        <f t="shared" ca="1" si="74"/>
        <v>0</v>
      </c>
      <c r="FC49" s="4">
        <f t="shared" ca="1" si="143"/>
        <v>0</v>
      </c>
      <c r="FD49" s="4">
        <f t="shared" ca="1" si="144"/>
        <v>0</v>
      </c>
      <c r="FE49" s="4">
        <f t="shared" ca="1" si="234"/>
        <v>0</v>
      </c>
      <c r="FF49" s="4">
        <f t="shared" ca="1" si="235"/>
        <v>0</v>
      </c>
      <c r="FG49" s="4">
        <f t="shared" ca="1" si="236"/>
        <v>0</v>
      </c>
      <c r="FH49" s="17">
        <f t="shared" ca="1" si="237"/>
        <v>0</v>
      </c>
      <c r="FI49" s="4">
        <f t="shared" ca="1" si="238"/>
        <v>0</v>
      </c>
      <c r="FJ49" s="4"/>
      <c r="FK49" s="4">
        <f t="shared" ca="1" si="239"/>
        <v>2337043.6103828088</v>
      </c>
      <c r="FL49" s="4"/>
      <c r="FM49" s="4">
        <v>0</v>
      </c>
      <c r="FN49" s="4">
        <v>0</v>
      </c>
      <c r="FO49" s="4">
        <v>0</v>
      </c>
      <c r="FP49" s="4">
        <v>0</v>
      </c>
      <c r="FQ49" s="4">
        <v>0</v>
      </c>
      <c r="FR49" s="4">
        <v>0</v>
      </c>
      <c r="FS49" s="4">
        <f t="shared" si="240"/>
        <v>0</v>
      </c>
      <c r="FT49" s="4">
        <f t="shared" ca="1" si="241"/>
        <v>0</v>
      </c>
      <c r="FU49" s="4"/>
      <c r="FV49" s="3">
        <f t="shared" si="242"/>
        <v>0.43530412839795851</v>
      </c>
      <c r="FW49" s="3">
        <f t="shared" si="243"/>
        <v>0.43530412839795851</v>
      </c>
      <c r="FX49" s="4">
        <f t="shared" si="145"/>
        <v>2059</v>
      </c>
      <c r="FY49" s="4">
        <f t="shared" si="244"/>
        <v>0</v>
      </c>
      <c r="FZ49" s="4">
        <f t="shared" si="245"/>
        <v>0</v>
      </c>
      <c r="GA49" s="4">
        <f t="shared" si="246"/>
        <v>0</v>
      </c>
      <c r="GB49" s="4">
        <f t="shared" si="247"/>
        <v>7.0684603039579761</v>
      </c>
      <c r="GC49" s="4">
        <f t="shared" ca="1" si="248"/>
        <v>15.526981612377071</v>
      </c>
      <c r="GD49" s="4">
        <f t="shared" ca="1" si="249"/>
        <v>0</v>
      </c>
      <c r="GE49" s="4">
        <f t="shared" ca="1" si="250"/>
        <v>0</v>
      </c>
      <c r="GF49" s="4">
        <f t="shared" ca="1" si="251"/>
        <v>4.4391687196849663</v>
      </c>
      <c r="GG49" s="18" t="e">
        <f t="shared" ca="1" si="252"/>
        <v>#NAME?</v>
      </c>
      <c r="GH49" s="18" t="e">
        <f t="shared" ca="1" si="253"/>
        <v>#NAME?</v>
      </c>
      <c r="GI49" s="4"/>
      <c r="GJ49" s="4">
        <f t="shared" si="254"/>
        <v>2059</v>
      </c>
      <c r="GK49" s="4">
        <f t="shared" ca="1" si="255"/>
        <v>753.46486511648538</v>
      </c>
      <c r="GL49" s="4">
        <f t="shared" ca="1" si="256"/>
        <v>194.534542894352</v>
      </c>
      <c r="GM49" s="4">
        <f t="shared" ca="1" si="257"/>
        <v>215.41583187942575</v>
      </c>
      <c r="GN49" s="4">
        <f t="shared" ca="1" si="258"/>
        <v>0</v>
      </c>
      <c r="GO49" s="4"/>
      <c r="GP49" s="3">
        <f t="shared" ca="1" si="146"/>
        <v>0.77766526617019094</v>
      </c>
      <c r="GQ49" s="3">
        <f t="shared" ca="1" si="259"/>
        <v>0</v>
      </c>
      <c r="GR49" s="3">
        <f t="shared" ca="1" si="260"/>
        <v>0</v>
      </c>
      <c r="GS49" s="3">
        <f t="shared" ca="1" si="261"/>
        <v>0.22233473382980901</v>
      </c>
      <c r="GT49" s="3">
        <f t="array" aca="1" ref="GT49" ca="1">SUM(GP49:GS49*$GU$6:$GX$6)</f>
        <v>1</v>
      </c>
      <c r="GU49" s="3">
        <f t="shared" ca="1" si="147"/>
        <v>0.77766526617019094</v>
      </c>
      <c r="GV49" s="3">
        <f t="shared" ca="1" si="148"/>
        <v>0</v>
      </c>
      <c r="GW49" s="3">
        <f t="shared" ca="1" si="149"/>
        <v>0</v>
      </c>
      <c r="GX49" s="3">
        <f t="shared" ca="1" si="150"/>
        <v>0.22233473382980901</v>
      </c>
      <c r="GY49" s="11"/>
      <c r="GZ49" s="27">
        <v>91</v>
      </c>
      <c r="HA49" s="30">
        <v>0.13059999999999999</v>
      </c>
      <c r="HB49" s="29">
        <f t="shared" ca="1" si="151"/>
        <v>1</v>
      </c>
      <c r="HC49" s="29">
        <v>1</v>
      </c>
      <c r="HD49" s="29">
        <v>0.2</v>
      </c>
      <c r="HE49" s="29">
        <v>1</v>
      </c>
      <c r="HG49" s="27">
        <v>89</v>
      </c>
      <c r="HH49" s="30">
        <v>0.1099</v>
      </c>
      <c r="HJ49">
        <f t="shared" si="153"/>
        <v>2052</v>
      </c>
      <c r="HK49" s="28">
        <f t="shared" si="163"/>
        <v>51750</v>
      </c>
      <c r="HL49" s="27">
        <f t="shared" si="155"/>
        <v>11000</v>
      </c>
      <c r="HM49" s="28">
        <f t="shared" si="156"/>
        <v>11219.380390436379</v>
      </c>
      <c r="HO49" t="s">
        <v>278</v>
      </c>
      <c r="HQ49" s="27">
        <v>65</v>
      </c>
      <c r="HT49" s="2" t="s">
        <v>656</v>
      </c>
    </row>
    <row r="50" spans="1:241" x14ac:dyDescent="0.25">
      <c r="A50" t="s">
        <v>657</v>
      </c>
      <c r="B50" s="62">
        <f>Inputs_Summary!AK47</f>
        <v>0</v>
      </c>
      <c r="D50">
        <f t="shared" si="106"/>
        <v>2060</v>
      </c>
      <c r="E50">
        <f t="shared" si="106"/>
        <v>65</v>
      </c>
      <c r="F50" s="8"/>
      <c r="G50" s="8"/>
      <c r="H50" s="8"/>
      <c r="I50" s="8"/>
      <c r="J50" s="92"/>
      <c r="K50" s="91"/>
      <c r="L50" s="91"/>
      <c r="N50" s="93">
        <f t="shared" si="107"/>
        <v>0.05</v>
      </c>
      <c r="O50" s="23">
        <f t="shared" si="108"/>
        <v>0</v>
      </c>
      <c r="P50" s="23">
        <f t="shared" si="109"/>
        <v>0.4</v>
      </c>
      <c r="Q50" s="4">
        <f t="shared" si="164"/>
        <v>0</v>
      </c>
      <c r="R50" s="4">
        <f t="shared" si="263"/>
        <v>0</v>
      </c>
      <c r="S50" s="4">
        <f t="shared" si="165"/>
        <v>0</v>
      </c>
      <c r="T50" s="4">
        <f t="shared" ca="1" si="166"/>
        <v>0</v>
      </c>
      <c r="V50" s="18" t="e">
        <f t="shared" ca="1" si="167"/>
        <v>#NAME?</v>
      </c>
      <c r="W50" s="18" t="e">
        <f t="shared" ca="1" si="168"/>
        <v>#NAME?</v>
      </c>
      <c r="X50" s="18" t="e">
        <f t="shared" ca="1" si="169"/>
        <v>#NAME?</v>
      </c>
      <c r="Y50" s="18">
        <f t="shared" ca="1" si="170"/>
        <v>-5.4767005220993594</v>
      </c>
      <c r="Z50" s="18">
        <f t="shared" ca="1" si="171"/>
        <v>0</v>
      </c>
      <c r="AA50" s="18">
        <f t="shared" ca="1" si="172"/>
        <v>-1.5657903288431729</v>
      </c>
      <c r="AB50" s="18">
        <f t="shared" ca="1" si="173"/>
        <v>0</v>
      </c>
      <c r="AC50" s="18">
        <f t="shared" ca="1" si="174"/>
        <v>760.40306545091414</v>
      </c>
      <c r="AD50" s="18">
        <f t="shared" ca="1" si="175"/>
        <v>200.25614709712701</v>
      </c>
      <c r="AE50" s="18">
        <f t="shared" ca="1" si="176"/>
        <v>217.39946544481572</v>
      </c>
      <c r="AF50" s="18">
        <f t="shared" ca="1" si="177"/>
        <v>0</v>
      </c>
      <c r="AG50" s="18">
        <f t="shared" ca="1" si="178"/>
        <v>1178.0586779928569</v>
      </c>
      <c r="AI50">
        <f>Person1!E50</f>
        <v>65</v>
      </c>
      <c r="AJ50">
        <f>Person1!AZ50</f>
        <v>2</v>
      </c>
      <c r="AK50">
        <f>IF(AZ50&lt;&gt;3,Person1!FM50,0)</f>
        <v>0</v>
      </c>
      <c r="AL50" s="4">
        <f ca="1">IF($AZ50&lt;&gt;3,Person1!FN50+Person1!FT50,0)</f>
        <v>0</v>
      </c>
      <c r="AM50">
        <f>IF($AZ50&lt;&gt;3,Person1!FO50,0)</f>
        <v>0</v>
      </c>
      <c r="AN50">
        <f>IF($AZ50&lt;&gt;3,Person1!FP50,0)</f>
        <v>0</v>
      </c>
      <c r="AO50">
        <f>IF($AZ50&lt;&gt;3,Person1!FQ50,0)</f>
        <v>0</v>
      </c>
      <c r="AP50">
        <f>IF($AZ50&lt;&gt;3,Person1!FR50,0)</f>
        <v>0</v>
      </c>
      <c r="AQ50" s="4">
        <f t="shared" si="179"/>
        <v>0</v>
      </c>
      <c r="AR50" s="4">
        <f>Person1!FS50</f>
        <v>9289.6031571308431</v>
      </c>
      <c r="AS50" s="4">
        <f>$B$41*MAX(0,CHOOSE($AZ50,0,IF(AND(Person1!AW50&gt;=Person1!$B$36,AV50&gt;=$B$93),Person1!$B$35*(1+Person1!$B$37)^(Person1!$B$36-Person1!$B$11)*(1+Person1!$B$38)^(Person1!AW50-Person1!$B$36)-CHOOSE(Person1!$B$39+1,0,BD50,BE50,BD50+BE50),0),0,0))</f>
        <v>0</v>
      </c>
      <c r="AT50" s="4">
        <f t="shared" si="180"/>
        <v>0</v>
      </c>
      <c r="AV50">
        <f t="shared" si="264"/>
        <v>2060</v>
      </c>
      <c r="AW50">
        <f t="shared" si="264"/>
        <v>65</v>
      </c>
      <c r="AX50">
        <f t="shared" si="112"/>
        <v>2.343189355345392</v>
      </c>
      <c r="AY50">
        <f t="shared" si="113"/>
        <v>0.4267687533313318</v>
      </c>
      <c r="AZ50">
        <f t="shared" si="114"/>
        <v>2</v>
      </c>
      <c r="BB50" s="4">
        <f t="shared" si="181"/>
        <v>0</v>
      </c>
      <c r="BC50">
        <f t="shared" si="182"/>
        <v>0</v>
      </c>
      <c r="BD50" s="4">
        <f t="shared" si="183"/>
        <v>18745.514842763136</v>
      </c>
      <c r="BE50" s="4">
        <f t="shared" ca="1" si="115"/>
        <v>16041.474326694553</v>
      </c>
      <c r="BF50" s="4">
        <f t="shared" si="116"/>
        <v>0</v>
      </c>
      <c r="BG50" s="4">
        <f t="shared" si="117"/>
        <v>9289.6031571308431</v>
      </c>
      <c r="BH50" s="4">
        <f t="shared" si="184"/>
        <v>0</v>
      </c>
      <c r="BI50" s="4">
        <f t="shared" ca="1" si="118"/>
        <v>44076.592326588529</v>
      </c>
      <c r="BJ50" s="4"/>
      <c r="BK50" s="4">
        <f t="shared" si="185"/>
        <v>58579.733883634799</v>
      </c>
      <c r="BL50" s="4">
        <f t="shared" si="119"/>
        <v>0</v>
      </c>
      <c r="BM50" s="4">
        <f t="shared" si="120"/>
        <v>58579.733883634799</v>
      </c>
      <c r="BN50" s="4">
        <v>1998.7480399995839</v>
      </c>
      <c r="BO50" s="4">
        <f t="shared" si="121"/>
        <v>60578.481923634383</v>
      </c>
      <c r="BP50" s="4">
        <f t="shared" ca="1" si="122"/>
        <v>-16501.889597045854</v>
      </c>
      <c r="BQ50" s="4"/>
      <c r="BR50" s="4">
        <v>0</v>
      </c>
      <c r="BS50" s="4">
        <f t="shared" ca="1" si="186"/>
        <v>0</v>
      </c>
      <c r="BT50" s="4">
        <f t="shared" ca="1" si="187"/>
        <v>230216.29155575362</v>
      </c>
      <c r="BU50" s="4">
        <f t="shared" ca="1" si="188"/>
        <v>16501.889597045854</v>
      </c>
      <c r="BV50" s="4">
        <f t="shared" si="189"/>
        <v>1</v>
      </c>
      <c r="BW50" s="4">
        <f t="shared" ca="1" si="190"/>
        <v>12832.94636579777</v>
      </c>
      <c r="BX50" s="4">
        <f t="shared" ca="1" si="191"/>
        <v>0</v>
      </c>
      <c r="BY50" s="4">
        <f t="shared" ca="1" si="192"/>
        <v>0</v>
      </c>
      <c r="BZ50" s="4">
        <f t="shared" ca="1" si="193"/>
        <v>3668.943231248084</v>
      </c>
      <c r="CA50" s="4">
        <f t="shared" ca="1" si="30"/>
        <v>16501.889597045854</v>
      </c>
      <c r="CB50" s="4">
        <f t="shared" ca="1" si="154"/>
        <v>0</v>
      </c>
      <c r="CC50" s="4"/>
      <c r="CD50" s="4">
        <f t="shared" ca="1" si="194"/>
        <v>60578.481923634383</v>
      </c>
      <c r="CE50" s="4">
        <f t="shared" ca="1" si="123"/>
        <v>56909.538692386297</v>
      </c>
      <c r="CF50" s="16">
        <f t="shared" ca="1" si="195"/>
        <v>1</v>
      </c>
      <c r="CG50" s="4">
        <f t="shared" si="196"/>
        <v>0</v>
      </c>
      <c r="CH50" s="4" t="e">
        <f t="shared" ca="1" si="197"/>
        <v>#NAME?</v>
      </c>
      <c r="CI50" s="4" t="e">
        <f t="shared" ca="1" si="198"/>
        <v>#NAME?</v>
      </c>
      <c r="CJ50" s="4" t="e">
        <f t="shared" ca="1" si="124"/>
        <v>#NAME?</v>
      </c>
      <c r="CK50" s="4" t="e">
        <f t="shared" ca="1" si="199"/>
        <v>#NAME?</v>
      </c>
      <c r="CL50" s="4" t="e">
        <f t="shared" ca="1" si="200"/>
        <v>#NAME?</v>
      </c>
      <c r="CM50" s="16"/>
      <c r="CN50" s="4" t="e">
        <f t="shared" ca="1" si="201"/>
        <v>#NAME?</v>
      </c>
      <c r="CO50" s="4" t="e">
        <f t="shared" ca="1" si="202"/>
        <v>#NAME?</v>
      </c>
      <c r="CP50" s="4">
        <f t="shared" ca="1" si="271"/>
        <v>2760414.5542451269</v>
      </c>
      <c r="CQ50" s="4"/>
      <c r="CR50" s="4">
        <f t="shared" ca="1" si="203"/>
        <v>0</v>
      </c>
      <c r="CS50" s="4">
        <f t="shared" ca="1" si="204"/>
        <v>60640</v>
      </c>
      <c r="CT50" s="4">
        <f t="shared" ca="1" si="205"/>
        <v>0</v>
      </c>
      <c r="CU50" s="4"/>
      <c r="CV50" s="4">
        <f t="shared" ca="1" si="126"/>
        <v>0</v>
      </c>
      <c r="CW50" s="4">
        <f t="shared" ca="1" si="206"/>
        <v>0</v>
      </c>
      <c r="CX50" s="4">
        <f t="shared" ca="1" si="207"/>
        <v>0</v>
      </c>
      <c r="CY50" s="4">
        <f t="shared" ca="1" si="127"/>
        <v>0</v>
      </c>
      <c r="CZ50" s="4"/>
      <c r="DA50" s="4">
        <f t="shared" ca="1" si="208"/>
        <v>0</v>
      </c>
      <c r="DB50" s="4">
        <f t="shared" si="209"/>
        <v>0</v>
      </c>
      <c r="DC50" s="4">
        <f t="shared" ca="1" si="128"/>
        <v>0</v>
      </c>
      <c r="DD50" s="4">
        <f t="shared" ca="1" si="210"/>
        <v>0</v>
      </c>
      <c r="DE50" s="4">
        <f t="shared" ca="1" si="211"/>
        <v>0</v>
      </c>
      <c r="DF50" s="4">
        <f t="shared" ca="1" si="129"/>
        <v>0</v>
      </c>
      <c r="DG50" s="4">
        <f t="shared" ca="1" si="130"/>
        <v>0</v>
      </c>
      <c r="DH50" s="4">
        <f t="shared" ca="1" si="212"/>
        <v>0</v>
      </c>
      <c r="DI50" s="4"/>
      <c r="DJ50" s="4">
        <f t="shared" ca="1" si="213"/>
        <v>0</v>
      </c>
      <c r="DK50" s="4">
        <f t="shared" ca="1" si="214"/>
        <v>13000</v>
      </c>
      <c r="DL50" s="4">
        <f t="shared" ca="1" si="215"/>
        <v>13000</v>
      </c>
      <c r="DM50" s="4">
        <f t="shared" ca="1" si="216"/>
        <v>230216.29155575362</v>
      </c>
      <c r="DN50" s="4">
        <f t="shared" ca="1" si="217"/>
        <v>0</v>
      </c>
      <c r="DO50" s="4">
        <f t="shared" ca="1" si="55"/>
        <v>230216.29155575362</v>
      </c>
      <c r="DP50" s="4"/>
      <c r="DQ50" s="4">
        <f t="shared" ca="1" si="56"/>
        <v>0</v>
      </c>
      <c r="DR50" s="4"/>
      <c r="DS50" s="4">
        <f t="shared" si="131"/>
        <v>0</v>
      </c>
      <c r="DT50" s="4">
        <f t="shared" ca="1" si="274"/>
        <v>0</v>
      </c>
      <c r="DU50" s="4">
        <f t="shared" si="218"/>
        <v>0</v>
      </c>
      <c r="DV50" s="4"/>
      <c r="DW50" s="4">
        <f t="shared" ca="1" si="265"/>
        <v>1781768.3687365875</v>
      </c>
      <c r="DX50" s="4">
        <f t="shared" ca="1" si="219"/>
        <v>0</v>
      </c>
      <c r="DY50" s="4">
        <f t="shared" ca="1" si="133"/>
        <v>89088.418436829379</v>
      </c>
      <c r="DZ50" s="4">
        <f t="shared" ca="1" si="220"/>
        <v>12832.94636579777</v>
      </c>
      <c r="EA50" s="4">
        <f t="shared" ca="1" si="221"/>
        <v>0</v>
      </c>
      <c r="EB50" s="4">
        <f t="shared" ca="1" si="222"/>
        <v>1870856.7871734169</v>
      </c>
      <c r="EC50" s="4">
        <f t="shared" si="223"/>
        <v>1</v>
      </c>
      <c r="ED50" s="4"/>
      <c r="EE50" s="4">
        <f t="shared" ca="1" si="266"/>
        <v>469238.07222046907</v>
      </c>
      <c r="EF50" s="4">
        <f t="shared" ca="1" si="224"/>
        <v>0</v>
      </c>
      <c r="EG50" s="4">
        <f t="shared" ca="1" si="135"/>
        <v>23461.903611023456</v>
      </c>
      <c r="EH50" s="4">
        <f t="shared" ca="1" si="225"/>
        <v>0</v>
      </c>
      <c r="EI50" s="4">
        <f t="shared" ca="1" si="226"/>
        <v>0</v>
      </c>
      <c r="EJ50" s="4">
        <f t="shared" ca="1" si="227"/>
        <v>0</v>
      </c>
      <c r="EK50" s="4">
        <f t="shared" si="228"/>
        <v>1</v>
      </c>
      <c r="EL50" s="4">
        <f t="shared" si="229"/>
        <v>0</v>
      </c>
      <c r="EM50" s="4"/>
      <c r="EN50" s="4">
        <f t="shared" ca="1" si="267"/>
        <v>509408.1132880706</v>
      </c>
      <c r="EO50" s="4">
        <f t="shared" ca="1" si="230"/>
        <v>0</v>
      </c>
      <c r="EP50" s="4">
        <f t="shared" ca="1" si="137"/>
        <v>25470.40566440353</v>
      </c>
      <c r="EQ50" s="4">
        <f t="shared" ca="1" si="231"/>
        <v>3668.943231248084</v>
      </c>
      <c r="ER50" s="4">
        <v>0</v>
      </c>
      <c r="ES50" s="4">
        <f t="shared" ca="1" si="138"/>
        <v>534878.51895247411</v>
      </c>
      <c r="ET50" s="4"/>
      <c r="EU50" s="4">
        <f t="shared" ca="1" si="268"/>
        <v>0</v>
      </c>
      <c r="EV50" s="4">
        <f t="shared" ca="1" si="232"/>
        <v>0</v>
      </c>
      <c r="EW50" s="4">
        <f t="shared" ca="1" si="140"/>
        <v>0</v>
      </c>
      <c r="EX50" s="4">
        <f t="shared" ca="1" si="233"/>
        <v>0</v>
      </c>
      <c r="EY50" s="4">
        <v>0</v>
      </c>
      <c r="EZ50" s="4">
        <f t="shared" ca="1" si="141"/>
        <v>0</v>
      </c>
      <c r="FA50" s="4">
        <f t="shared" ca="1" si="269"/>
        <v>0</v>
      </c>
      <c r="FB50" s="1">
        <f t="shared" ca="1" si="74"/>
        <v>0</v>
      </c>
      <c r="FC50" s="4">
        <f t="shared" ca="1" si="143"/>
        <v>0</v>
      </c>
      <c r="FD50" s="4">
        <f t="shared" ca="1" si="144"/>
        <v>0</v>
      </c>
      <c r="FE50" s="4">
        <f t="shared" ca="1" si="234"/>
        <v>0</v>
      </c>
      <c r="FF50" s="4">
        <f t="shared" ca="1" si="235"/>
        <v>0</v>
      </c>
      <c r="FG50" s="4">
        <f t="shared" ca="1" si="236"/>
        <v>0</v>
      </c>
      <c r="FH50" s="17">
        <f t="shared" ca="1" si="237"/>
        <v>0</v>
      </c>
      <c r="FI50" s="4">
        <f t="shared" ca="1" si="238"/>
        <v>0</v>
      </c>
      <c r="FJ50" s="4"/>
      <c r="FK50" s="4">
        <f t="shared" ca="1" si="239"/>
        <v>2405735.3061258909</v>
      </c>
      <c r="FL50" s="4"/>
      <c r="FM50" s="4">
        <v>0</v>
      </c>
      <c r="FN50" s="4">
        <v>0</v>
      </c>
      <c r="FO50" s="4">
        <v>0</v>
      </c>
      <c r="FP50" s="4">
        <v>0</v>
      </c>
      <c r="FQ50" s="4">
        <v>0</v>
      </c>
      <c r="FR50" s="4">
        <v>0</v>
      </c>
      <c r="FS50" s="4">
        <f t="shared" si="240"/>
        <v>0</v>
      </c>
      <c r="FT50" s="4">
        <f t="shared" ca="1" si="241"/>
        <v>0</v>
      </c>
      <c r="FU50" s="4"/>
      <c r="FV50" s="3">
        <f t="shared" si="242"/>
        <v>0.4267687533313318</v>
      </c>
      <c r="FW50" s="3">
        <f t="shared" si="243"/>
        <v>0.4267687533313318</v>
      </c>
      <c r="FX50" s="4">
        <f t="shared" si="145"/>
        <v>2060</v>
      </c>
      <c r="FY50" s="4">
        <f t="shared" si="244"/>
        <v>0</v>
      </c>
      <c r="FZ50" s="4">
        <f t="shared" si="245"/>
        <v>8</v>
      </c>
      <c r="GA50" s="4">
        <f t="shared" ca="1" si="246"/>
        <v>6.8460000000000001</v>
      </c>
      <c r="GB50" s="4">
        <f t="shared" si="247"/>
        <v>3.9645123583115338</v>
      </c>
      <c r="GC50" s="4">
        <f t="shared" ca="1" si="248"/>
        <v>5.4767005220993594</v>
      </c>
      <c r="GD50" s="4">
        <f t="shared" ca="1" si="249"/>
        <v>0</v>
      </c>
      <c r="GE50" s="4">
        <f t="shared" ca="1" si="250"/>
        <v>0</v>
      </c>
      <c r="GF50" s="4">
        <f t="shared" ca="1" si="251"/>
        <v>1.5657903288431729</v>
      </c>
      <c r="GG50" s="18" t="e">
        <f t="shared" ca="1" si="252"/>
        <v>#NAME?</v>
      </c>
      <c r="GH50" s="18" t="e">
        <f t="shared" ca="1" si="253"/>
        <v>#NAME?</v>
      </c>
      <c r="GI50" s="4"/>
      <c r="GJ50" s="4">
        <f t="shared" si="254"/>
        <v>2060</v>
      </c>
      <c r="GK50" s="4">
        <f t="shared" ca="1" si="255"/>
        <v>760.40306545091414</v>
      </c>
      <c r="GL50" s="4">
        <f t="shared" ca="1" si="256"/>
        <v>200.25614709712701</v>
      </c>
      <c r="GM50" s="4">
        <f t="shared" ca="1" si="257"/>
        <v>217.39946544481572</v>
      </c>
      <c r="GN50" s="4">
        <f t="shared" ca="1" si="258"/>
        <v>0</v>
      </c>
      <c r="GO50" s="4"/>
      <c r="GP50" s="3">
        <f t="shared" ca="1" si="146"/>
        <v>0.77766526617019105</v>
      </c>
      <c r="GQ50" s="3">
        <f t="shared" ca="1" si="259"/>
        <v>0</v>
      </c>
      <c r="GR50" s="3">
        <f t="shared" ca="1" si="260"/>
        <v>0</v>
      </c>
      <c r="GS50" s="3">
        <f t="shared" ca="1" si="261"/>
        <v>0.22233473382980903</v>
      </c>
      <c r="GT50" s="3">
        <f t="array" aca="1" ref="GT50" ca="1">SUM(GP50:GS50*$GU$6:$GX$6)</f>
        <v>1</v>
      </c>
      <c r="GU50" s="3">
        <f t="shared" ca="1" si="147"/>
        <v>0.77766526617019105</v>
      </c>
      <c r="GV50" s="3">
        <f t="shared" ca="1" si="148"/>
        <v>0</v>
      </c>
      <c r="GW50" s="3">
        <f t="shared" ca="1" si="149"/>
        <v>0</v>
      </c>
      <c r="GX50" s="3">
        <f t="shared" ca="1" si="150"/>
        <v>0.22233473382980903</v>
      </c>
      <c r="GY50" s="11"/>
      <c r="GZ50" s="27">
        <v>92</v>
      </c>
      <c r="HA50" s="30">
        <v>0.1449</v>
      </c>
      <c r="HB50" s="29">
        <f t="shared" ca="1" si="151"/>
        <v>1</v>
      </c>
      <c r="HC50" s="29">
        <v>1</v>
      </c>
      <c r="HD50" s="29">
        <v>0.2</v>
      </c>
      <c r="HE50" s="29">
        <v>1</v>
      </c>
      <c r="HG50" s="27">
        <v>90</v>
      </c>
      <c r="HH50" s="30">
        <v>0.1192</v>
      </c>
      <c r="HJ50">
        <f t="shared" si="153"/>
        <v>2053</v>
      </c>
      <c r="HK50" s="28">
        <f t="shared" si="163"/>
        <v>52790</v>
      </c>
      <c r="HL50" s="27">
        <f t="shared" si="155"/>
        <v>11500</v>
      </c>
      <c r="HM50" s="28">
        <f t="shared" si="156"/>
        <v>11443.767998245106</v>
      </c>
      <c r="HO50" t="s">
        <v>582</v>
      </c>
      <c r="HQ50" s="27">
        <v>35927</v>
      </c>
      <c r="HR50" s="4">
        <f>HQ50*(1+$B$15)^($B$7-$HP$26)</f>
        <v>35927</v>
      </c>
      <c r="HT50" s="2" t="s">
        <v>654</v>
      </c>
    </row>
    <row r="51" spans="1:241" x14ac:dyDescent="0.25">
      <c r="D51">
        <f t="shared" si="106"/>
        <v>2061</v>
      </c>
      <c r="E51">
        <f t="shared" si="106"/>
        <v>66</v>
      </c>
      <c r="F51" s="8"/>
      <c r="G51" s="8"/>
      <c r="H51" s="8"/>
      <c r="I51" s="8"/>
      <c r="J51" s="92"/>
      <c r="K51" s="91"/>
      <c r="L51" s="91"/>
      <c r="N51" s="93">
        <f t="shared" si="107"/>
        <v>0.05</v>
      </c>
      <c r="O51" s="23">
        <f t="shared" si="108"/>
        <v>0</v>
      </c>
      <c r="P51" s="23">
        <f t="shared" si="109"/>
        <v>0.4</v>
      </c>
      <c r="Q51" s="4">
        <f t="shared" si="164"/>
        <v>0</v>
      </c>
      <c r="R51" s="4">
        <f t="shared" si="263"/>
        <v>0</v>
      </c>
      <c r="S51" s="4">
        <f t="shared" si="165"/>
        <v>0</v>
      </c>
      <c r="T51" s="4">
        <f t="shared" ca="1" si="166"/>
        <v>0</v>
      </c>
      <c r="V51" s="18" t="e">
        <f t="shared" ca="1" si="167"/>
        <v>#NAME?</v>
      </c>
      <c r="W51" s="18" t="e">
        <f t="shared" ca="1" si="168"/>
        <v>#NAME?</v>
      </c>
      <c r="X51" s="18" t="e">
        <f t="shared" ca="1" si="169"/>
        <v>#NAME?</v>
      </c>
      <c r="Y51" s="18">
        <f t="shared" ca="1" si="170"/>
        <v>-5.5508529048070185</v>
      </c>
      <c r="Z51" s="18">
        <f t="shared" ca="1" si="171"/>
        <v>0</v>
      </c>
      <c r="AA51" s="18">
        <f t="shared" ca="1" si="172"/>
        <v>-1.586990517393893</v>
      </c>
      <c r="AB51" s="18">
        <f t="shared" ca="1" si="173"/>
        <v>0</v>
      </c>
      <c r="AC51" s="18">
        <f t="shared" ca="1" si="174"/>
        <v>777.39854725623593</v>
      </c>
      <c r="AD51" s="18">
        <f t="shared" ca="1" si="175"/>
        <v>206.14603377645432</v>
      </c>
      <c r="AE51" s="18">
        <f t="shared" ca="1" si="176"/>
        <v>222.25847881197387</v>
      </c>
      <c r="AF51" s="18">
        <f t="shared" ca="1" si="177"/>
        <v>0</v>
      </c>
      <c r="AG51" s="18">
        <f t="shared" ca="1" si="178"/>
        <v>1205.8030598446644</v>
      </c>
      <c r="AI51">
        <f>Person1!E51</f>
        <v>66</v>
      </c>
      <c r="AJ51">
        <f>Person1!AZ51</f>
        <v>2</v>
      </c>
      <c r="AK51">
        <f>IF(AZ51&lt;&gt;3,Person1!FM51,0)</f>
        <v>0</v>
      </c>
      <c r="AL51" s="4">
        <f ca="1">IF($AZ51&lt;&gt;3,Person1!FN51+Person1!FT51,0)</f>
        <v>0</v>
      </c>
      <c r="AM51">
        <f>IF($AZ51&lt;&gt;3,Person1!FO51,0)</f>
        <v>0</v>
      </c>
      <c r="AN51">
        <f>IF($AZ51&lt;&gt;3,Person1!FP51,0)</f>
        <v>0</v>
      </c>
      <c r="AO51">
        <f>IF($AZ51&lt;&gt;3,Person1!FQ51,0)</f>
        <v>0</v>
      </c>
      <c r="AP51">
        <f>IF($AZ51&lt;&gt;3,Person1!FR51,0)</f>
        <v>0</v>
      </c>
      <c r="AQ51" s="4">
        <f t="shared" si="179"/>
        <v>0</v>
      </c>
      <c r="AR51" s="4">
        <f>Person1!FS51</f>
        <v>9230.6076519259514</v>
      </c>
      <c r="AS51" s="4">
        <f>$B$41*MAX(0,CHOOSE($AZ51,0,IF(AND(Person1!AW51&gt;=Person1!$B$36,AV51&gt;=$B$93),Person1!$B$35*(1+Person1!$B$37)^(Person1!$B$36-Person1!$B$11)*(1+Person1!$B$38)^(Person1!AW51-Person1!$B$36)-CHOOSE(Person1!$B$39+1,0,BD51,BE51,BD51+BE51),0),0,0))</f>
        <v>0</v>
      </c>
      <c r="AT51" s="4">
        <f t="shared" si="180"/>
        <v>0</v>
      </c>
      <c r="AV51">
        <f t="shared" si="264"/>
        <v>2061</v>
      </c>
      <c r="AW51">
        <f t="shared" si="264"/>
        <v>66</v>
      </c>
      <c r="AX51">
        <f t="shared" si="112"/>
        <v>2.3900531424522997</v>
      </c>
      <c r="AY51">
        <f t="shared" si="113"/>
        <v>0.41840073856012927</v>
      </c>
      <c r="AZ51">
        <f t="shared" si="114"/>
        <v>2</v>
      </c>
      <c r="BB51" s="4">
        <f t="shared" si="181"/>
        <v>0</v>
      </c>
      <c r="BC51">
        <f t="shared" si="182"/>
        <v>0</v>
      </c>
      <c r="BD51" s="4">
        <f t="shared" si="183"/>
        <v>19120.425139618397</v>
      </c>
      <c r="BE51" s="4">
        <f t="shared" ca="1" si="115"/>
        <v>16362.303813228444</v>
      </c>
      <c r="BF51" s="4">
        <f t="shared" si="116"/>
        <v>0</v>
      </c>
      <c r="BG51" s="4">
        <f t="shared" si="117"/>
        <v>9230.6076519259514</v>
      </c>
      <c r="BH51" s="4">
        <f t="shared" si="184"/>
        <v>0</v>
      </c>
      <c r="BI51" s="4">
        <f t="shared" ca="1" si="118"/>
        <v>44713.33660477279</v>
      </c>
      <c r="BJ51" s="4"/>
      <c r="BK51" s="4">
        <f t="shared" si="185"/>
        <v>59751.328561307491</v>
      </c>
      <c r="BL51" s="4">
        <f t="shared" si="119"/>
        <v>0</v>
      </c>
      <c r="BM51" s="4">
        <f t="shared" si="120"/>
        <v>59751.328561307491</v>
      </c>
      <c r="BN51" s="4">
        <v>2021.8331450290625</v>
      </c>
      <c r="BO51" s="4">
        <f t="shared" si="121"/>
        <v>61773.161706336556</v>
      </c>
      <c r="BP51" s="4">
        <f t="shared" ca="1" si="122"/>
        <v>-17059.825101563765</v>
      </c>
      <c r="BQ51" s="4"/>
      <c r="BR51" s="4">
        <v>0</v>
      </c>
      <c r="BS51" s="4">
        <f t="shared" ca="1" si="186"/>
        <v>0</v>
      </c>
      <c r="BT51" s="4">
        <f t="shared" ca="1" si="187"/>
        <v>247385.23478700171</v>
      </c>
      <c r="BU51" s="4">
        <f t="shared" ca="1" si="188"/>
        <v>17059.825101563765</v>
      </c>
      <c r="BV51" s="4">
        <f t="shared" si="189"/>
        <v>1</v>
      </c>
      <c r="BW51" s="4">
        <f t="shared" ca="1" si="190"/>
        <v>13266.83342842449</v>
      </c>
      <c r="BX51" s="4">
        <f t="shared" ca="1" si="191"/>
        <v>0</v>
      </c>
      <c r="BY51" s="4">
        <f t="shared" ca="1" si="192"/>
        <v>0</v>
      </c>
      <c r="BZ51" s="4">
        <f t="shared" ca="1" si="193"/>
        <v>3792.991673139275</v>
      </c>
      <c r="CA51" s="4">
        <f t="shared" ca="1" si="30"/>
        <v>17059.825101563765</v>
      </c>
      <c r="CB51" s="4">
        <f t="shared" ca="1" si="154"/>
        <v>0</v>
      </c>
      <c r="CC51" s="4"/>
      <c r="CD51" s="4">
        <f t="shared" ca="1" si="194"/>
        <v>61773.161706336556</v>
      </c>
      <c r="CE51" s="4">
        <f t="shared" ca="1" si="123"/>
        <v>57980.170033197282</v>
      </c>
      <c r="CF51" s="16">
        <f t="shared" ca="1" si="195"/>
        <v>1</v>
      </c>
      <c r="CG51" s="4">
        <f t="shared" si="196"/>
        <v>0</v>
      </c>
      <c r="CH51" s="4" t="e">
        <f t="shared" ca="1" si="197"/>
        <v>#NAME?</v>
      </c>
      <c r="CI51" s="4" t="e">
        <f t="shared" ca="1" si="198"/>
        <v>#NAME?</v>
      </c>
      <c r="CJ51" s="4" t="e">
        <f t="shared" ca="1" si="124"/>
        <v>#NAME?</v>
      </c>
      <c r="CK51" s="4" t="e">
        <f t="shared" ca="1" si="199"/>
        <v>#NAME?</v>
      </c>
      <c r="CL51" s="4" t="e">
        <f t="shared" ca="1" si="200"/>
        <v>#NAME?</v>
      </c>
      <c r="CM51" s="16"/>
      <c r="CN51" s="4" t="e">
        <f t="shared" ca="1" si="201"/>
        <v>#NAME?</v>
      </c>
      <c r="CO51" s="4" t="e">
        <f t="shared" ca="1" si="202"/>
        <v>#NAME?</v>
      </c>
      <c r="CP51" s="4">
        <f t="shared" ca="1" si="271"/>
        <v>2881933.392360338</v>
      </c>
      <c r="CQ51" s="4"/>
      <c r="CR51" s="4">
        <f t="shared" ca="1" si="203"/>
        <v>0</v>
      </c>
      <c r="CS51" s="4">
        <f t="shared" ca="1" si="204"/>
        <v>61850</v>
      </c>
      <c r="CT51" s="4">
        <f t="shared" ca="1" si="205"/>
        <v>0</v>
      </c>
      <c r="CU51" s="4"/>
      <c r="CV51" s="4">
        <f t="shared" ca="1" si="126"/>
        <v>0</v>
      </c>
      <c r="CW51" s="4">
        <f t="shared" ca="1" si="206"/>
        <v>0</v>
      </c>
      <c r="CX51" s="4">
        <f t="shared" ca="1" si="207"/>
        <v>0</v>
      </c>
      <c r="CY51" s="4">
        <f t="shared" ca="1" si="127"/>
        <v>0</v>
      </c>
      <c r="CZ51" s="4"/>
      <c r="DA51" s="4">
        <f t="shared" ca="1" si="208"/>
        <v>0</v>
      </c>
      <c r="DB51" s="4">
        <f t="shared" si="209"/>
        <v>0</v>
      </c>
      <c r="DC51" s="4">
        <f t="shared" ca="1" si="128"/>
        <v>0</v>
      </c>
      <c r="DD51" s="4">
        <f t="shared" ca="1" si="210"/>
        <v>0</v>
      </c>
      <c r="DE51" s="4">
        <f t="shared" ca="1" si="211"/>
        <v>0</v>
      </c>
      <c r="DF51" s="4">
        <f t="shared" ca="1" si="129"/>
        <v>0</v>
      </c>
      <c r="DG51" s="4">
        <f t="shared" ca="1" si="130"/>
        <v>0</v>
      </c>
      <c r="DH51" s="4">
        <f t="shared" ca="1" si="212"/>
        <v>0</v>
      </c>
      <c r="DI51" s="4"/>
      <c r="DJ51" s="4">
        <f t="shared" ca="1" si="213"/>
        <v>0</v>
      </c>
      <c r="DK51" s="4">
        <f t="shared" ca="1" si="214"/>
        <v>13500</v>
      </c>
      <c r="DL51" s="4">
        <f t="shared" ca="1" si="215"/>
        <v>13500</v>
      </c>
      <c r="DM51" s="4">
        <f t="shared" ca="1" si="216"/>
        <v>247385.23478700171</v>
      </c>
      <c r="DN51" s="4">
        <f t="shared" ca="1" si="217"/>
        <v>0</v>
      </c>
      <c r="DO51" s="4">
        <f t="shared" ca="1" si="55"/>
        <v>247385.23478700171</v>
      </c>
      <c r="DP51" s="4"/>
      <c r="DQ51" s="4">
        <f t="shared" ca="1" si="56"/>
        <v>0</v>
      </c>
      <c r="DR51" s="4"/>
      <c r="DS51" s="4">
        <f t="shared" si="131"/>
        <v>0</v>
      </c>
      <c r="DT51" s="4">
        <f t="shared" ca="1" si="274"/>
        <v>0</v>
      </c>
      <c r="DU51" s="4">
        <f t="shared" si="218"/>
        <v>0</v>
      </c>
      <c r="DV51" s="4"/>
      <c r="DW51" s="4">
        <f t="shared" ca="1" si="265"/>
        <v>1858023.8408076193</v>
      </c>
      <c r="DX51" s="4">
        <f t="shared" ca="1" si="219"/>
        <v>0</v>
      </c>
      <c r="DY51" s="4">
        <f t="shared" ca="1" si="133"/>
        <v>92901.192040380964</v>
      </c>
      <c r="DZ51" s="4">
        <f t="shared" ca="1" si="220"/>
        <v>13266.83342842449</v>
      </c>
      <c r="EA51" s="4">
        <f t="shared" ca="1" si="221"/>
        <v>0</v>
      </c>
      <c r="EB51" s="4">
        <f t="shared" ca="1" si="222"/>
        <v>1950925.0328480003</v>
      </c>
      <c r="EC51" s="4">
        <f t="shared" si="223"/>
        <v>1</v>
      </c>
      <c r="ED51" s="4"/>
      <c r="EE51" s="4">
        <f t="shared" ca="1" si="266"/>
        <v>492699.97583149251</v>
      </c>
      <c r="EF51" s="4">
        <f t="shared" ca="1" si="224"/>
        <v>0</v>
      </c>
      <c r="EG51" s="4">
        <f t="shared" ca="1" si="135"/>
        <v>24634.998791574628</v>
      </c>
      <c r="EH51" s="4">
        <f t="shared" ca="1" si="225"/>
        <v>0</v>
      </c>
      <c r="EI51" s="4">
        <f t="shared" ca="1" si="226"/>
        <v>0</v>
      </c>
      <c r="EJ51" s="4">
        <f t="shared" ca="1" si="227"/>
        <v>0</v>
      </c>
      <c r="EK51" s="4">
        <f t="shared" si="228"/>
        <v>1</v>
      </c>
      <c r="EL51" s="4">
        <f t="shared" si="229"/>
        <v>0</v>
      </c>
      <c r="EM51" s="4"/>
      <c r="EN51" s="4">
        <f t="shared" ca="1" si="267"/>
        <v>531209.57572122605</v>
      </c>
      <c r="EO51" s="4">
        <f t="shared" ca="1" si="230"/>
        <v>0</v>
      </c>
      <c r="EP51" s="4">
        <f t="shared" ca="1" si="137"/>
        <v>26560.478786061303</v>
      </c>
      <c r="EQ51" s="4">
        <f t="shared" ca="1" si="231"/>
        <v>3792.991673139275</v>
      </c>
      <c r="ER51" s="4">
        <v>0</v>
      </c>
      <c r="ES51" s="4">
        <f t="shared" ca="1" si="138"/>
        <v>557770.05450728734</v>
      </c>
      <c r="ET51" s="4"/>
      <c r="EU51" s="4">
        <f t="shared" ca="1" si="268"/>
        <v>0</v>
      </c>
      <c r="EV51" s="4">
        <f t="shared" ca="1" si="232"/>
        <v>0</v>
      </c>
      <c r="EW51" s="4">
        <f t="shared" ca="1" si="140"/>
        <v>0</v>
      </c>
      <c r="EX51" s="4">
        <f t="shared" ca="1" si="233"/>
        <v>0</v>
      </c>
      <c r="EY51" s="4">
        <v>0</v>
      </c>
      <c r="EZ51" s="4">
        <f t="shared" ca="1" si="141"/>
        <v>0</v>
      </c>
      <c r="FA51" s="4">
        <f t="shared" ca="1" si="269"/>
        <v>0</v>
      </c>
      <c r="FB51" s="1">
        <f t="shared" ca="1" si="74"/>
        <v>0</v>
      </c>
      <c r="FC51" s="4">
        <f t="shared" ca="1" si="143"/>
        <v>0</v>
      </c>
      <c r="FD51" s="4">
        <f t="shared" ca="1" si="144"/>
        <v>0</v>
      </c>
      <c r="FE51" s="4">
        <f t="shared" ca="1" si="234"/>
        <v>0</v>
      </c>
      <c r="FF51" s="4">
        <f t="shared" ca="1" si="235"/>
        <v>0</v>
      </c>
      <c r="FG51" s="4">
        <f t="shared" ca="1" si="236"/>
        <v>0</v>
      </c>
      <c r="FH51" s="17">
        <f t="shared" ca="1" si="237"/>
        <v>0</v>
      </c>
      <c r="FI51" s="4">
        <f t="shared" ca="1" si="238"/>
        <v>0</v>
      </c>
      <c r="FJ51" s="4"/>
      <c r="FK51" s="4">
        <f t="shared" ca="1" si="239"/>
        <v>2508695.0873552877</v>
      </c>
      <c r="FL51" s="4"/>
      <c r="FM51" s="4">
        <v>0</v>
      </c>
      <c r="FN51" s="4">
        <v>0</v>
      </c>
      <c r="FO51" s="4">
        <v>0</v>
      </c>
      <c r="FP51" s="4">
        <v>0</v>
      </c>
      <c r="FQ51" s="4">
        <v>0</v>
      </c>
      <c r="FR51" s="4">
        <v>0</v>
      </c>
      <c r="FS51" s="4">
        <f t="shared" si="240"/>
        <v>0</v>
      </c>
      <c r="FT51" s="4">
        <f t="shared" ca="1" si="241"/>
        <v>0</v>
      </c>
      <c r="FU51" s="4"/>
      <c r="FV51" s="3">
        <f t="shared" si="242"/>
        <v>0.41840073856012927</v>
      </c>
      <c r="FW51" s="3">
        <f t="shared" si="243"/>
        <v>0.41840073856012927</v>
      </c>
      <c r="FX51" s="4">
        <f t="shared" si="145"/>
        <v>2061</v>
      </c>
      <c r="FY51" s="4">
        <f t="shared" si="244"/>
        <v>0</v>
      </c>
      <c r="FZ51" s="4">
        <f t="shared" si="245"/>
        <v>8</v>
      </c>
      <c r="GA51" s="4">
        <f t="shared" ca="1" si="246"/>
        <v>6.8460000000000001</v>
      </c>
      <c r="GB51" s="4">
        <f t="shared" si="247"/>
        <v>3.8620930589245988</v>
      </c>
      <c r="GC51" s="4">
        <f t="shared" ca="1" si="248"/>
        <v>5.5508529048070185</v>
      </c>
      <c r="GD51" s="4">
        <f t="shared" ca="1" si="249"/>
        <v>0</v>
      </c>
      <c r="GE51" s="4">
        <f t="shared" ca="1" si="250"/>
        <v>0</v>
      </c>
      <c r="GF51" s="4">
        <f t="shared" ca="1" si="251"/>
        <v>1.586990517393893</v>
      </c>
      <c r="GG51" s="18" t="e">
        <f t="shared" ca="1" si="252"/>
        <v>#NAME?</v>
      </c>
      <c r="GH51" s="18" t="e">
        <f t="shared" ca="1" si="253"/>
        <v>#NAME?</v>
      </c>
      <c r="GI51" s="4"/>
      <c r="GJ51" s="4">
        <f t="shared" si="254"/>
        <v>2061</v>
      </c>
      <c r="GK51" s="4">
        <f t="shared" ca="1" si="255"/>
        <v>777.39854725623593</v>
      </c>
      <c r="GL51" s="4">
        <f t="shared" ca="1" si="256"/>
        <v>206.14603377645432</v>
      </c>
      <c r="GM51" s="4">
        <f t="shared" ca="1" si="257"/>
        <v>222.25847881197387</v>
      </c>
      <c r="GN51" s="4">
        <f t="shared" ca="1" si="258"/>
        <v>0</v>
      </c>
      <c r="GO51" s="4"/>
      <c r="GP51" s="3">
        <f t="shared" ca="1" si="146"/>
        <v>0.77766526617019094</v>
      </c>
      <c r="GQ51" s="3">
        <f t="shared" ca="1" si="259"/>
        <v>0</v>
      </c>
      <c r="GR51" s="3">
        <f t="shared" ca="1" si="260"/>
        <v>0</v>
      </c>
      <c r="GS51" s="3">
        <f t="shared" ca="1" si="261"/>
        <v>0.22233473382980901</v>
      </c>
      <c r="GT51" s="3">
        <f t="array" aca="1" ref="GT51" ca="1">SUM(GP51:GS51*$GU$6:$GX$6)</f>
        <v>1</v>
      </c>
      <c r="GU51" s="3">
        <f t="shared" ca="1" si="147"/>
        <v>0.77766526617019094</v>
      </c>
      <c r="GV51" s="3">
        <f t="shared" ca="1" si="148"/>
        <v>0</v>
      </c>
      <c r="GW51" s="3">
        <f t="shared" ca="1" si="149"/>
        <v>0</v>
      </c>
      <c r="GX51" s="3">
        <f t="shared" ca="1" si="150"/>
        <v>0.22233473382980901</v>
      </c>
      <c r="GY51" s="11"/>
      <c r="GZ51" s="27">
        <v>93</v>
      </c>
      <c r="HA51" s="30">
        <v>0.16339999999999999</v>
      </c>
      <c r="HB51" s="29">
        <f t="shared" ca="1" si="151"/>
        <v>1</v>
      </c>
      <c r="HC51" s="29">
        <v>1</v>
      </c>
      <c r="HD51" s="29">
        <v>0.2</v>
      </c>
      <c r="HE51" s="29">
        <v>1</v>
      </c>
      <c r="HG51" s="27">
        <v>91</v>
      </c>
      <c r="HH51" s="30">
        <v>0.13059999999999999</v>
      </c>
      <c r="HJ51">
        <f t="shared" si="153"/>
        <v>2054</v>
      </c>
      <c r="HK51" s="28">
        <f t="shared" si="163"/>
        <v>53840</v>
      </c>
      <c r="HL51" s="27">
        <f t="shared" si="155"/>
        <v>11500</v>
      </c>
      <c r="HM51" s="28">
        <f t="shared" si="156"/>
        <v>11672.643358210009</v>
      </c>
      <c r="HO51" t="s">
        <v>583</v>
      </c>
      <c r="HQ51" s="66">
        <v>0.15</v>
      </c>
      <c r="HT51" s="2"/>
    </row>
    <row r="52" spans="1:241" x14ac:dyDescent="0.25">
      <c r="A52" s="15" t="s">
        <v>417</v>
      </c>
      <c r="D52">
        <f t="shared" si="106"/>
        <v>2062</v>
      </c>
      <c r="E52">
        <f t="shared" si="106"/>
        <v>67</v>
      </c>
      <c r="F52" s="8"/>
      <c r="G52" s="8"/>
      <c r="H52" s="8"/>
      <c r="I52" s="8"/>
      <c r="J52" s="92"/>
      <c r="K52" s="91"/>
      <c r="L52" s="91"/>
      <c r="N52" s="93">
        <f t="shared" si="107"/>
        <v>0.05</v>
      </c>
      <c r="O52" s="23">
        <f t="shared" si="108"/>
        <v>0</v>
      </c>
      <c r="P52" s="23">
        <f t="shared" si="109"/>
        <v>0.4</v>
      </c>
      <c r="Q52" s="4">
        <f t="shared" si="164"/>
        <v>0</v>
      </c>
      <c r="R52" s="4">
        <f t="shared" si="263"/>
        <v>0</v>
      </c>
      <c r="S52" s="4">
        <f t="shared" si="165"/>
        <v>0</v>
      </c>
      <c r="T52" s="4">
        <f t="shared" ca="1" si="166"/>
        <v>0</v>
      </c>
      <c r="V52" s="18" t="e">
        <f t="shared" ca="1" si="167"/>
        <v>#NAME?</v>
      </c>
      <c r="W52" s="18" t="e">
        <f t="shared" ca="1" si="168"/>
        <v>#NAME?</v>
      </c>
      <c r="X52" s="18" t="e">
        <f t="shared" ca="1" si="169"/>
        <v>#NAME?</v>
      </c>
      <c r="Y52" s="18">
        <f t="shared" ca="1" si="170"/>
        <v>-5.6239148112983921</v>
      </c>
      <c r="Z52" s="18">
        <f t="shared" ca="1" si="171"/>
        <v>0</v>
      </c>
      <c r="AA52" s="18">
        <f t="shared" ca="1" si="172"/>
        <v>-1.6078789384659256</v>
      </c>
      <c r="AB52" s="18">
        <f t="shared" ca="1" si="173"/>
        <v>0</v>
      </c>
      <c r="AC52" s="18">
        <f t="shared" ca="1" si="174"/>
        <v>794.82119775905949</v>
      </c>
      <c r="AD52" s="18">
        <f t="shared" ca="1" si="175"/>
        <v>212.20915241693825</v>
      </c>
      <c r="AE52" s="18">
        <f t="shared" ca="1" si="176"/>
        <v>227.23961983841048</v>
      </c>
      <c r="AF52" s="18">
        <f t="shared" ca="1" si="177"/>
        <v>0</v>
      </c>
      <c r="AG52" s="18">
        <f t="shared" ca="1" si="178"/>
        <v>1234.2699700144085</v>
      </c>
      <c r="AI52">
        <f>Person1!E52</f>
        <v>67</v>
      </c>
      <c r="AJ52">
        <f>Person1!AZ52</f>
        <v>2</v>
      </c>
      <c r="AK52">
        <f>IF(AZ52&lt;&gt;3,Person1!FM52,0)</f>
        <v>0</v>
      </c>
      <c r="AL52" s="4">
        <f ca="1">IF($AZ52&lt;&gt;3,Person1!FN52+Person1!FT52,0)</f>
        <v>0</v>
      </c>
      <c r="AM52">
        <f>IF($AZ52&lt;&gt;3,Person1!FO52,0)</f>
        <v>0</v>
      </c>
      <c r="AN52">
        <f>IF($AZ52&lt;&gt;3,Person1!FP52,0)</f>
        <v>0</v>
      </c>
      <c r="AO52">
        <f>IF($AZ52&lt;&gt;3,Person1!FQ52,0)</f>
        <v>0</v>
      </c>
      <c r="AP52">
        <f>IF($AZ52&lt;&gt;3,Person1!FR52,0)</f>
        <v>0</v>
      </c>
      <c r="AQ52" s="4">
        <f t="shared" si="179"/>
        <v>0</v>
      </c>
      <c r="AR52" s="4">
        <f>Person1!FS52</f>
        <v>9169.2082987752256</v>
      </c>
      <c r="AS52" s="4">
        <f>$B$41*MAX(0,CHOOSE($AZ52,0,IF(AND(Person1!AW52&gt;=Person1!$B$36,AV52&gt;=$B$93),Person1!$B$35*(1+Person1!$B$37)^(Person1!$B$36-Person1!$B$11)*(1+Person1!$B$38)^(Person1!AW52-Person1!$B$36)-CHOOSE(Person1!$B$39+1,0,BD52,BE52,BD52+BE52),0),0,0))</f>
        <v>0</v>
      </c>
      <c r="AT52" s="4">
        <f t="shared" si="180"/>
        <v>0</v>
      </c>
      <c r="AV52">
        <f t="shared" si="264"/>
        <v>2062</v>
      </c>
      <c r="AW52">
        <f t="shared" si="264"/>
        <v>67</v>
      </c>
      <c r="AX52">
        <f t="shared" si="112"/>
        <v>2.4378542053013459</v>
      </c>
      <c r="AY52">
        <f t="shared" si="113"/>
        <v>0.41019680250993062</v>
      </c>
      <c r="AZ52">
        <f t="shared" si="114"/>
        <v>2</v>
      </c>
      <c r="BB52" s="4">
        <f t="shared" si="181"/>
        <v>0</v>
      </c>
      <c r="BC52">
        <f t="shared" si="182"/>
        <v>0</v>
      </c>
      <c r="BD52" s="4">
        <f t="shared" si="183"/>
        <v>19502.833642410766</v>
      </c>
      <c r="BE52" s="4">
        <f t="shared" ca="1" si="115"/>
        <v>16689.549889493013</v>
      </c>
      <c r="BF52" s="4">
        <f t="shared" si="116"/>
        <v>0</v>
      </c>
      <c r="BG52" s="4">
        <f t="shared" si="117"/>
        <v>9169.2082987752256</v>
      </c>
      <c r="BH52" s="4">
        <f t="shared" si="184"/>
        <v>0</v>
      </c>
      <c r="BI52" s="4">
        <f t="shared" ca="1" si="118"/>
        <v>45361.591830678997</v>
      </c>
      <c r="BJ52" s="4"/>
      <c r="BK52" s="4">
        <f t="shared" si="185"/>
        <v>60946.355132533645</v>
      </c>
      <c r="BL52" s="4">
        <f t="shared" si="119"/>
        <v>0</v>
      </c>
      <c r="BM52" s="4">
        <f t="shared" si="120"/>
        <v>60946.355132533645</v>
      </c>
      <c r="BN52" s="4">
        <v>2045.2955028802799</v>
      </c>
      <c r="BO52" s="4">
        <f t="shared" si="121"/>
        <v>62991.650635413927</v>
      </c>
      <c r="BP52" s="4">
        <f t="shared" ca="1" si="122"/>
        <v>-17630.05880473493</v>
      </c>
      <c r="BQ52" s="4"/>
      <c r="BR52" s="4">
        <v>0</v>
      </c>
      <c r="BS52" s="4">
        <f t="shared" ca="1" si="186"/>
        <v>0</v>
      </c>
      <c r="BT52" s="4">
        <f t="shared" ca="1" si="187"/>
        <v>264678.22646014101</v>
      </c>
      <c r="BU52" s="4">
        <f t="shared" ca="1" si="188"/>
        <v>17630.05880473493</v>
      </c>
      <c r="BV52" s="4">
        <f t="shared" si="189"/>
        <v>1</v>
      </c>
      <c r="BW52" s="4">
        <f t="shared" ca="1" si="190"/>
        <v>13710.28437298031</v>
      </c>
      <c r="BX52" s="4">
        <f t="shared" ca="1" si="191"/>
        <v>0</v>
      </c>
      <c r="BY52" s="4">
        <f t="shared" ca="1" si="192"/>
        <v>0</v>
      </c>
      <c r="BZ52" s="4">
        <f t="shared" ca="1" si="193"/>
        <v>3919.7744317546203</v>
      </c>
      <c r="CA52" s="4">
        <f t="shared" ca="1" si="30"/>
        <v>17630.05880473493</v>
      </c>
      <c r="CB52" s="4">
        <f t="shared" ca="1" si="154"/>
        <v>0</v>
      </c>
      <c r="CC52" s="4"/>
      <c r="CD52" s="4">
        <f t="shared" ca="1" si="194"/>
        <v>62991.650635413927</v>
      </c>
      <c r="CE52" s="4">
        <f t="shared" ca="1" si="123"/>
        <v>59071.876203659311</v>
      </c>
      <c r="CF52" s="16">
        <f t="shared" ca="1" si="195"/>
        <v>1</v>
      </c>
      <c r="CG52" s="4">
        <f t="shared" si="196"/>
        <v>0</v>
      </c>
      <c r="CH52" s="4" t="e">
        <f t="shared" ca="1" si="197"/>
        <v>#NAME?</v>
      </c>
      <c r="CI52" s="4" t="e">
        <f t="shared" ca="1" si="198"/>
        <v>#NAME?</v>
      </c>
      <c r="CJ52" s="4" t="e">
        <f t="shared" ca="1" si="124"/>
        <v>#NAME?</v>
      </c>
      <c r="CK52" s="4" t="e">
        <f t="shared" ca="1" si="199"/>
        <v>#NAME?</v>
      </c>
      <c r="CL52" s="4" t="e">
        <f t="shared" ca="1" si="200"/>
        <v>#NAME?</v>
      </c>
      <c r="CM52" s="16"/>
      <c r="CN52" s="4" t="e">
        <f t="shared" ca="1" si="201"/>
        <v>#NAME?</v>
      </c>
      <c r="CO52" s="4" t="e">
        <f t="shared" ca="1" si="202"/>
        <v>#NAME?</v>
      </c>
      <c r="CP52" s="4">
        <f t="shared" ca="1" si="271"/>
        <v>3008970.2368767913</v>
      </c>
      <c r="CQ52" s="4"/>
      <c r="CR52" s="4">
        <f t="shared" ca="1" si="203"/>
        <v>0</v>
      </c>
      <c r="CS52" s="4">
        <f t="shared" ca="1" si="204"/>
        <v>63090</v>
      </c>
      <c r="CT52" s="4">
        <f t="shared" ca="1" si="205"/>
        <v>0</v>
      </c>
      <c r="CU52" s="4"/>
      <c r="CV52" s="4">
        <f t="shared" ca="1" si="126"/>
        <v>0</v>
      </c>
      <c r="CW52" s="4">
        <f t="shared" ca="1" si="206"/>
        <v>0</v>
      </c>
      <c r="CX52" s="4">
        <f t="shared" ca="1" si="207"/>
        <v>0</v>
      </c>
      <c r="CY52" s="4">
        <f t="shared" ca="1" si="127"/>
        <v>0</v>
      </c>
      <c r="CZ52" s="4"/>
      <c r="DA52" s="4">
        <f t="shared" ca="1" si="208"/>
        <v>0</v>
      </c>
      <c r="DB52" s="4">
        <f t="shared" si="209"/>
        <v>0</v>
      </c>
      <c r="DC52" s="4">
        <f t="shared" ca="1" si="128"/>
        <v>0</v>
      </c>
      <c r="DD52" s="4">
        <f t="shared" ca="1" si="210"/>
        <v>0</v>
      </c>
      <c r="DE52" s="4">
        <f t="shared" ca="1" si="211"/>
        <v>0</v>
      </c>
      <c r="DF52" s="4">
        <f t="shared" ca="1" si="129"/>
        <v>0</v>
      </c>
      <c r="DG52" s="4">
        <f t="shared" ca="1" si="130"/>
        <v>0</v>
      </c>
      <c r="DH52" s="4">
        <f t="shared" ca="1" si="212"/>
        <v>0</v>
      </c>
      <c r="DI52" s="4"/>
      <c r="DJ52" s="4">
        <f t="shared" ca="1" si="213"/>
        <v>0</v>
      </c>
      <c r="DK52" s="4">
        <f t="shared" ca="1" si="214"/>
        <v>13500</v>
      </c>
      <c r="DL52" s="4">
        <f t="shared" ca="1" si="215"/>
        <v>13500</v>
      </c>
      <c r="DM52" s="4">
        <f t="shared" ca="1" si="216"/>
        <v>264678.22646014101</v>
      </c>
      <c r="DN52" s="4">
        <f t="shared" ca="1" si="217"/>
        <v>0</v>
      </c>
      <c r="DO52" s="4">
        <f t="shared" ca="1" si="55"/>
        <v>264678.22646014101</v>
      </c>
      <c r="DP52" s="4"/>
      <c r="DQ52" s="4">
        <f t="shared" ca="1" si="56"/>
        <v>0</v>
      </c>
      <c r="DR52" s="4"/>
      <c r="DS52" s="4">
        <f t="shared" si="131"/>
        <v>0</v>
      </c>
      <c r="DT52" s="4">
        <f t="shared" ca="1" si="274"/>
        <v>0</v>
      </c>
      <c r="DU52" s="4">
        <f t="shared" si="218"/>
        <v>0</v>
      </c>
      <c r="DV52" s="4"/>
      <c r="DW52" s="4">
        <f t="shared" ca="1" si="265"/>
        <v>1937658.1994195757</v>
      </c>
      <c r="DX52" s="4">
        <f t="shared" ca="1" si="219"/>
        <v>0</v>
      </c>
      <c r="DY52" s="4">
        <f t="shared" ca="1" si="133"/>
        <v>96882.909970978799</v>
      </c>
      <c r="DZ52" s="4">
        <f t="shared" ca="1" si="220"/>
        <v>13710.28437298031</v>
      </c>
      <c r="EA52" s="4">
        <f t="shared" ca="1" si="221"/>
        <v>0</v>
      </c>
      <c r="EB52" s="4">
        <f t="shared" ca="1" si="222"/>
        <v>2034541.1093905545</v>
      </c>
      <c r="EC52" s="4">
        <f t="shared" si="223"/>
        <v>1</v>
      </c>
      <c r="ED52" s="4"/>
      <c r="EE52" s="4">
        <f t="shared" ca="1" si="266"/>
        <v>517334.97462306713</v>
      </c>
      <c r="EF52" s="4">
        <f t="shared" ca="1" si="224"/>
        <v>0</v>
      </c>
      <c r="EG52" s="4">
        <f t="shared" ca="1" si="135"/>
        <v>25866.748731153359</v>
      </c>
      <c r="EH52" s="4">
        <f t="shared" ca="1" si="225"/>
        <v>0</v>
      </c>
      <c r="EI52" s="4">
        <f t="shared" ca="1" si="226"/>
        <v>0</v>
      </c>
      <c r="EJ52" s="4">
        <f t="shared" ca="1" si="227"/>
        <v>0</v>
      </c>
      <c r="EK52" s="4">
        <f t="shared" si="228"/>
        <v>1</v>
      </c>
      <c r="EL52" s="4">
        <f t="shared" si="229"/>
        <v>0</v>
      </c>
      <c r="EM52" s="4"/>
      <c r="EN52" s="4">
        <f t="shared" ca="1" si="267"/>
        <v>553977.06283414806</v>
      </c>
      <c r="EO52" s="4">
        <f t="shared" ca="1" si="230"/>
        <v>0</v>
      </c>
      <c r="EP52" s="4">
        <f t="shared" ca="1" si="137"/>
        <v>27698.853141707405</v>
      </c>
      <c r="EQ52" s="4">
        <f t="shared" ca="1" si="231"/>
        <v>3919.7744317546203</v>
      </c>
      <c r="ER52" s="4">
        <v>0</v>
      </c>
      <c r="ES52" s="4">
        <f t="shared" ca="1" si="138"/>
        <v>581675.91597585543</v>
      </c>
      <c r="ET52" s="4"/>
      <c r="EU52" s="4">
        <f t="shared" ca="1" si="268"/>
        <v>0</v>
      </c>
      <c r="EV52" s="4">
        <f t="shared" ca="1" si="232"/>
        <v>0</v>
      </c>
      <c r="EW52" s="4">
        <f t="shared" ca="1" si="140"/>
        <v>0</v>
      </c>
      <c r="EX52" s="4">
        <f t="shared" ca="1" si="233"/>
        <v>0</v>
      </c>
      <c r="EY52" s="4">
        <v>0</v>
      </c>
      <c r="EZ52" s="4">
        <f t="shared" ca="1" si="141"/>
        <v>0</v>
      </c>
      <c r="FA52" s="4">
        <f t="shared" ca="1" si="269"/>
        <v>0</v>
      </c>
      <c r="FB52" s="1">
        <f t="shared" ca="1" si="74"/>
        <v>0</v>
      </c>
      <c r="FC52" s="4">
        <f t="shared" ca="1" si="143"/>
        <v>0</v>
      </c>
      <c r="FD52" s="4">
        <f t="shared" ca="1" si="144"/>
        <v>0</v>
      </c>
      <c r="FE52" s="4">
        <f t="shared" ca="1" si="234"/>
        <v>0</v>
      </c>
      <c r="FF52" s="4">
        <f t="shared" ca="1" si="235"/>
        <v>0</v>
      </c>
      <c r="FG52" s="4">
        <f t="shared" ca="1" si="236"/>
        <v>0</v>
      </c>
      <c r="FH52" s="17">
        <f t="shared" ca="1" si="237"/>
        <v>0</v>
      </c>
      <c r="FI52" s="4">
        <f t="shared" ca="1" si="238"/>
        <v>0</v>
      </c>
      <c r="FJ52" s="4"/>
      <c r="FK52" s="4">
        <f t="shared" ca="1" si="239"/>
        <v>2616217.0253664097</v>
      </c>
      <c r="FL52" s="4"/>
      <c r="FM52" s="4">
        <v>0</v>
      </c>
      <c r="FN52" s="4">
        <v>0</v>
      </c>
      <c r="FO52" s="4">
        <v>0</v>
      </c>
      <c r="FP52" s="4">
        <v>0</v>
      </c>
      <c r="FQ52" s="4">
        <v>0</v>
      </c>
      <c r="FR52" s="4">
        <v>0</v>
      </c>
      <c r="FS52" s="4">
        <f t="shared" si="240"/>
        <v>0</v>
      </c>
      <c r="FT52" s="4">
        <f t="shared" ca="1" si="241"/>
        <v>0</v>
      </c>
      <c r="FU52" s="4"/>
      <c r="FV52" s="3">
        <f t="shared" si="242"/>
        <v>0.41019680250993062</v>
      </c>
      <c r="FW52" s="3">
        <f t="shared" si="243"/>
        <v>0.41019680250993062</v>
      </c>
      <c r="FX52" s="4">
        <f t="shared" si="145"/>
        <v>2062</v>
      </c>
      <c r="FY52" s="4">
        <f t="shared" si="244"/>
        <v>0</v>
      </c>
      <c r="FZ52" s="4">
        <f t="shared" si="245"/>
        <v>8</v>
      </c>
      <c r="GA52" s="4">
        <f t="shared" ca="1" si="246"/>
        <v>6.8460000000000001</v>
      </c>
      <c r="GB52" s="4">
        <f t="shared" si="247"/>
        <v>3.7611799257051182</v>
      </c>
      <c r="GC52" s="4">
        <f t="shared" ca="1" si="248"/>
        <v>5.6239148112983921</v>
      </c>
      <c r="GD52" s="4">
        <f t="shared" ca="1" si="249"/>
        <v>0</v>
      </c>
      <c r="GE52" s="4">
        <f t="shared" ca="1" si="250"/>
        <v>0</v>
      </c>
      <c r="GF52" s="4">
        <f t="shared" ca="1" si="251"/>
        <v>1.6078789384659256</v>
      </c>
      <c r="GG52" s="18" t="e">
        <f t="shared" ca="1" si="252"/>
        <v>#NAME?</v>
      </c>
      <c r="GH52" s="18" t="e">
        <f t="shared" ca="1" si="253"/>
        <v>#NAME?</v>
      </c>
      <c r="GI52" s="4"/>
      <c r="GJ52" s="4">
        <f t="shared" si="254"/>
        <v>2062</v>
      </c>
      <c r="GK52" s="4">
        <f t="shared" ca="1" si="255"/>
        <v>794.82119775905949</v>
      </c>
      <c r="GL52" s="4">
        <f t="shared" ca="1" si="256"/>
        <v>212.20915241693825</v>
      </c>
      <c r="GM52" s="4">
        <f t="shared" ca="1" si="257"/>
        <v>227.23961983841048</v>
      </c>
      <c r="GN52" s="4">
        <f t="shared" ca="1" si="258"/>
        <v>0</v>
      </c>
      <c r="GO52" s="4"/>
      <c r="GP52" s="3">
        <f t="shared" ca="1" si="146"/>
        <v>0.77766526617019105</v>
      </c>
      <c r="GQ52" s="3">
        <f t="shared" ca="1" si="259"/>
        <v>0</v>
      </c>
      <c r="GR52" s="3">
        <f t="shared" ca="1" si="260"/>
        <v>0</v>
      </c>
      <c r="GS52" s="3">
        <f t="shared" ca="1" si="261"/>
        <v>0.22233473382980903</v>
      </c>
      <c r="GT52" s="3">
        <f t="array" aca="1" ref="GT52" ca="1">SUM(GP52:GS52*$GU$6:$GX$6)</f>
        <v>1</v>
      </c>
      <c r="GU52" s="3">
        <f t="shared" ca="1" si="147"/>
        <v>0.77766526617019105</v>
      </c>
      <c r="GV52" s="3">
        <f t="shared" ca="1" si="148"/>
        <v>0</v>
      </c>
      <c r="GW52" s="3">
        <f t="shared" ca="1" si="149"/>
        <v>0</v>
      </c>
      <c r="GX52" s="3">
        <f t="shared" ca="1" si="150"/>
        <v>0.22233473382980903</v>
      </c>
      <c r="GY52" s="11"/>
      <c r="GZ52" s="27">
        <v>94</v>
      </c>
      <c r="HA52" s="30">
        <v>0.18790000000000001</v>
      </c>
      <c r="HB52" s="29">
        <f t="shared" ca="1" si="151"/>
        <v>1</v>
      </c>
      <c r="HC52" s="29">
        <v>1</v>
      </c>
      <c r="HD52" s="29">
        <v>0.2</v>
      </c>
      <c r="HE52" s="29">
        <v>1</v>
      </c>
      <c r="HG52" s="27">
        <v>92</v>
      </c>
      <c r="HH52" s="30">
        <v>0.1449</v>
      </c>
      <c r="HJ52">
        <f t="shared" si="153"/>
        <v>2055</v>
      </c>
      <c r="HK52" s="28">
        <f t="shared" si="163"/>
        <v>54920</v>
      </c>
      <c r="HL52" s="27">
        <f t="shared" si="155"/>
        <v>12000</v>
      </c>
      <c r="HM52" s="28">
        <f t="shared" si="156"/>
        <v>11906.096225374209</v>
      </c>
    </row>
    <row r="53" spans="1:241" x14ac:dyDescent="0.25">
      <c r="A53" t="s">
        <v>398</v>
      </c>
      <c r="B53" s="62">
        <f>Inputs_Summary!AK50</f>
        <v>0</v>
      </c>
      <c r="D53">
        <f t="shared" si="106"/>
        <v>2063</v>
      </c>
      <c r="E53">
        <f t="shared" si="106"/>
        <v>68</v>
      </c>
      <c r="F53" s="8"/>
      <c r="G53" s="8"/>
      <c r="H53" s="8"/>
      <c r="I53" s="8"/>
      <c r="J53" s="92"/>
      <c r="K53" s="91"/>
      <c r="L53" s="91"/>
      <c r="N53" s="93">
        <f t="shared" si="107"/>
        <v>0.05</v>
      </c>
      <c r="O53" s="23">
        <f t="shared" si="108"/>
        <v>0</v>
      </c>
      <c r="P53" s="23">
        <f t="shared" si="109"/>
        <v>0.4</v>
      </c>
      <c r="Q53" s="4">
        <f t="shared" si="164"/>
        <v>0</v>
      </c>
      <c r="R53" s="4">
        <f t="shared" si="263"/>
        <v>0</v>
      </c>
      <c r="S53" s="4">
        <f t="shared" si="165"/>
        <v>0</v>
      </c>
      <c r="T53" s="4">
        <f t="shared" ca="1" si="166"/>
        <v>0</v>
      </c>
      <c r="V53" s="18" t="e">
        <f t="shared" ca="1" si="167"/>
        <v>#NAME?</v>
      </c>
      <c r="W53" s="18" t="e">
        <f t="shared" ca="1" si="168"/>
        <v>#NAME?</v>
      </c>
      <c r="X53" s="18" t="e">
        <f t="shared" ca="1" si="169"/>
        <v>#NAME?</v>
      </c>
      <c r="Y53" s="18">
        <f t="shared" ca="1" si="170"/>
        <v>-5.6959022780163551</v>
      </c>
      <c r="Z53" s="18">
        <f t="shared" ca="1" si="171"/>
        <v>0</v>
      </c>
      <c r="AA53" s="18">
        <f t="shared" ca="1" si="172"/>
        <v>-1.6284601768831208</v>
      </c>
      <c r="AB53" s="18">
        <f t="shared" ca="1" si="173"/>
        <v>0</v>
      </c>
      <c r="AC53" s="18">
        <f t="shared" ca="1" si="174"/>
        <v>812.68464983893534</v>
      </c>
      <c r="AD53" s="18">
        <f t="shared" ca="1" si="175"/>
        <v>218.45059807625995</v>
      </c>
      <c r="AE53" s="18">
        <f t="shared" ca="1" si="176"/>
        <v>232.34678616849513</v>
      </c>
      <c r="AF53" s="18">
        <f t="shared" ca="1" si="177"/>
        <v>0</v>
      </c>
      <c r="AG53" s="18">
        <f t="shared" ca="1" si="178"/>
        <v>1263.4820340836905</v>
      </c>
      <c r="AI53">
        <f>Person1!E53</f>
        <v>68</v>
      </c>
      <c r="AJ53">
        <f>Person1!AZ53</f>
        <v>2</v>
      </c>
      <c r="AK53">
        <f>IF(AZ53&lt;&gt;3,Person1!FM53,0)</f>
        <v>0</v>
      </c>
      <c r="AL53" s="4">
        <f ca="1">IF($AZ53&lt;&gt;3,Person1!FN53+Person1!FT53,0)</f>
        <v>0</v>
      </c>
      <c r="AM53">
        <f>IF($AZ53&lt;&gt;3,Person1!FO53,0)</f>
        <v>0</v>
      </c>
      <c r="AN53">
        <f>IF($AZ53&lt;&gt;3,Person1!FP53,0)</f>
        <v>0</v>
      </c>
      <c r="AO53">
        <f>IF($AZ53&lt;&gt;3,Person1!FQ53,0)</f>
        <v>0</v>
      </c>
      <c r="AP53">
        <f>IF($AZ53&lt;&gt;3,Person1!FR53,0)</f>
        <v>0</v>
      </c>
      <c r="AQ53" s="4">
        <f t="shared" si="179"/>
        <v>0</v>
      </c>
      <c r="AR53" s="4">
        <f>Person1!FS53</f>
        <v>9105.3509010305388</v>
      </c>
      <c r="AS53" s="4">
        <f>$B$41*MAX(0,CHOOSE($AZ53,0,IF(AND(Person1!AW53&gt;=Person1!$B$36,AV53&gt;=$B$93),Person1!$B$35*(1+Person1!$B$37)^(Person1!$B$36-Person1!$B$11)*(1+Person1!$B$38)^(Person1!AW53-Person1!$B$36)-CHOOSE(Person1!$B$39+1,0,BD53,BE53,BD53+BE53),0),0,0))</f>
        <v>0</v>
      </c>
      <c r="AT53" s="4">
        <f t="shared" si="180"/>
        <v>0</v>
      </c>
      <c r="AV53">
        <f t="shared" si="264"/>
        <v>2063</v>
      </c>
      <c r="AW53">
        <f t="shared" si="264"/>
        <v>68</v>
      </c>
      <c r="AX53">
        <f t="shared" si="112"/>
        <v>2.4866112894073726</v>
      </c>
      <c r="AY53">
        <f t="shared" si="113"/>
        <v>0.40215372795091237</v>
      </c>
      <c r="AZ53">
        <f t="shared" si="114"/>
        <v>2</v>
      </c>
      <c r="BB53" s="4">
        <f t="shared" si="181"/>
        <v>0</v>
      </c>
      <c r="BC53">
        <f t="shared" si="182"/>
        <v>0</v>
      </c>
      <c r="BD53" s="4">
        <f t="shared" si="183"/>
        <v>19892.890315258981</v>
      </c>
      <c r="BE53" s="4">
        <f t="shared" ca="1" si="115"/>
        <v>17023.340887282873</v>
      </c>
      <c r="BF53" s="4">
        <f t="shared" si="116"/>
        <v>0</v>
      </c>
      <c r="BG53" s="4">
        <f t="shared" si="117"/>
        <v>9105.3509010305388</v>
      </c>
      <c r="BH53" s="4">
        <f t="shared" si="184"/>
        <v>0</v>
      </c>
      <c r="BI53" s="4">
        <f t="shared" ca="1" si="118"/>
        <v>46021.582103572393</v>
      </c>
      <c r="BJ53" s="4"/>
      <c r="BK53" s="4">
        <f t="shared" si="185"/>
        <v>62165.282235184313</v>
      </c>
      <c r="BL53" s="4">
        <f t="shared" si="119"/>
        <v>0</v>
      </c>
      <c r="BM53" s="4">
        <f t="shared" si="120"/>
        <v>62165.282235184313</v>
      </c>
      <c r="BN53" s="4">
        <v>2069.142236452617</v>
      </c>
      <c r="BO53" s="4">
        <f t="shared" si="121"/>
        <v>64234.424471636929</v>
      </c>
      <c r="BP53" s="4">
        <f t="shared" ca="1" si="122"/>
        <v>-18212.842368064536</v>
      </c>
      <c r="BQ53" s="4"/>
      <c r="BR53" s="4">
        <v>0</v>
      </c>
      <c r="BS53" s="4">
        <f t="shared" ca="1" si="186"/>
        <v>0</v>
      </c>
      <c r="BT53" s="4">
        <f t="shared" ca="1" si="187"/>
        <v>282598.00089189562</v>
      </c>
      <c r="BU53" s="4">
        <f t="shared" ca="1" si="188"/>
        <v>18212.842368064536</v>
      </c>
      <c r="BV53" s="4">
        <f t="shared" si="189"/>
        <v>1</v>
      </c>
      <c r="BW53" s="4">
        <f t="shared" ca="1" si="190"/>
        <v>14163.49490787664</v>
      </c>
      <c r="BX53" s="4">
        <f t="shared" ca="1" si="191"/>
        <v>0</v>
      </c>
      <c r="BY53" s="4">
        <f t="shared" ca="1" si="192"/>
        <v>0</v>
      </c>
      <c r="BZ53" s="4">
        <f t="shared" ca="1" si="193"/>
        <v>4049.3474601878952</v>
      </c>
      <c r="CA53" s="4">
        <f t="shared" ca="1" si="30"/>
        <v>18212.842368064536</v>
      </c>
      <c r="CB53" s="4">
        <f t="shared" ca="1" si="154"/>
        <v>0</v>
      </c>
      <c r="CC53" s="4"/>
      <c r="CD53" s="4">
        <f t="shared" ca="1" si="194"/>
        <v>64234.424471636929</v>
      </c>
      <c r="CE53" s="4">
        <f t="shared" ca="1" si="123"/>
        <v>60185.07701144903</v>
      </c>
      <c r="CF53" s="16">
        <f t="shared" ca="1" si="195"/>
        <v>1</v>
      </c>
      <c r="CG53" s="4">
        <f t="shared" si="196"/>
        <v>0</v>
      </c>
      <c r="CH53" s="4" t="e">
        <f t="shared" ca="1" si="197"/>
        <v>#NAME?</v>
      </c>
      <c r="CI53" s="4" t="e">
        <f t="shared" ca="1" si="198"/>
        <v>#NAME?</v>
      </c>
      <c r="CJ53" s="4" t="e">
        <f t="shared" ca="1" si="124"/>
        <v>#NAME?</v>
      </c>
      <c r="CK53" s="4" t="e">
        <f t="shared" ca="1" si="199"/>
        <v>#NAME?</v>
      </c>
      <c r="CL53" s="4" t="e">
        <f t="shared" ca="1" si="200"/>
        <v>#NAME?</v>
      </c>
      <c r="CM53" s="16"/>
      <c r="CN53" s="4" t="e">
        <f t="shared" ca="1" si="201"/>
        <v>#NAME?</v>
      </c>
      <c r="CO53" s="4" t="e">
        <f t="shared" ca="1" si="202"/>
        <v>#NAME?</v>
      </c>
      <c r="CP53" s="4">
        <f t="shared" ca="1" si="271"/>
        <v>3141788.6899158955</v>
      </c>
      <c r="CQ53" s="4"/>
      <c r="CR53" s="4">
        <f t="shared" ca="1" si="203"/>
        <v>0</v>
      </c>
      <c r="CS53" s="4">
        <f t="shared" ca="1" si="204"/>
        <v>64350</v>
      </c>
      <c r="CT53" s="4">
        <f t="shared" ca="1" si="205"/>
        <v>0</v>
      </c>
      <c r="CU53" s="4"/>
      <c r="CV53" s="4">
        <f t="shared" ca="1" si="126"/>
        <v>0</v>
      </c>
      <c r="CW53" s="4">
        <f t="shared" ca="1" si="206"/>
        <v>0</v>
      </c>
      <c r="CX53" s="4">
        <f t="shared" ca="1" si="207"/>
        <v>0</v>
      </c>
      <c r="CY53" s="4">
        <f t="shared" ca="1" si="127"/>
        <v>0</v>
      </c>
      <c r="CZ53" s="4"/>
      <c r="DA53" s="4">
        <f t="shared" ca="1" si="208"/>
        <v>0</v>
      </c>
      <c r="DB53" s="4">
        <f t="shared" si="209"/>
        <v>0</v>
      </c>
      <c r="DC53" s="4">
        <f t="shared" ca="1" si="128"/>
        <v>0</v>
      </c>
      <c r="DD53" s="4">
        <f t="shared" ca="1" si="210"/>
        <v>0</v>
      </c>
      <c r="DE53" s="4">
        <f t="shared" ca="1" si="211"/>
        <v>0</v>
      </c>
      <c r="DF53" s="4">
        <f t="shared" ca="1" si="129"/>
        <v>0</v>
      </c>
      <c r="DG53" s="4">
        <f t="shared" ca="1" si="130"/>
        <v>0</v>
      </c>
      <c r="DH53" s="4">
        <f t="shared" ca="1" si="212"/>
        <v>0</v>
      </c>
      <c r="DI53" s="4"/>
      <c r="DJ53" s="4">
        <f t="shared" ca="1" si="213"/>
        <v>0</v>
      </c>
      <c r="DK53" s="4">
        <f t="shared" ca="1" si="214"/>
        <v>14000</v>
      </c>
      <c r="DL53" s="4">
        <f t="shared" ca="1" si="215"/>
        <v>14000</v>
      </c>
      <c r="DM53" s="4">
        <f t="shared" ca="1" si="216"/>
        <v>282598.00089189562</v>
      </c>
      <c r="DN53" s="4">
        <f t="shared" ca="1" si="217"/>
        <v>0</v>
      </c>
      <c r="DO53" s="4">
        <f t="shared" ca="1" si="55"/>
        <v>282598.00089189562</v>
      </c>
      <c r="DP53" s="4"/>
      <c r="DQ53" s="4">
        <f t="shared" ca="1" si="56"/>
        <v>0</v>
      </c>
      <c r="DR53" s="4"/>
      <c r="DS53" s="4">
        <f t="shared" si="131"/>
        <v>0</v>
      </c>
      <c r="DT53" s="4">
        <f t="shared" ca="1" si="274"/>
        <v>0</v>
      </c>
      <c r="DU53" s="4">
        <f t="shared" si="218"/>
        <v>0</v>
      </c>
      <c r="DV53" s="4"/>
      <c r="DW53" s="4">
        <f t="shared" ca="1" si="265"/>
        <v>2020830.8250175742</v>
      </c>
      <c r="DX53" s="4">
        <f t="shared" ca="1" si="219"/>
        <v>0</v>
      </c>
      <c r="DY53" s="4">
        <f t="shared" ca="1" si="133"/>
        <v>101041.54125087871</v>
      </c>
      <c r="DZ53" s="4">
        <f t="shared" ca="1" si="220"/>
        <v>14163.49490787664</v>
      </c>
      <c r="EA53" s="4">
        <f t="shared" ca="1" si="221"/>
        <v>0</v>
      </c>
      <c r="EB53" s="4">
        <f t="shared" ca="1" si="222"/>
        <v>2121872.3662684532</v>
      </c>
      <c r="EC53" s="4">
        <f t="shared" si="223"/>
        <v>1</v>
      </c>
      <c r="ED53" s="4"/>
      <c r="EE53" s="4">
        <f t="shared" ca="1" si="266"/>
        <v>543201.72335422051</v>
      </c>
      <c r="EF53" s="4">
        <f t="shared" ca="1" si="224"/>
        <v>0</v>
      </c>
      <c r="EG53" s="4">
        <f t="shared" ca="1" si="135"/>
        <v>27160.086167711026</v>
      </c>
      <c r="EH53" s="4">
        <f t="shared" ca="1" si="225"/>
        <v>0</v>
      </c>
      <c r="EI53" s="4">
        <f t="shared" ca="1" si="226"/>
        <v>0</v>
      </c>
      <c r="EJ53" s="4">
        <f t="shared" ca="1" si="227"/>
        <v>0</v>
      </c>
      <c r="EK53" s="4">
        <f t="shared" si="228"/>
        <v>1</v>
      </c>
      <c r="EL53" s="4">
        <f t="shared" si="229"/>
        <v>0</v>
      </c>
      <c r="EM53" s="4"/>
      <c r="EN53" s="4">
        <f t="shared" ca="1" si="267"/>
        <v>577756.14154410083</v>
      </c>
      <c r="EO53" s="4">
        <f t="shared" ca="1" si="230"/>
        <v>0</v>
      </c>
      <c r="EP53" s="4">
        <f t="shared" ca="1" si="137"/>
        <v>28887.807077205041</v>
      </c>
      <c r="EQ53" s="4">
        <f t="shared" ca="1" si="231"/>
        <v>4049.3474601878952</v>
      </c>
      <c r="ER53" s="4">
        <v>0</v>
      </c>
      <c r="ES53" s="4">
        <f t="shared" ca="1" si="138"/>
        <v>606643.94862130587</v>
      </c>
      <c r="ET53" s="4"/>
      <c r="EU53" s="4">
        <f t="shared" ca="1" si="268"/>
        <v>0</v>
      </c>
      <c r="EV53" s="4">
        <f t="shared" ca="1" si="232"/>
        <v>0</v>
      </c>
      <c r="EW53" s="4">
        <f t="shared" ca="1" si="140"/>
        <v>0</v>
      </c>
      <c r="EX53" s="4">
        <f t="shared" ca="1" si="233"/>
        <v>0</v>
      </c>
      <c r="EY53" s="4">
        <v>0</v>
      </c>
      <c r="EZ53" s="4">
        <f t="shared" ca="1" si="141"/>
        <v>0</v>
      </c>
      <c r="FA53" s="4">
        <f t="shared" ca="1" si="269"/>
        <v>0</v>
      </c>
      <c r="FB53" s="1">
        <f t="shared" ca="1" si="74"/>
        <v>0</v>
      </c>
      <c r="FC53" s="4">
        <f t="shared" ca="1" si="143"/>
        <v>0</v>
      </c>
      <c r="FD53" s="4">
        <f t="shared" ca="1" si="144"/>
        <v>0</v>
      </c>
      <c r="FE53" s="4">
        <f t="shared" ca="1" si="234"/>
        <v>0</v>
      </c>
      <c r="FF53" s="4">
        <f t="shared" ca="1" si="235"/>
        <v>0</v>
      </c>
      <c r="FG53" s="4">
        <f t="shared" ca="1" si="236"/>
        <v>0</v>
      </c>
      <c r="FH53" s="17">
        <f t="shared" ca="1" si="237"/>
        <v>0</v>
      </c>
      <c r="FI53" s="4">
        <f t="shared" ca="1" si="238"/>
        <v>0</v>
      </c>
      <c r="FJ53" s="4"/>
      <c r="FK53" s="4">
        <f t="shared" ca="1" si="239"/>
        <v>2728516.3148897588</v>
      </c>
      <c r="FL53" s="4"/>
      <c r="FM53" s="4">
        <v>0</v>
      </c>
      <c r="FN53" s="4">
        <v>0</v>
      </c>
      <c r="FO53" s="4">
        <v>0</v>
      </c>
      <c r="FP53" s="4">
        <v>0</v>
      </c>
      <c r="FQ53" s="4">
        <v>0</v>
      </c>
      <c r="FR53" s="4">
        <v>0</v>
      </c>
      <c r="FS53" s="4">
        <f t="shared" si="240"/>
        <v>0</v>
      </c>
      <c r="FT53" s="4">
        <f t="shared" ca="1" si="241"/>
        <v>0</v>
      </c>
      <c r="FU53" s="4"/>
      <c r="FV53" s="3">
        <f t="shared" si="242"/>
        <v>0.40215372795091237</v>
      </c>
      <c r="FW53" s="3">
        <f t="shared" si="243"/>
        <v>0.40215372795091237</v>
      </c>
      <c r="FX53" s="4">
        <f t="shared" si="145"/>
        <v>2063</v>
      </c>
      <c r="FY53" s="4">
        <f t="shared" si="244"/>
        <v>0</v>
      </c>
      <c r="FZ53" s="4">
        <f t="shared" si="245"/>
        <v>8</v>
      </c>
      <c r="GA53" s="4">
        <f t="shared" ca="1" si="246"/>
        <v>6.8460000000000001</v>
      </c>
      <c r="GB53" s="4">
        <f t="shared" si="247"/>
        <v>3.6617508091506301</v>
      </c>
      <c r="GC53" s="4">
        <f t="shared" ca="1" si="248"/>
        <v>5.6959022780163551</v>
      </c>
      <c r="GD53" s="4">
        <f t="shared" ca="1" si="249"/>
        <v>0</v>
      </c>
      <c r="GE53" s="4">
        <f t="shared" ca="1" si="250"/>
        <v>0</v>
      </c>
      <c r="GF53" s="4">
        <f t="shared" ca="1" si="251"/>
        <v>1.6284601768831208</v>
      </c>
      <c r="GG53" s="18" t="e">
        <f t="shared" ca="1" si="252"/>
        <v>#NAME?</v>
      </c>
      <c r="GH53" s="18" t="e">
        <f t="shared" ca="1" si="253"/>
        <v>#NAME?</v>
      </c>
      <c r="GI53" s="4"/>
      <c r="GJ53" s="4">
        <f t="shared" si="254"/>
        <v>2063</v>
      </c>
      <c r="GK53" s="4">
        <f t="shared" ca="1" si="255"/>
        <v>812.68464983893534</v>
      </c>
      <c r="GL53" s="4">
        <f t="shared" ca="1" si="256"/>
        <v>218.45059807625995</v>
      </c>
      <c r="GM53" s="4">
        <f t="shared" ca="1" si="257"/>
        <v>232.34678616849513</v>
      </c>
      <c r="GN53" s="4">
        <f t="shared" ca="1" si="258"/>
        <v>0</v>
      </c>
      <c r="GO53" s="4"/>
      <c r="GP53" s="3">
        <f t="shared" ca="1" si="146"/>
        <v>0.77766526617019105</v>
      </c>
      <c r="GQ53" s="3">
        <f t="shared" ca="1" si="259"/>
        <v>0</v>
      </c>
      <c r="GR53" s="3">
        <f t="shared" ca="1" si="260"/>
        <v>0</v>
      </c>
      <c r="GS53" s="3">
        <f t="shared" ca="1" si="261"/>
        <v>0.22233473382980901</v>
      </c>
      <c r="GT53" s="3">
        <f t="array" aca="1" ref="GT53" ca="1">SUM(GP53:GS53*$GU$6:$GX$6)</f>
        <v>1</v>
      </c>
      <c r="GU53" s="3">
        <f t="shared" ca="1" si="147"/>
        <v>0.77766526617019105</v>
      </c>
      <c r="GV53" s="3">
        <f t="shared" ca="1" si="148"/>
        <v>0</v>
      </c>
      <c r="GW53" s="3">
        <f t="shared" ca="1" si="149"/>
        <v>0</v>
      </c>
      <c r="GX53" s="3">
        <f t="shared" ca="1" si="150"/>
        <v>0.22233473382980901</v>
      </c>
      <c r="GY53" s="11"/>
      <c r="GZ53" s="27">
        <v>95</v>
      </c>
      <c r="HA53" s="30">
        <v>0.2</v>
      </c>
      <c r="HB53" s="29">
        <f t="shared" ca="1" si="151"/>
        <v>0</v>
      </c>
      <c r="HC53" s="29"/>
      <c r="HD53" s="29"/>
      <c r="HE53" s="29"/>
      <c r="HG53" s="27">
        <v>93</v>
      </c>
      <c r="HH53" s="30">
        <v>0.16339999999999999</v>
      </c>
      <c r="HJ53">
        <f t="shared" si="153"/>
        <v>2056</v>
      </c>
      <c r="HK53" s="28">
        <f t="shared" si="163"/>
        <v>56020</v>
      </c>
      <c r="HL53" s="27">
        <f t="shared" si="155"/>
        <v>12000</v>
      </c>
      <c r="HM53" s="28">
        <f t="shared" si="156"/>
        <v>12144.218149881694</v>
      </c>
      <c r="HO53" t="s">
        <v>610</v>
      </c>
      <c r="HQ53" s="27">
        <v>1</v>
      </c>
      <c r="HR53" s="27">
        <v>1</v>
      </c>
      <c r="HS53" s="27">
        <v>1</v>
      </c>
      <c r="HT53" s="27">
        <v>1</v>
      </c>
      <c r="HU53" s="27">
        <v>1</v>
      </c>
      <c r="HV53" s="27">
        <v>0.83499999999999996</v>
      </c>
      <c r="HW53" s="27">
        <v>1</v>
      </c>
      <c r="HX53" s="27">
        <v>1</v>
      </c>
      <c r="HY53" s="27">
        <v>1</v>
      </c>
      <c r="HZ53" s="27">
        <v>1</v>
      </c>
      <c r="IA53" s="27">
        <v>1</v>
      </c>
      <c r="IB53" s="27">
        <v>1</v>
      </c>
      <c r="IC53" s="27">
        <v>1</v>
      </c>
      <c r="ID53" s="27">
        <v>1</v>
      </c>
      <c r="IE53" s="27">
        <v>1</v>
      </c>
      <c r="IF53" s="27">
        <v>1</v>
      </c>
      <c r="IG53" s="27">
        <v>1</v>
      </c>
    </row>
    <row r="54" spans="1:241" x14ac:dyDescent="0.25">
      <c r="A54" t="s">
        <v>399</v>
      </c>
      <c r="B54" s="62">
        <f>Inputs_Summary!AK51</f>
        <v>5000</v>
      </c>
      <c r="D54">
        <f t="shared" si="106"/>
        <v>2064</v>
      </c>
      <c r="E54">
        <f t="shared" si="106"/>
        <v>69</v>
      </c>
      <c r="F54" s="8"/>
      <c r="G54" s="8"/>
      <c r="H54" s="8"/>
      <c r="I54" s="8"/>
      <c r="J54" s="92"/>
      <c r="K54" s="91"/>
      <c r="L54" s="91"/>
      <c r="N54" s="93">
        <f t="shared" si="107"/>
        <v>0.05</v>
      </c>
      <c r="O54" s="23">
        <f t="shared" si="108"/>
        <v>0</v>
      </c>
      <c r="P54" s="23">
        <f t="shared" si="109"/>
        <v>0.4</v>
      </c>
      <c r="Q54" s="4">
        <f t="shared" si="164"/>
        <v>0</v>
      </c>
      <c r="R54" s="4">
        <f t="shared" si="263"/>
        <v>0</v>
      </c>
      <c r="S54" s="4">
        <f t="shared" si="165"/>
        <v>0</v>
      </c>
      <c r="T54" s="4">
        <f t="shared" ca="1" si="166"/>
        <v>0</v>
      </c>
      <c r="V54" s="18" t="e">
        <f t="shared" ca="1" si="167"/>
        <v>#NAME?</v>
      </c>
      <c r="W54" s="18" t="e">
        <f t="shared" ca="1" si="168"/>
        <v>#NAME?</v>
      </c>
      <c r="X54" s="18" t="e">
        <f t="shared" ca="1" si="169"/>
        <v>#NAME?</v>
      </c>
      <c r="Y54" s="18">
        <f t="shared" ca="1" si="170"/>
        <v>-5.766831105490299</v>
      </c>
      <c r="Z54" s="18">
        <f t="shared" ca="1" si="171"/>
        <v>0</v>
      </c>
      <c r="AA54" s="18">
        <f t="shared" ca="1" si="172"/>
        <v>-1.6487387500215902</v>
      </c>
      <c r="AB54" s="18">
        <f t="shared" ca="1" si="173"/>
        <v>0</v>
      </c>
      <c r="AC54" s="18">
        <f t="shared" ca="1" si="174"/>
        <v>831.00292162045673</v>
      </c>
      <c r="AD54" s="18">
        <f t="shared" ca="1" si="175"/>
        <v>224.87561566673821</v>
      </c>
      <c r="AE54" s="18">
        <f t="shared" ca="1" si="176"/>
        <v>237.58398558827136</v>
      </c>
      <c r="AF54" s="18">
        <f t="shared" ca="1" si="177"/>
        <v>0</v>
      </c>
      <c r="AG54" s="18">
        <f t="shared" ca="1" si="178"/>
        <v>1293.4625228754664</v>
      </c>
      <c r="AI54">
        <f>Person1!E54</f>
        <v>69</v>
      </c>
      <c r="AJ54">
        <f>Person1!AZ54</f>
        <v>2</v>
      </c>
      <c r="AK54">
        <f>IF(AZ54&lt;&gt;3,Person1!FM54,0)</f>
        <v>0</v>
      </c>
      <c r="AL54" s="4">
        <f ca="1">IF($AZ54&lt;&gt;3,Person1!FN54+Person1!FT54,0)</f>
        <v>0</v>
      </c>
      <c r="AM54">
        <f>IF($AZ54&lt;&gt;3,Person1!FO54,0)</f>
        <v>0</v>
      </c>
      <c r="AN54">
        <f>IF($AZ54&lt;&gt;3,Person1!FP54,0)</f>
        <v>0</v>
      </c>
      <c r="AO54">
        <f>IF($AZ54&lt;&gt;3,Person1!FQ54,0)</f>
        <v>0</v>
      </c>
      <c r="AP54">
        <f>IF($AZ54&lt;&gt;3,Person1!FR54,0)</f>
        <v>0</v>
      </c>
      <c r="AQ54" s="4">
        <f t="shared" si="179"/>
        <v>0</v>
      </c>
      <c r="AR54" s="4">
        <f>Person1!FS54</f>
        <v>9038.9801475123604</v>
      </c>
      <c r="AS54" s="4">
        <f>$B$41*MAX(0,CHOOSE($AZ54,0,IF(AND(Person1!AW54&gt;=Person1!$B$36,AV54&gt;=$B$93),Person1!$B$35*(1+Person1!$B$37)^(Person1!$B$36-Person1!$B$11)*(1+Person1!$B$38)^(Person1!AW54-Person1!$B$36)-CHOOSE(Person1!$B$39+1,0,BD54,BE54,BD54+BE54),0),0,0))</f>
        <v>0</v>
      </c>
      <c r="AT54" s="4">
        <f t="shared" si="180"/>
        <v>0</v>
      </c>
      <c r="AV54">
        <f t="shared" si="264"/>
        <v>2064</v>
      </c>
      <c r="AW54">
        <f t="shared" si="264"/>
        <v>69</v>
      </c>
      <c r="AX54">
        <f t="shared" si="112"/>
        <v>2.53634351519552</v>
      </c>
      <c r="AY54">
        <f t="shared" si="113"/>
        <v>0.39426836073618859</v>
      </c>
      <c r="AZ54">
        <f t="shared" si="114"/>
        <v>2</v>
      </c>
      <c r="BB54" s="4">
        <f t="shared" si="181"/>
        <v>0</v>
      </c>
      <c r="BC54">
        <f t="shared" si="182"/>
        <v>0</v>
      </c>
      <c r="BD54" s="4">
        <f t="shared" si="183"/>
        <v>20290.74812156416</v>
      </c>
      <c r="BE54" s="4">
        <f t="shared" ca="1" si="115"/>
        <v>17363.807705028532</v>
      </c>
      <c r="BF54" s="4">
        <f t="shared" si="116"/>
        <v>0</v>
      </c>
      <c r="BG54" s="4">
        <f t="shared" si="117"/>
        <v>9038.9801475123604</v>
      </c>
      <c r="BH54" s="4">
        <f t="shared" si="184"/>
        <v>0</v>
      </c>
      <c r="BI54" s="4">
        <f t="shared" ca="1" si="118"/>
        <v>46693.535974105056</v>
      </c>
      <c r="BJ54" s="4"/>
      <c r="BK54" s="4">
        <f t="shared" si="185"/>
        <v>63408.587879888</v>
      </c>
      <c r="BL54" s="4">
        <f t="shared" si="119"/>
        <v>0</v>
      </c>
      <c r="BM54" s="4">
        <f t="shared" si="120"/>
        <v>63408.587879888</v>
      </c>
      <c r="BN54" s="4">
        <v>2093.3806087240182</v>
      </c>
      <c r="BO54" s="4">
        <f t="shared" si="121"/>
        <v>65501.968488612016</v>
      </c>
      <c r="BP54" s="4">
        <f t="shared" ca="1" si="122"/>
        <v>-18808.43251450696</v>
      </c>
      <c r="BQ54" s="4"/>
      <c r="BR54" s="4">
        <v>0</v>
      </c>
      <c r="BS54" s="4">
        <f t="shared" ca="1" si="186"/>
        <v>0</v>
      </c>
      <c r="BT54" s="4">
        <f t="shared" ca="1" si="187"/>
        <v>300647.34835208353</v>
      </c>
      <c r="BU54" s="4">
        <f t="shared" ca="1" si="188"/>
        <v>18808.43251450696</v>
      </c>
      <c r="BV54" s="4">
        <f t="shared" si="189"/>
        <v>1</v>
      </c>
      <c r="BW54" s="4">
        <f t="shared" ca="1" si="190"/>
        <v>14626.664677638131</v>
      </c>
      <c r="BX54" s="4">
        <f t="shared" ca="1" si="191"/>
        <v>0</v>
      </c>
      <c r="BY54" s="4">
        <f t="shared" ca="1" si="192"/>
        <v>0</v>
      </c>
      <c r="BZ54" s="4">
        <f t="shared" ca="1" si="193"/>
        <v>4181.7678368688285</v>
      </c>
      <c r="CA54" s="4">
        <f t="shared" ca="1" si="30"/>
        <v>18808.43251450696</v>
      </c>
      <c r="CB54" s="4">
        <f t="shared" ca="1" si="154"/>
        <v>0</v>
      </c>
      <c r="CC54" s="4"/>
      <c r="CD54" s="4">
        <f t="shared" ca="1" si="194"/>
        <v>65501.968488612016</v>
      </c>
      <c r="CE54" s="4">
        <f t="shared" ca="1" si="123"/>
        <v>61320.200651743187</v>
      </c>
      <c r="CF54" s="16">
        <f t="shared" ca="1" si="195"/>
        <v>1</v>
      </c>
      <c r="CG54" s="4">
        <f t="shared" si="196"/>
        <v>0</v>
      </c>
      <c r="CH54" s="4" t="e">
        <f t="shared" ca="1" si="197"/>
        <v>#NAME?</v>
      </c>
      <c r="CI54" s="4" t="e">
        <f t="shared" ca="1" si="198"/>
        <v>#NAME?</v>
      </c>
      <c r="CJ54" s="4" t="e">
        <f t="shared" ca="1" si="124"/>
        <v>#NAME?</v>
      </c>
      <c r="CK54" s="4" t="e">
        <f t="shared" ca="1" si="199"/>
        <v>#NAME?</v>
      </c>
      <c r="CL54" s="4" t="e">
        <f t="shared" ca="1" si="200"/>
        <v>#NAME?</v>
      </c>
      <c r="CM54" s="16"/>
      <c r="CN54" s="4" t="e">
        <f t="shared" ca="1" si="201"/>
        <v>#NAME?</v>
      </c>
      <c r="CO54" s="4" t="e">
        <f t="shared" ca="1" si="202"/>
        <v>#NAME?</v>
      </c>
      <c r="CP54" s="4">
        <f t="shared" ca="1" si="271"/>
        <v>3280665.2820436265</v>
      </c>
      <c r="CQ54" s="4"/>
      <c r="CR54" s="4">
        <f t="shared" ca="1" si="203"/>
        <v>0</v>
      </c>
      <c r="CS54" s="4">
        <f t="shared" ca="1" si="204"/>
        <v>65630</v>
      </c>
      <c r="CT54" s="4">
        <f t="shared" ca="1" si="205"/>
        <v>0</v>
      </c>
      <c r="CU54" s="4"/>
      <c r="CV54" s="4">
        <f t="shared" ca="1" si="126"/>
        <v>0</v>
      </c>
      <c r="CW54" s="4">
        <f t="shared" ca="1" si="206"/>
        <v>0</v>
      </c>
      <c r="CX54" s="4">
        <f t="shared" ca="1" si="207"/>
        <v>0</v>
      </c>
      <c r="CY54" s="4">
        <f t="shared" ca="1" si="127"/>
        <v>0</v>
      </c>
      <c r="CZ54" s="4"/>
      <c r="DA54" s="4">
        <f t="shared" ca="1" si="208"/>
        <v>0</v>
      </c>
      <c r="DB54" s="4">
        <f t="shared" si="209"/>
        <v>0</v>
      </c>
      <c r="DC54" s="4">
        <f t="shared" ca="1" si="128"/>
        <v>0</v>
      </c>
      <c r="DD54" s="4">
        <f t="shared" ca="1" si="210"/>
        <v>0</v>
      </c>
      <c r="DE54" s="4">
        <f t="shared" ca="1" si="211"/>
        <v>0</v>
      </c>
      <c r="DF54" s="4">
        <f t="shared" ca="1" si="129"/>
        <v>0</v>
      </c>
      <c r="DG54" s="4">
        <f t="shared" ca="1" si="130"/>
        <v>0</v>
      </c>
      <c r="DH54" s="4">
        <f t="shared" ca="1" si="212"/>
        <v>0</v>
      </c>
      <c r="DI54" s="4"/>
      <c r="DJ54" s="4">
        <f t="shared" ca="1" si="213"/>
        <v>0</v>
      </c>
      <c r="DK54" s="4">
        <f t="shared" ca="1" si="214"/>
        <v>14000</v>
      </c>
      <c r="DL54" s="4">
        <f t="shared" ca="1" si="215"/>
        <v>14000</v>
      </c>
      <c r="DM54" s="4">
        <f t="shared" ca="1" si="216"/>
        <v>300647.34835208353</v>
      </c>
      <c r="DN54" s="4">
        <f t="shared" ca="1" si="217"/>
        <v>0</v>
      </c>
      <c r="DO54" s="4">
        <f t="shared" ca="1" si="55"/>
        <v>300647.34835208353</v>
      </c>
      <c r="DP54" s="4"/>
      <c r="DQ54" s="4">
        <f t="shared" ca="1" si="56"/>
        <v>0</v>
      </c>
      <c r="DR54" s="4"/>
      <c r="DS54" s="4">
        <f t="shared" si="131"/>
        <v>0</v>
      </c>
      <c r="DT54" s="4">
        <f t="shared" ca="1" si="274"/>
        <v>0</v>
      </c>
      <c r="DU54" s="4">
        <f t="shared" si="218"/>
        <v>0</v>
      </c>
      <c r="DV54" s="4"/>
      <c r="DW54" s="4">
        <f t="shared" ca="1" si="265"/>
        <v>2107708.8713605767</v>
      </c>
      <c r="DX54" s="4">
        <f t="shared" ca="1" si="219"/>
        <v>0</v>
      </c>
      <c r="DY54" s="4">
        <f t="shared" ca="1" si="133"/>
        <v>105385.44356802884</v>
      </c>
      <c r="DZ54" s="4">
        <f t="shared" ca="1" si="220"/>
        <v>14626.664677638131</v>
      </c>
      <c r="EA54" s="4">
        <f t="shared" ca="1" si="221"/>
        <v>0</v>
      </c>
      <c r="EB54" s="4">
        <f t="shared" ca="1" si="222"/>
        <v>2213094.3149286057</v>
      </c>
      <c r="EC54" s="4">
        <f t="shared" si="223"/>
        <v>1</v>
      </c>
      <c r="ED54" s="4"/>
      <c r="EE54" s="4">
        <f t="shared" ca="1" si="266"/>
        <v>570361.80952193157</v>
      </c>
      <c r="EF54" s="4">
        <f t="shared" ca="1" si="224"/>
        <v>0</v>
      </c>
      <c r="EG54" s="4">
        <f t="shared" ca="1" si="135"/>
        <v>28518.090476096579</v>
      </c>
      <c r="EH54" s="4">
        <f t="shared" ca="1" si="225"/>
        <v>0</v>
      </c>
      <c r="EI54" s="4">
        <f t="shared" ca="1" si="226"/>
        <v>0</v>
      </c>
      <c r="EJ54" s="4">
        <f t="shared" ca="1" si="227"/>
        <v>0</v>
      </c>
      <c r="EK54" s="4">
        <f t="shared" si="228"/>
        <v>1</v>
      </c>
      <c r="EL54" s="4">
        <f t="shared" si="229"/>
        <v>0</v>
      </c>
      <c r="EM54" s="4"/>
      <c r="EN54" s="4">
        <f t="shared" ca="1" si="267"/>
        <v>602594.60116111801</v>
      </c>
      <c r="EO54" s="4">
        <f t="shared" ca="1" si="230"/>
        <v>0</v>
      </c>
      <c r="EP54" s="4">
        <f t="shared" ca="1" si="137"/>
        <v>30129.730058055902</v>
      </c>
      <c r="EQ54" s="4">
        <f t="shared" ca="1" si="231"/>
        <v>4181.7678368688285</v>
      </c>
      <c r="ER54" s="4">
        <v>0</v>
      </c>
      <c r="ES54" s="4">
        <f t="shared" ca="1" si="138"/>
        <v>632724.33121917397</v>
      </c>
      <c r="ET54" s="4"/>
      <c r="EU54" s="4">
        <f t="shared" ca="1" si="268"/>
        <v>0</v>
      </c>
      <c r="EV54" s="4">
        <f t="shared" ca="1" si="232"/>
        <v>0</v>
      </c>
      <c r="EW54" s="4">
        <f t="shared" ca="1" si="140"/>
        <v>0</v>
      </c>
      <c r="EX54" s="4">
        <f t="shared" ca="1" si="233"/>
        <v>0</v>
      </c>
      <c r="EY54" s="4">
        <v>0</v>
      </c>
      <c r="EZ54" s="4">
        <f t="shared" ca="1" si="141"/>
        <v>0</v>
      </c>
      <c r="FA54" s="4">
        <f t="shared" ca="1" si="269"/>
        <v>0</v>
      </c>
      <c r="FB54" s="1">
        <f t="shared" ca="1" si="74"/>
        <v>0</v>
      </c>
      <c r="FC54" s="4">
        <f t="shared" ca="1" si="143"/>
        <v>0</v>
      </c>
      <c r="FD54" s="4">
        <f t="shared" ca="1" si="144"/>
        <v>0</v>
      </c>
      <c r="FE54" s="4">
        <f t="shared" ca="1" si="234"/>
        <v>0</v>
      </c>
      <c r="FF54" s="4">
        <f t="shared" ca="1" si="235"/>
        <v>0</v>
      </c>
      <c r="FG54" s="4">
        <f t="shared" ca="1" si="236"/>
        <v>0</v>
      </c>
      <c r="FH54" s="17">
        <f t="shared" ca="1" si="237"/>
        <v>0</v>
      </c>
      <c r="FI54" s="4">
        <f t="shared" ca="1" si="238"/>
        <v>0</v>
      </c>
      <c r="FJ54" s="4"/>
      <c r="FK54" s="4">
        <f t="shared" ca="1" si="239"/>
        <v>2845818.6461477797</v>
      </c>
      <c r="FL54" s="4"/>
      <c r="FM54" s="4">
        <v>0</v>
      </c>
      <c r="FN54" s="4">
        <v>0</v>
      </c>
      <c r="FO54" s="4">
        <v>0</v>
      </c>
      <c r="FP54" s="4">
        <v>0</v>
      </c>
      <c r="FQ54" s="4">
        <v>0</v>
      </c>
      <c r="FR54" s="4">
        <v>0</v>
      </c>
      <c r="FS54" s="4">
        <f t="shared" si="240"/>
        <v>0</v>
      </c>
      <c r="FT54" s="4">
        <f t="shared" ca="1" si="241"/>
        <v>0</v>
      </c>
      <c r="FU54" s="4"/>
      <c r="FV54" s="3">
        <f t="shared" si="242"/>
        <v>0.39426836073618859</v>
      </c>
      <c r="FW54" s="3">
        <f t="shared" si="243"/>
        <v>0.39426836073618859</v>
      </c>
      <c r="FX54" s="4">
        <f t="shared" si="145"/>
        <v>2064</v>
      </c>
      <c r="FY54" s="4">
        <f t="shared" si="244"/>
        <v>0</v>
      </c>
      <c r="FZ54" s="4">
        <f t="shared" si="245"/>
        <v>7.9999999999999991</v>
      </c>
      <c r="GA54" s="4">
        <f t="shared" ca="1" si="246"/>
        <v>6.8460000000000001</v>
      </c>
      <c r="GB54" s="4">
        <f t="shared" si="247"/>
        <v>3.5637838854866506</v>
      </c>
      <c r="GC54" s="4">
        <f t="shared" ca="1" si="248"/>
        <v>5.766831105490299</v>
      </c>
      <c r="GD54" s="4">
        <f t="shared" ca="1" si="249"/>
        <v>0</v>
      </c>
      <c r="GE54" s="4">
        <f t="shared" ca="1" si="250"/>
        <v>0</v>
      </c>
      <c r="GF54" s="4">
        <f t="shared" ca="1" si="251"/>
        <v>1.6487387500215902</v>
      </c>
      <c r="GG54" s="18" t="e">
        <f t="shared" ca="1" si="252"/>
        <v>#NAME?</v>
      </c>
      <c r="GH54" s="18" t="e">
        <f t="shared" ca="1" si="253"/>
        <v>#NAME?</v>
      </c>
      <c r="GI54" s="4"/>
      <c r="GJ54" s="4">
        <f t="shared" si="254"/>
        <v>2064</v>
      </c>
      <c r="GK54" s="4">
        <f t="shared" ca="1" si="255"/>
        <v>831.00292162045673</v>
      </c>
      <c r="GL54" s="4">
        <f t="shared" ca="1" si="256"/>
        <v>224.87561566673821</v>
      </c>
      <c r="GM54" s="4">
        <f t="shared" ca="1" si="257"/>
        <v>237.58398558827136</v>
      </c>
      <c r="GN54" s="4">
        <f t="shared" ca="1" si="258"/>
        <v>0</v>
      </c>
      <c r="GO54" s="4"/>
      <c r="GP54" s="3">
        <f t="shared" ca="1" si="146"/>
        <v>0.77766526617019105</v>
      </c>
      <c r="GQ54" s="3">
        <f t="shared" ca="1" si="259"/>
        <v>0</v>
      </c>
      <c r="GR54" s="3">
        <f t="shared" ca="1" si="260"/>
        <v>0</v>
      </c>
      <c r="GS54" s="3">
        <f t="shared" ca="1" si="261"/>
        <v>0.22233473382980898</v>
      </c>
      <c r="GT54" s="3">
        <f t="array" aca="1" ref="GT54" ca="1">SUM(GP54:GS54*$GU$6:$GX$6)</f>
        <v>1</v>
      </c>
      <c r="GU54" s="3">
        <f t="shared" ca="1" si="147"/>
        <v>0.77766526617019105</v>
      </c>
      <c r="GV54" s="3">
        <f t="shared" ca="1" si="148"/>
        <v>0</v>
      </c>
      <c r="GW54" s="3">
        <f t="shared" ca="1" si="149"/>
        <v>0</v>
      </c>
      <c r="GX54" s="3">
        <f t="shared" ca="1" si="150"/>
        <v>0.22233473382980898</v>
      </c>
      <c r="GY54" s="11"/>
      <c r="GZ54" s="27">
        <v>96</v>
      </c>
      <c r="HA54" s="30">
        <v>0.2</v>
      </c>
      <c r="HB54" s="29">
        <f t="shared" ca="1" si="151"/>
        <v>0</v>
      </c>
      <c r="HC54" s="29"/>
      <c r="HD54" s="29"/>
      <c r="HE54" s="29"/>
      <c r="HG54" s="27">
        <v>94</v>
      </c>
      <c r="HH54" s="30">
        <v>0.18790000000000001</v>
      </c>
      <c r="HJ54">
        <f t="shared" si="153"/>
        <v>2057</v>
      </c>
      <c r="HK54" s="28">
        <f t="shared" si="163"/>
        <v>57140</v>
      </c>
      <c r="HL54" s="27">
        <f t="shared" si="155"/>
        <v>12500</v>
      </c>
      <c r="HM54" s="28">
        <f t="shared" si="156"/>
        <v>12387.102512879328</v>
      </c>
      <c r="HO54" t="s">
        <v>659</v>
      </c>
      <c r="HQ54" s="27">
        <v>3</v>
      </c>
      <c r="HR54" s="27">
        <v>1</v>
      </c>
      <c r="HS54" s="27">
        <v>3</v>
      </c>
      <c r="HT54" s="27">
        <v>2</v>
      </c>
      <c r="HU54" s="27">
        <v>1</v>
      </c>
      <c r="HV54" s="27">
        <v>3</v>
      </c>
      <c r="HW54" s="27">
        <v>1</v>
      </c>
      <c r="HX54" s="27">
        <v>2</v>
      </c>
      <c r="HY54" s="27">
        <v>1</v>
      </c>
      <c r="HZ54" s="27">
        <v>1</v>
      </c>
      <c r="IA54" s="27">
        <v>2</v>
      </c>
      <c r="IB54" s="27">
        <v>3</v>
      </c>
      <c r="IC54" s="27">
        <v>3</v>
      </c>
      <c r="ID54" s="27">
        <v>3</v>
      </c>
      <c r="IE54" s="27">
        <v>3</v>
      </c>
      <c r="IF54" s="27">
        <v>3</v>
      </c>
      <c r="IG54" s="27">
        <v>3</v>
      </c>
    </row>
    <row r="55" spans="1:241" x14ac:dyDescent="0.25">
      <c r="A55" s="15" t="s">
        <v>357</v>
      </c>
      <c r="D55">
        <f t="shared" si="106"/>
        <v>2065</v>
      </c>
      <c r="E55">
        <f t="shared" si="106"/>
        <v>70</v>
      </c>
      <c r="F55" s="8"/>
      <c r="G55" s="8"/>
      <c r="H55" s="8"/>
      <c r="I55" s="8"/>
      <c r="J55" s="92"/>
      <c r="K55" s="91"/>
      <c r="L55" s="91"/>
      <c r="N55" s="93">
        <f t="shared" si="107"/>
        <v>0.05</v>
      </c>
      <c r="O55" s="23">
        <f t="shared" si="108"/>
        <v>0</v>
      </c>
      <c r="P55" s="23">
        <f t="shared" si="109"/>
        <v>0.4</v>
      </c>
      <c r="Q55" s="4">
        <f t="shared" si="164"/>
        <v>0</v>
      </c>
      <c r="R55" s="4">
        <f t="shared" si="263"/>
        <v>0</v>
      </c>
      <c r="S55" s="4">
        <f t="shared" si="165"/>
        <v>0</v>
      </c>
      <c r="T55" s="4">
        <f t="shared" ca="1" si="166"/>
        <v>0</v>
      </c>
      <c r="V55" s="18" t="e">
        <f t="shared" ca="1" si="167"/>
        <v>#NAME?</v>
      </c>
      <c r="W55" s="18" t="e">
        <f t="shared" ca="1" si="168"/>
        <v>#NAME?</v>
      </c>
      <c r="X55" s="18" t="e">
        <f t="shared" ca="1" si="169"/>
        <v>#NAME?</v>
      </c>
      <c r="Y55" s="18">
        <f t="shared" ca="1" si="170"/>
        <v>-5.8367168619719871</v>
      </c>
      <c r="Z55" s="18">
        <f t="shared" ca="1" si="171"/>
        <v>0</v>
      </c>
      <c r="AA55" s="18">
        <f t="shared" ca="1" si="172"/>
        <v>-1.6687191088492026</v>
      </c>
      <c r="AB55" s="18">
        <f t="shared" ca="1" si="173"/>
        <v>0</v>
      </c>
      <c r="AC55" s="18">
        <f t="shared" ca="1" si="174"/>
        <v>849.79042803528387</v>
      </c>
      <c r="AD55" s="18">
        <f t="shared" ca="1" si="175"/>
        <v>231.4896043628188</v>
      </c>
      <c r="AE55" s="18">
        <f t="shared" ca="1" si="176"/>
        <v>242.95533933104252</v>
      </c>
      <c r="AF55" s="18">
        <f t="shared" ca="1" si="177"/>
        <v>0</v>
      </c>
      <c r="AG55" s="18">
        <f t="shared" ca="1" si="178"/>
        <v>1324.2353717291453</v>
      </c>
      <c r="AI55">
        <f>Person1!E55</f>
        <v>70</v>
      </c>
      <c r="AJ55">
        <f>Person1!AZ55</f>
        <v>2</v>
      </c>
      <c r="AK55">
        <f>IF(AZ55&lt;&gt;3,Person1!FM55,0)</f>
        <v>0</v>
      </c>
      <c r="AL55" s="4">
        <f ca="1">IF($AZ55&lt;&gt;3,Person1!FN55+Person1!FT55,0)</f>
        <v>0</v>
      </c>
      <c r="AM55">
        <f>IF($AZ55&lt;&gt;3,Person1!FO55,0)</f>
        <v>0</v>
      </c>
      <c r="AN55">
        <f>IF($AZ55&lt;&gt;3,Person1!FP55,0)</f>
        <v>0</v>
      </c>
      <c r="AO55">
        <f>IF($AZ55&lt;&gt;3,Person1!FQ55,0)</f>
        <v>0</v>
      </c>
      <c r="AP55">
        <f>IF($AZ55&lt;&gt;3,Person1!FR55,0)</f>
        <v>0</v>
      </c>
      <c r="AQ55" s="4">
        <f t="shared" si="179"/>
        <v>0</v>
      </c>
      <c r="AR55" s="4">
        <f>Person1!FS55</f>
        <v>8970.0395900661206</v>
      </c>
      <c r="AS55" s="4">
        <f>$B$41*MAX(0,CHOOSE($AZ55,0,IF(AND(Person1!AW55&gt;=Person1!$B$36,AV55&gt;=$B$93),Person1!$B$35*(1+Person1!$B$37)^(Person1!$B$36-Person1!$B$11)*(1+Person1!$B$38)^(Person1!AW55-Person1!$B$36)-CHOOSE(Person1!$B$39+1,0,BD55,BE55,BD55+BE55),0),0,0))</f>
        <v>0</v>
      </c>
      <c r="AT55" s="4">
        <f t="shared" si="180"/>
        <v>0</v>
      </c>
      <c r="AV55">
        <f t="shared" si="264"/>
        <v>2065</v>
      </c>
      <c r="AW55">
        <f t="shared" si="264"/>
        <v>70</v>
      </c>
      <c r="AX55">
        <f t="shared" si="112"/>
        <v>2.5870703854994304</v>
      </c>
      <c r="AY55">
        <f t="shared" si="113"/>
        <v>0.38653760856489083</v>
      </c>
      <c r="AZ55">
        <f t="shared" si="114"/>
        <v>2</v>
      </c>
      <c r="BB55" s="4">
        <f t="shared" si="181"/>
        <v>0</v>
      </c>
      <c r="BC55">
        <f t="shared" si="182"/>
        <v>0</v>
      </c>
      <c r="BD55" s="4">
        <f t="shared" si="183"/>
        <v>20696.563083995443</v>
      </c>
      <c r="BE55" s="4">
        <f t="shared" ca="1" si="115"/>
        <v>17711.083859129099</v>
      </c>
      <c r="BF55" s="4">
        <f t="shared" si="116"/>
        <v>0</v>
      </c>
      <c r="BG55" s="4">
        <f t="shared" si="117"/>
        <v>8970.0395900661206</v>
      </c>
      <c r="BH55" s="4">
        <f t="shared" si="184"/>
        <v>0</v>
      </c>
      <c r="BI55" s="4">
        <f t="shared" ca="1" si="118"/>
        <v>47377.686533190659</v>
      </c>
      <c r="BJ55" s="4"/>
      <c r="BK55" s="4">
        <f t="shared" si="185"/>
        <v>64676.75963748576</v>
      </c>
      <c r="BL55" s="4">
        <f t="shared" si="119"/>
        <v>0</v>
      </c>
      <c r="BM55" s="4">
        <f t="shared" si="120"/>
        <v>64676.75963748576</v>
      </c>
      <c r="BN55" s="4">
        <v>2118.0180260785692</v>
      </c>
      <c r="BO55" s="4">
        <f t="shared" si="121"/>
        <v>66794.777663564324</v>
      </c>
      <c r="BP55" s="4">
        <f t="shared" ca="1" si="122"/>
        <v>-19417.091130373665</v>
      </c>
      <c r="BQ55" s="4"/>
      <c r="BR55" s="4">
        <v>0</v>
      </c>
      <c r="BS55" s="4">
        <f t="shared" ca="1" si="186"/>
        <v>0</v>
      </c>
      <c r="BT55" s="4">
        <f t="shared" ca="1" si="187"/>
        <v>319329.11618895235</v>
      </c>
      <c r="BU55" s="4">
        <f t="shared" ca="1" si="188"/>
        <v>19417.091130373665</v>
      </c>
      <c r="BV55" s="4">
        <f t="shared" si="189"/>
        <v>1</v>
      </c>
      <c r="BW55" s="4">
        <f t="shared" ca="1" si="190"/>
        <v>15099.997342152892</v>
      </c>
      <c r="BX55" s="4">
        <f t="shared" ca="1" si="191"/>
        <v>0</v>
      </c>
      <c r="BY55" s="4">
        <f t="shared" ca="1" si="192"/>
        <v>0</v>
      </c>
      <c r="BZ55" s="4">
        <f t="shared" ca="1" si="193"/>
        <v>4317.0937882207727</v>
      </c>
      <c r="CA55" s="4">
        <f t="shared" ca="1" si="30"/>
        <v>19417.091130373665</v>
      </c>
      <c r="CB55" s="4">
        <f t="shared" ca="1" si="154"/>
        <v>0</v>
      </c>
      <c r="CC55" s="4"/>
      <c r="CD55" s="4">
        <f t="shared" ca="1" si="194"/>
        <v>66794.777663564324</v>
      </c>
      <c r="CE55" s="4">
        <f t="shared" ca="1" si="123"/>
        <v>62477.683875343551</v>
      </c>
      <c r="CF55" s="16">
        <f t="shared" ca="1" si="195"/>
        <v>1</v>
      </c>
      <c r="CG55" s="4">
        <f t="shared" si="196"/>
        <v>0</v>
      </c>
      <c r="CH55" s="4" t="e">
        <f t="shared" ca="1" si="197"/>
        <v>#NAME?</v>
      </c>
      <c r="CI55" s="4" t="e">
        <f t="shared" ca="1" si="198"/>
        <v>#NAME?</v>
      </c>
      <c r="CJ55" s="4" t="e">
        <f t="shared" ca="1" si="124"/>
        <v>#NAME?</v>
      </c>
      <c r="CK55" s="4" t="e">
        <f t="shared" ca="1" si="199"/>
        <v>#NAME?</v>
      </c>
      <c r="CL55" s="4" t="e">
        <f t="shared" ca="1" si="200"/>
        <v>#NAME?</v>
      </c>
      <c r="CM55" s="16"/>
      <c r="CN55" s="4" t="e">
        <f t="shared" ca="1" si="201"/>
        <v>#NAME?</v>
      </c>
      <c r="CO55" s="4" t="e">
        <f t="shared" ca="1" si="202"/>
        <v>#NAME?</v>
      </c>
      <c r="CP55" s="4">
        <f t="shared" ca="1" si="271"/>
        <v>3425890.1136313011</v>
      </c>
      <c r="CQ55" s="4"/>
      <c r="CR55" s="4">
        <f t="shared" ca="1" si="203"/>
        <v>0</v>
      </c>
      <c r="CS55" s="4">
        <f t="shared" ca="1" si="204"/>
        <v>66950</v>
      </c>
      <c r="CT55" s="4">
        <f t="shared" ca="1" si="205"/>
        <v>0</v>
      </c>
      <c r="CU55" s="4"/>
      <c r="CV55" s="4">
        <f t="shared" ca="1" si="126"/>
        <v>0</v>
      </c>
      <c r="CW55" s="4">
        <f t="shared" ca="1" si="206"/>
        <v>0</v>
      </c>
      <c r="CX55" s="4">
        <f t="shared" ca="1" si="207"/>
        <v>0</v>
      </c>
      <c r="CY55" s="4">
        <f t="shared" ca="1" si="127"/>
        <v>0</v>
      </c>
      <c r="CZ55" s="4"/>
      <c r="DA55" s="4">
        <f t="shared" ca="1" si="208"/>
        <v>0</v>
      </c>
      <c r="DB55" s="4">
        <f t="shared" si="209"/>
        <v>0</v>
      </c>
      <c r="DC55" s="4">
        <f t="shared" ca="1" si="128"/>
        <v>0</v>
      </c>
      <c r="DD55" s="4">
        <f t="shared" ca="1" si="210"/>
        <v>0</v>
      </c>
      <c r="DE55" s="4">
        <f t="shared" ca="1" si="211"/>
        <v>0</v>
      </c>
      <c r="DF55" s="4">
        <f t="shared" ca="1" si="129"/>
        <v>0</v>
      </c>
      <c r="DG55" s="4">
        <f t="shared" ca="1" si="130"/>
        <v>0</v>
      </c>
      <c r="DH55" s="4">
        <f t="shared" ca="1" si="212"/>
        <v>0</v>
      </c>
      <c r="DI55" s="4"/>
      <c r="DJ55" s="4">
        <f t="shared" ca="1" si="213"/>
        <v>0</v>
      </c>
      <c r="DK55" s="4">
        <f t="shared" ca="1" si="214"/>
        <v>14500</v>
      </c>
      <c r="DL55" s="4">
        <f t="shared" ca="1" si="215"/>
        <v>14500</v>
      </c>
      <c r="DM55" s="4">
        <f t="shared" ca="1" si="216"/>
        <v>319329.11618895235</v>
      </c>
      <c r="DN55" s="4">
        <f t="shared" ca="1" si="217"/>
        <v>0</v>
      </c>
      <c r="DO55" s="4">
        <f t="shared" ca="1" si="55"/>
        <v>319329.11618895235</v>
      </c>
      <c r="DP55" s="4"/>
      <c r="DQ55" s="4">
        <f t="shared" ca="1" si="56"/>
        <v>0</v>
      </c>
      <c r="DR55" s="4"/>
      <c r="DS55" s="4">
        <f t="shared" si="131"/>
        <v>0</v>
      </c>
      <c r="DT55" s="4">
        <f t="shared" ca="1" si="274"/>
        <v>0</v>
      </c>
      <c r="DU55" s="4">
        <f t="shared" si="218"/>
        <v>0</v>
      </c>
      <c r="DV55" s="4"/>
      <c r="DW55" s="4">
        <f t="shared" ca="1" si="265"/>
        <v>2198467.6502509676</v>
      </c>
      <c r="DX55" s="4">
        <f t="shared" ca="1" si="219"/>
        <v>0</v>
      </c>
      <c r="DY55" s="4">
        <f t="shared" ca="1" si="133"/>
        <v>109923.38251254839</v>
      </c>
      <c r="DZ55" s="4">
        <f t="shared" ca="1" si="220"/>
        <v>15099.997342152892</v>
      </c>
      <c r="EA55" s="4">
        <f t="shared" ca="1" si="221"/>
        <v>0</v>
      </c>
      <c r="EB55" s="4">
        <f t="shared" ca="1" si="222"/>
        <v>2308391.0327635161</v>
      </c>
      <c r="EC55" s="4">
        <f t="shared" si="223"/>
        <v>1</v>
      </c>
      <c r="ED55" s="4"/>
      <c r="EE55" s="4">
        <f t="shared" ca="1" si="266"/>
        <v>598879.89999802818</v>
      </c>
      <c r="EF55" s="4">
        <f t="shared" ca="1" si="224"/>
        <v>0</v>
      </c>
      <c r="EG55" s="4">
        <f t="shared" ca="1" si="135"/>
        <v>29943.99499990141</v>
      </c>
      <c r="EH55" s="4">
        <f t="shared" ca="1" si="225"/>
        <v>0</v>
      </c>
      <c r="EI55" s="4">
        <f t="shared" ca="1" si="226"/>
        <v>0</v>
      </c>
      <c r="EJ55" s="4">
        <f t="shared" ca="1" si="227"/>
        <v>0</v>
      </c>
      <c r="EK55" s="4">
        <f t="shared" si="228"/>
        <v>1</v>
      </c>
      <c r="EL55" s="4">
        <f t="shared" si="229"/>
        <v>0</v>
      </c>
      <c r="EM55" s="4"/>
      <c r="EN55" s="4">
        <f t="shared" ca="1" si="267"/>
        <v>628542.56338230509</v>
      </c>
      <c r="EO55" s="4">
        <f t="shared" ca="1" si="230"/>
        <v>0</v>
      </c>
      <c r="EP55" s="4">
        <f t="shared" ca="1" si="137"/>
        <v>31427.128169115254</v>
      </c>
      <c r="EQ55" s="4">
        <f t="shared" ca="1" si="231"/>
        <v>4317.0937882207727</v>
      </c>
      <c r="ER55" s="4">
        <v>0</v>
      </c>
      <c r="ES55" s="4">
        <f t="shared" ca="1" si="138"/>
        <v>659969.69155142037</v>
      </c>
      <c r="ET55" s="4"/>
      <c r="EU55" s="4">
        <f t="shared" ca="1" si="268"/>
        <v>0</v>
      </c>
      <c r="EV55" s="4">
        <f t="shared" ca="1" si="232"/>
        <v>0</v>
      </c>
      <c r="EW55" s="4">
        <f t="shared" ca="1" si="140"/>
        <v>0</v>
      </c>
      <c r="EX55" s="4">
        <f t="shared" ca="1" si="233"/>
        <v>0</v>
      </c>
      <c r="EY55" s="4">
        <v>0</v>
      </c>
      <c r="EZ55" s="4">
        <f t="shared" ca="1" si="141"/>
        <v>0</v>
      </c>
      <c r="FA55" s="4">
        <f t="shared" ca="1" si="269"/>
        <v>0</v>
      </c>
      <c r="FB55" s="1">
        <f t="shared" ca="1" si="74"/>
        <v>0</v>
      </c>
      <c r="FC55" s="4">
        <f t="shared" ca="1" si="143"/>
        <v>0</v>
      </c>
      <c r="FD55" s="4">
        <f t="shared" ca="1" si="144"/>
        <v>0</v>
      </c>
      <c r="FE55" s="4">
        <f t="shared" ca="1" si="234"/>
        <v>0</v>
      </c>
      <c r="FF55" s="4">
        <f t="shared" ca="1" si="235"/>
        <v>0</v>
      </c>
      <c r="FG55" s="4">
        <f t="shared" ca="1" si="236"/>
        <v>0</v>
      </c>
      <c r="FH55" s="17">
        <f t="shared" ca="1" si="237"/>
        <v>0</v>
      </c>
      <c r="FI55" s="4">
        <f t="shared" ca="1" si="238"/>
        <v>0</v>
      </c>
      <c r="FJ55" s="4"/>
      <c r="FK55" s="4">
        <f t="shared" ca="1" si="239"/>
        <v>2968360.7243149364</v>
      </c>
      <c r="FL55" s="4"/>
      <c r="FM55" s="4">
        <v>0</v>
      </c>
      <c r="FN55" s="4">
        <v>0</v>
      </c>
      <c r="FO55" s="4">
        <v>0</v>
      </c>
      <c r="FP55" s="4">
        <v>0</v>
      </c>
      <c r="FQ55" s="4">
        <v>0</v>
      </c>
      <c r="FR55" s="4">
        <v>0</v>
      </c>
      <c r="FS55" s="4">
        <f t="shared" si="240"/>
        <v>0</v>
      </c>
      <c r="FT55" s="4">
        <f t="shared" ca="1" si="241"/>
        <v>0</v>
      </c>
      <c r="FU55" s="4"/>
      <c r="FV55" s="3">
        <f t="shared" si="242"/>
        <v>0.38653760856489083</v>
      </c>
      <c r="FW55" s="3">
        <f t="shared" si="243"/>
        <v>0.38653760856489083</v>
      </c>
      <c r="FX55" s="4">
        <f t="shared" si="145"/>
        <v>2065</v>
      </c>
      <c r="FY55" s="4">
        <f t="shared" si="244"/>
        <v>0</v>
      </c>
      <c r="FZ55" s="4">
        <f t="shared" si="245"/>
        <v>8</v>
      </c>
      <c r="GA55" s="4">
        <f t="shared" ca="1" si="246"/>
        <v>6.8460000000000001</v>
      </c>
      <c r="GB55" s="4">
        <f t="shared" si="247"/>
        <v>3.4672576518765519</v>
      </c>
      <c r="GC55" s="4">
        <f t="shared" ca="1" si="248"/>
        <v>5.8367168619719871</v>
      </c>
      <c r="GD55" s="4">
        <f t="shared" ca="1" si="249"/>
        <v>0</v>
      </c>
      <c r="GE55" s="4">
        <f t="shared" ca="1" si="250"/>
        <v>0</v>
      </c>
      <c r="GF55" s="4">
        <f t="shared" ca="1" si="251"/>
        <v>1.6687191088492026</v>
      </c>
      <c r="GG55" s="18" t="e">
        <f t="shared" ca="1" si="252"/>
        <v>#NAME?</v>
      </c>
      <c r="GH55" s="18" t="e">
        <f t="shared" ca="1" si="253"/>
        <v>#NAME?</v>
      </c>
      <c r="GI55" s="4"/>
      <c r="GJ55" s="4">
        <f t="shared" si="254"/>
        <v>2065</v>
      </c>
      <c r="GK55" s="4">
        <f t="shared" ca="1" si="255"/>
        <v>849.79042803528387</v>
      </c>
      <c r="GL55" s="4">
        <f t="shared" ca="1" si="256"/>
        <v>231.4896043628188</v>
      </c>
      <c r="GM55" s="4">
        <f t="shared" ca="1" si="257"/>
        <v>242.95533933104252</v>
      </c>
      <c r="GN55" s="4">
        <f t="shared" ca="1" si="258"/>
        <v>0</v>
      </c>
      <c r="GO55" s="4"/>
      <c r="GP55" s="3">
        <f t="shared" ca="1" si="146"/>
        <v>0.77766526617019105</v>
      </c>
      <c r="GQ55" s="3">
        <f t="shared" ca="1" si="259"/>
        <v>0</v>
      </c>
      <c r="GR55" s="3">
        <f t="shared" ca="1" si="260"/>
        <v>0</v>
      </c>
      <c r="GS55" s="3">
        <f t="shared" ca="1" si="261"/>
        <v>0.22233473382980898</v>
      </c>
      <c r="GT55" s="3">
        <f t="array" aca="1" ref="GT55" ca="1">SUM(GP55:GS55*$GU$6:$GX$6)</f>
        <v>1</v>
      </c>
      <c r="GU55" s="3">
        <f t="shared" ca="1" si="147"/>
        <v>0.77766526617019105</v>
      </c>
      <c r="GV55" s="3">
        <f t="shared" ca="1" si="148"/>
        <v>0</v>
      </c>
      <c r="GW55" s="3">
        <f t="shared" ca="1" si="149"/>
        <v>0</v>
      </c>
      <c r="GX55" s="3">
        <f t="shared" ca="1" si="150"/>
        <v>0.22233473382980898</v>
      </c>
      <c r="GY55" s="11"/>
      <c r="GZ55" s="27">
        <v>97</v>
      </c>
      <c r="HA55" s="30">
        <v>0.2</v>
      </c>
      <c r="HB55" s="29">
        <f t="shared" ca="1" si="151"/>
        <v>0</v>
      </c>
      <c r="HC55" s="29"/>
      <c r="HD55" s="29"/>
      <c r="HE55" s="29"/>
      <c r="HG55" s="27">
        <v>95</v>
      </c>
      <c r="HH55" s="30">
        <v>0.2</v>
      </c>
      <c r="HJ55">
        <f t="shared" si="153"/>
        <v>2058</v>
      </c>
      <c r="HK55" s="28">
        <f t="shared" si="163"/>
        <v>58280</v>
      </c>
      <c r="HL55" s="27">
        <f t="shared" si="155"/>
        <v>12500</v>
      </c>
      <c r="HM55" s="28">
        <f t="shared" si="156"/>
        <v>12634.844563136914</v>
      </c>
      <c r="HO55" t="s">
        <v>220</v>
      </c>
    </row>
    <row r="56" spans="1:241" x14ac:dyDescent="0.25">
      <c r="A56" t="s">
        <v>306</v>
      </c>
      <c r="B56" s="62">
        <f>Inputs_Summary!AK53</f>
        <v>1</v>
      </c>
      <c r="D56">
        <f t="shared" si="106"/>
        <v>2066</v>
      </c>
      <c r="E56">
        <f t="shared" si="106"/>
        <v>71</v>
      </c>
      <c r="F56" s="8"/>
      <c r="G56" s="8"/>
      <c r="H56" s="8"/>
      <c r="I56" s="8"/>
      <c r="J56" s="92"/>
      <c r="K56" s="91"/>
      <c r="L56" s="91"/>
      <c r="N56" s="93">
        <f t="shared" si="107"/>
        <v>0.05</v>
      </c>
      <c r="O56" s="23">
        <f t="shared" si="108"/>
        <v>0</v>
      </c>
      <c r="P56" s="23">
        <f t="shared" si="109"/>
        <v>0.4</v>
      </c>
      <c r="Q56" s="4">
        <f t="shared" si="164"/>
        <v>0</v>
      </c>
      <c r="R56" s="4">
        <f t="shared" si="263"/>
        <v>0</v>
      </c>
      <c r="S56" s="4">
        <f t="shared" si="165"/>
        <v>0</v>
      </c>
      <c r="T56" s="4">
        <f t="shared" ca="1" si="166"/>
        <v>0</v>
      </c>
      <c r="V56" s="18" t="e">
        <f t="shared" ca="1" si="167"/>
        <v>#NAME?</v>
      </c>
      <c r="W56" s="18" t="e">
        <f t="shared" ca="1" si="168"/>
        <v>#NAME?</v>
      </c>
      <c r="X56" s="18" t="e">
        <f t="shared" ca="1" si="169"/>
        <v>#NAME?</v>
      </c>
      <c r="Y56" s="18" t="e">
        <f t="shared" ca="1" si="170"/>
        <v>#NAME?</v>
      </c>
      <c r="Z56" s="18" t="e">
        <f t="shared" ca="1" si="171"/>
        <v>#NAME?</v>
      </c>
      <c r="AA56" s="18" t="e">
        <f t="shared" ca="1" si="172"/>
        <v>#NAME?</v>
      </c>
      <c r="AB56" s="18" t="e">
        <f t="shared" ca="1" si="173"/>
        <v>#NAME?</v>
      </c>
      <c r="AC56" s="18">
        <f t="shared" ca="1" si="174"/>
        <v>869.06199272066272</v>
      </c>
      <c r="AD56" s="18">
        <f t="shared" ca="1" si="175"/>
        <v>238.29812213819579</v>
      </c>
      <c r="AE56" s="18">
        <f t="shared" ca="1" si="176"/>
        <v>248.46508547916218</v>
      </c>
      <c r="AF56" s="18">
        <f t="shared" ca="1" si="177"/>
        <v>0</v>
      </c>
      <c r="AG56" s="18">
        <f t="shared" ca="1" si="178"/>
        <v>1355.8252003380207</v>
      </c>
      <c r="AI56">
        <f>Person1!E56</f>
        <v>71</v>
      </c>
      <c r="AJ56">
        <f>Person1!AZ56</f>
        <v>2</v>
      </c>
      <c r="AK56">
        <f>IF(AZ56&lt;&gt;3,Person1!FM56,0)</f>
        <v>0</v>
      </c>
      <c r="AL56" s="4">
        <f>IF($AZ56&lt;&gt;3,Person1!FN56+Person1!FT56,0)</f>
        <v>0</v>
      </c>
      <c r="AM56">
        <f>IF($AZ56&lt;&gt;3,Person1!FO56,0)</f>
        <v>0</v>
      </c>
      <c r="AN56">
        <f>IF($AZ56&lt;&gt;3,Person1!FP56,0)</f>
        <v>0</v>
      </c>
      <c r="AO56">
        <f>IF($AZ56&lt;&gt;3,Person1!FQ56,0)</f>
        <v>0</v>
      </c>
      <c r="AP56">
        <f>IF($AZ56&lt;&gt;3,Person1!FR56,0)</f>
        <v>0</v>
      </c>
      <c r="AQ56" s="4">
        <f t="shared" si="179"/>
        <v>0</v>
      </c>
      <c r="AR56" s="4">
        <f>Person1!FS56</f>
        <v>8898.4716206689736</v>
      </c>
      <c r="AS56" s="4">
        <f>$B$41*MAX(0,CHOOSE($AZ56,0,IF(AND(Person1!AW56&gt;=Person1!$B$36,AV56&gt;=$B$93),Person1!$B$35*(1+Person1!$B$37)^(Person1!$B$36-Person1!$B$11)*(1+Person1!$B$38)^(Person1!AW56-Person1!$B$36)-CHOOSE(Person1!$B$39+1,0,BD56,BE56,BD56+BE56),0),0,0))</f>
        <v>0</v>
      </c>
      <c r="AT56" s="4">
        <f t="shared" si="180"/>
        <v>0</v>
      </c>
      <c r="AV56">
        <f t="shared" ref="AV56:AW71" si="275">AV55+1</f>
        <v>2066</v>
      </c>
      <c r="AW56">
        <f t="shared" si="275"/>
        <v>71</v>
      </c>
      <c r="AX56">
        <f t="shared" si="112"/>
        <v>2.6388117932094191</v>
      </c>
      <c r="AY56">
        <f t="shared" si="113"/>
        <v>0.37895843976950078</v>
      </c>
      <c r="AZ56">
        <f t="shared" si="114"/>
        <v>2</v>
      </c>
      <c r="BB56" s="4">
        <f t="shared" si="181"/>
        <v>0</v>
      </c>
      <c r="BC56">
        <f t="shared" si="182"/>
        <v>0</v>
      </c>
      <c r="BD56" s="4">
        <f t="shared" si="183"/>
        <v>21110.494345675354</v>
      </c>
      <c r="BE56" s="4">
        <f t="shared" ca="1" si="115"/>
        <v>18065.305536311684</v>
      </c>
      <c r="BF56" s="4">
        <f t="shared" si="116"/>
        <v>0</v>
      </c>
      <c r="BG56" s="4">
        <f t="shared" si="117"/>
        <v>8898.4716206689736</v>
      </c>
      <c r="BH56" s="4">
        <f t="shared" si="184"/>
        <v>0</v>
      </c>
      <c r="BI56" s="4">
        <f t="shared" ca="1" si="118"/>
        <v>48074.271502656018</v>
      </c>
      <c r="BJ56" s="4"/>
      <c r="BK56" s="4">
        <f t="shared" si="185"/>
        <v>65970.294830235478</v>
      </c>
      <c r="BL56" s="4">
        <f t="shared" si="119"/>
        <v>0</v>
      </c>
      <c r="BM56" s="4">
        <f t="shared" si="120"/>
        <v>65970.294830235478</v>
      </c>
      <c r="BN56" s="4">
        <v>45519.063444168394</v>
      </c>
      <c r="BO56" s="4">
        <f t="shared" si="121"/>
        <v>111489.35827440387</v>
      </c>
      <c r="BP56" s="4">
        <f t="shared" ca="1" si="122"/>
        <v>-63415.086771747854</v>
      </c>
      <c r="BQ56" s="4"/>
      <c r="BR56" s="4">
        <v>0</v>
      </c>
      <c r="BS56" s="4">
        <f t="shared" ca="1" si="186"/>
        <v>0</v>
      </c>
      <c r="BT56" s="4">
        <f t="shared" ca="1" si="187"/>
        <v>338646.20997717313</v>
      </c>
      <c r="BU56" s="4">
        <f t="shared" ca="1" si="188"/>
        <v>63415.086771747854</v>
      </c>
      <c r="BV56" s="4">
        <f t="shared" si="189"/>
        <v>1</v>
      </c>
      <c r="BW56" s="4" t="e">
        <f t="shared" ca="1" si="190"/>
        <v>#NAME?</v>
      </c>
      <c r="BX56" s="4" t="e">
        <f t="shared" ca="1" si="191"/>
        <v>#NAME?</v>
      </c>
      <c r="BY56" s="4" t="e">
        <f t="shared" ca="1" si="192"/>
        <v>#NAME?</v>
      </c>
      <c r="BZ56" s="4" t="e">
        <f t="shared" ca="1" si="193"/>
        <v>#NAME?</v>
      </c>
      <c r="CA56" s="4" t="e">
        <f t="shared" ca="1" si="30"/>
        <v>#NAME?</v>
      </c>
      <c r="CB56" s="4" t="e">
        <f t="shared" ca="1" si="154"/>
        <v>#NAME?</v>
      </c>
      <c r="CC56" s="4"/>
      <c r="CD56" s="4" t="e">
        <f t="shared" ca="1" si="194"/>
        <v>#NAME?</v>
      </c>
      <c r="CE56" s="4" t="e">
        <f t="shared" ca="1" si="123"/>
        <v>#NAME?</v>
      </c>
      <c r="CF56" s="16" t="e">
        <f t="shared" ca="1" si="195"/>
        <v>#NAME?</v>
      </c>
      <c r="CG56" s="4">
        <f t="shared" si="196"/>
        <v>0</v>
      </c>
      <c r="CH56" s="4" t="e">
        <f t="shared" ca="1" si="197"/>
        <v>#NAME?</v>
      </c>
      <c r="CI56" s="4" t="e">
        <f t="shared" ca="1" si="198"/>
        <v>#NAME?</v>
      </c>
      <c r="CJ56" s="4" t="e">
        <f t="shared" ca="1" si="124"/>
        <v>#NAME?</v>
      </c>
      <c r="CK56" s="4" t="e">
        <f t="shared" ca="1" si="199"/>
        <v>#NAME?</v>
      </c>
      <c r="CL56" s="4" t="e">
        <f t="shared" ca="1" si="200"/>
        <v>#NAME?</v>
      </c>
      <c r="CM56" s="16"/>
      <c r="CN56" s="4" t="e">
        <f t="shared" ca="1" si="201"/>
        <v>#NAME?</v>
      </c>
      <c r="CO56" s="4" t="e">
        <f t="shared" ca="1" si="202"/>
        <v>#NAME?</v>
      </c>
      <c r="CP56" s="4">
        <f t="shared" ca="1" si="271"/>
        <v>3577767.5281824926</v>
      </c>
      <c r="CQ56" s="4"/>
      <c r="CR56" s="4" t="e">
        <f t="shared" ca="1" si="203"/>
        <v>#NAME?</v>
      </c>
      <c r="CS56" s="4">
        <f t="shared" ca="1" si="204"/>
        <v>68290</v>
      </c>
      <c r="CT56" s="4">
        <f t="shared" ca="1" si="205"/>
        <v>0</v>
      </c>
      <c r="CU56" s="4"/>
      <c r="CV56" s="4" t="e">
        <f t="shared" ca="1" si="126"/>
        <v>#NAME?</v>
      </c>
      <c r="CW56" s="4">
        <f t="shared" ca="1" si="206"/>
        <v>0</v>
      </c>
      <c r="CX56" s="4" t="e">
        <f t="shared" ca="1" si="207"/>
        <v>#NAME?</v>
      </c>
      <c r="CY56" s="4" t="e">
        <f t="shared" ca="1" si="127"/>
        <v>#NAME?</v>
      </c>
      <c r="CZ56" s="4"/>
      <c r="DA56" s="4" t="e">
        <f t="shared" ca="1" si="208"/>
        <v>#NAME?</v>
      </c>
      <c r="DB56" s="4">
        <f t="shared" si="209"/>
        <v>0</v>
      </c>
      <c r="DC56" s="4" t="e">
        <f t="shared" ca="1" si="128"/>
        <v>#NAME?</v>
      </c>
      <c r="DD56" s="4" t="e">
        <f t="shared" ca="1" si="210"/>
        <v>#NAME?</v>
      </c>
      <c r="DE56" s="4" t="e">
        <f t="shared" ca="1" si="211"/>
        <v>#NAME?</v>
      </c>
      <c r="DF56" s="4" t="e">
        <f t="shared" ca="1" si="129"/>
        <v>#NAME?</v>
      </c>
      <c r="DG56" s="4" t="e">
        <f t="shared" ca="1" si="130"/>
        <v>#NAME?</v>
      </c>
      <c r="DH56" s="4">
        <f t="shared" si="212"/>
        <v>0</v>
      </c>
      <c r="DI56" s="4"/>
      <c r="DJ56" s="4" t="e">
        <f t="shared" ca="1" si="213"/>
        <v>#NAME?</v>
      </c>
      <c r="DK56" s="4">
        <f t="shared" ca="1" si="214"/>
        <v>15000</v>
      </c>
      <c r="DL56" s="4">
        <f t="shared" ca="1" si="215"/>
        <v>15000</v>
      </c>
      <c r="DM56" s="4">
        <f t="shared" ca="1" si="216"/>
        <v>338646.20997717313</v>
      </c>
      <c r="DN56" s="4" t="e">
        <f t="shared" ca="1" si="217"/>
        <v>#NAME?</v>
      </c>
      <c r="DO56" s="4" t="e">
        <f t="shared" ca="1" si="55"/>
        <v>#NAME?</v>
      </c>
      <c r="DP56" s="4"/>
      <c r="DQ56" s="4" t="e">
        <f t="shared" ca="1" si="56"/>
        <v>#NAME?</v>
      </c>
      <c r="DR56" s="4"/>
      <c r="DS56" s="4">
        <f t="shared" si="131"/>
        <v>0</v>
      </c>
      <c r="DT56" s="4" t="e">
        <f t="shared" ca="1" si="274"/>
        <v>#NAME?</v>
      </c>
      <c r="DU56" s="4">
        <f t="shared" si="218"/>
        <v>0</v>
      </c>
      <c r="DV56" s="4"/>
      <c r="DW56" s="4">
        <f t="shared" ca="1" si="265"/>
        <v>2293291.0354213631</v>
      </c>
      <c r="DX56" s="4" t="e">
        <f t="shared" ca="1" si="219"/>
        <v>#NAME?</v>
      </c>
      <c r="DY56" s="4">
        <f t="shared" ca="1" si="133"/>
        <v>114664.55177106816</v>
      </c>
      <c r="DZ56" s="4" t="e">
        <f t="shared" ca="1" si="220"/>
        <v>#NAME?</v>
      </c>
      <c r="EA56" s="4" t="e">
        <f t="shared" ca="1" si="221"/>
        <v>#NAME?</v>
      </c>
      <c r="EB56" s="4">
        <f t="shared" ca="1" si="222"/>
        <v>2407955.5871924311</v>
      </c>
      <c r="EC56" s="4">
        <f t="shared" si="223"/>
        <v>2</v>
      </c>
      <c r="ED56" s="4"/>
      <c r="EE56" s="4">
        <f t="shared" ca="1" si="266"/>
        <v>628823.89499792957</v>
      </c>
      <c r="EF56" s="4" t="e">
        <f t="shared" ca="1" si="224"/>
        <v>#NAME?</v>
      </c>
      <c r="EG56" s="4">
        <f t="shared" ca="1" si="135"/>
        <v>31441.19474989648</v>
      </c>
      <c r="EH56" s="4" t="e">
        <f t="shared" ca="1" si="225"/>
        <v>#NAME?</v>
      </c>
      <c r="EI56" s="4" t="e">
        <f t="shared" ca="1" si="226"/>
        <v>#NAME?</v>
      </c>
      <c r="EJ56" s="4" t="e">
        <f t="shared" ca="1" si="227"/>
        <v>#NAME?</v>
      </c>
      <c r="EK56" s="4">
        <f t="shared" si="228"/>
        <v>2</v>
      </c>
      <c r="EL56" s="4">
        <f t="shared" ca="1" si="229"/>
        <v>314411.94749896479</v>
      </c>
      <c r="EM56" s="4"/>
      <c r="EN56" s="4">
        <f t="shared" ca="1" si="267"/>
        <v>655652.59776319959</v>
      </c>
      <c r="EO56" s="4" t="e">
        <f t="shared" ca="1" si="230"/>
        <v>#NAME?</v>
      </c>
      <c r="EP56" s="4">
        <f t="shared" ca="1" si="137"/>
        <v>32782.62988815998</v>
      </c>
      <c r="EQ56" s="4" t="e">
        <f t="shared" ca="1" si="231"/>
        <v>#NAME?</v>
      </c>
      <c r="ER56" s="4">
        <v>0</v>
      </c>
      <c r="ES56" s="4">
        <f t="shared" ca="1" si="138"/>
        <v>688435.22765135951</v>
      </c>
      <c r="ET56" s="4"/>
      <c r="EU56" s="4">
        <f t="shared" ca="1" si="268"/>
        <v>0</v>
      </c>
      <c r="EV56" s="4" t="e">
        <f t="shared" ca="1" si="232"/>
        <v>#NAME?</v>
      </c>
      <c r="EW56" s="4">
        <f t="shared" ca="1" si="140"/>
        <v>0</v>
      </c>
      <c r="EX56" s="4" t="e">
        <f t="shared" ca="1" si="233"/>
        <v>#NAME?</v>
      </c>
      <c r="EY56" s="4">
        <v>0</v>
      </c>
      <c r="EZ56" s="4">
        <f t="shared" ca="1" si="141"/>
        <v>0</v>
      </c>
      <c r="FA56" s="4">
        <f t="shared" ca="1" si="269"/>
        <v>0</v>
      </c>
      <c r="FB56" s="1">
        <f t="shared" ca="1" si="74"/>
        <v>0</v>
      </c>
      <c r="FC56" s="4">
        <f t="shared" ca="1" si="143"/>
        <v>0</v>
      </c>
      <c r="FD56" s="4">
        <f t="shared" ca="1" si="144"/>
        <v>0</v>
      </c>
      <c r="FE56" s="4">
        <f t="shared" ca="1" si="234"/>
        <v>0</v>
      </c>
      <c r="FF56" s="4">
        <f t="shared" ca="1" si="235"/>
        <v>0</v>
      </c>
      <c r="FG56" s="4">
        <f t="shared" ca="1" si="236"/>
        <v>0</v>
      </c>
      <c r="FH56" s="17" t="e">
        <f t="shared" ca="1" si="237"/>
        <v>#NAME?</v>
      </c>
      <c r="FI56" s="4" t="e">
        <f t="shared" ca="1" si="238"/>
        <v>#NAME?</v>
      </c>
      <c r="FJ56" s="4"/>
      <c r="FK56" s="4">
        <f t="shared" ca="1" si="239"/>
        <v>3756655.9045916167</v>
      </c>
      <c r="FL56" s="4"/>
      <c r="FM56" s="4">
        <v>0</v>
      </c>
      <c r="FN56" s="4">
        <v>0</v>
      </c>
      <c r="FO56" s="4">
        <v>0</v>
      </c>
      <c r="FP56" s="4">
        <v>0</v>
      </c>
      <c r="FQ56" s="4">
        <v>0</v>
      </c>
      <c r="FR56" s="4">
        <v>0</v>
      </c>
      <c r="FS56" s="4">
        <f t="shared" si="240"/>
        <v>0</v>
      </c>
      <c r="FT56" s="4">
        <f t="shared" si="241"/>
        <v>0</v>
      </c>
      <c r="FU56" s="4"/>
      <c r="FV56" s="3">
        <f t="shared" si="242"/>
        <v>0.37895843976950078</v>
      </c>
      <c r="FW56" s="3">
        <f t="shared" si="243"/>
        <v>0.37895843976950078</v>
      </c>
      <c r="FX56" s="4">
        <f t="shared" si="145"/>
        <v>2066</v>
      </c>
      <c r="FY56" s="4">
        <f t="shared" si="244"/>
        <v>0</v>
      </c>
      <c r="FZ56" s="4">
        <f t="shared" si="245"/>
        <v>8</v>
      </c>
      <c r="GA56" s="4">
        <f t="shared" ca="1" si="246"/>
        <v>6.8460000000000001</v>
      </c>
      <c r="GB56" s="4">
        <f t="shared" si="247"/>
        <v>3.3721509217018952</v>
      </c>
      <c r="GC56" s="4" t="e">
        <f t="shared" ca="1" si="248"/>
        <v>#NAME?</v>
      </c>
      <c r="GD56" s="4" t="e">
        <f t="shared" ca="1" si="249"/>
        <v>#NAME?</v>
      </c>
      <c r="GE56" s="4" t="e">
        <f t="shared" ca="1" si="250"/>
        <v>#NAME?</v>
      </c>
      <c r="GF56" s="4" t="e">
        <f t="shared" ca="1" si="251"/>
        <v>#NAME?</v>
      </c>
      <c r="GG56" s="18" t="e">
        <f t="shared" ca="1" si="252"/>
        <v>#NAME?</v>
      </c>
      <c r="GH56" s="18" t="e">
        <f t="shared" ca="1" si="253"/>
        <v>#NAME?</v>
      </c>
      <c r="GI56" s="4"/>
      <c r="GJ56" s="4">
        <f t="shared" si="254"/>
        <v>2066</v>
      </c>
      <c r="GK56" s="4">
        <f t="shared" ca="1" si="255"/>
        <v>869.06199272066272</v>
      </c>
      <c r="GL56" s="4">
        <f t="shared" ca="1" si="256"/>
        <v>238.29812213819579</v>
      </c>
      <c r="GM56" s="4">
        <f t="shared" ca="1" si="257"/>
        <v>248.46508547916218</v>
      </c>
      <c r="GN56" s="4">
        <f t="shared" ca="1" si="258"/>
        <v>0</v>
      </c>
      <c r="GO56" s="4"/>
      <c r="GP56" s="3">
        <f t="shared" ca="1" si="146"/>
        <v>0.64098380270848843</v>
      </c>
      <c r="GQ56" s="3">
        <f t="shared" ca="1" si="259"/>
        <v>0.17575873503367964</v>
      </c>
      <c r="GR56" s="3">
        <f t="shared" ca="1" si="260"/>
        <v>0</v>
      </c>
      <c r="GS56" s="3">
        <f t="shared" ca="1" si="261"/>
        <v>0.18325746225783188</v>
      </c>
      <c r="GT56" s="3">
        <f t="array" aca="1" ref="GT56" ca="1">SUM(GP56:GS56*$GU$6:$GX$6)</f>
        <v>1</v>
      </c>
      <c r="GU56" s="3">
        <f t="shared" ca="1" si="147"/>
        <v>0.64098380270848843</v>
      </c>
      <c r="GV56" s="3">
        <f t="shared" ca="1" si="148"/>
        <v>0.17575873503367964</v>
      </c>
      <c r="GW56" s="3">
        <f t="shared" ca="1" si="149"/>
        <v>0</v>
      </c>
      <c r="GX56" s="3">
        <f t="shared" ca="1" si="150"/>
        <v>0.18325746225783188</v>
      </c>
      <c r="GY56" s="11"/>
      <c r="GZ56" s="27">
        <v>98</v>
      </c>
      <c r="HA56" s="30">
        <v>0.2</v>
      </c>
      <c r="HB56" s="29">
        <f t="shared" ca="1" si="151"/>
        <v>0</v>
      </c>
      <c r="HC56" s="29"/>
      <c r="HD56" s="29"/>
      <c r="HE56" s="29"/>
      <c r="HG56" s="27">
        <v>96</v>
      </c>
      <c r="HH56" s="30">
        <v>0.2</v>
      </c>
      <c r="HJ56">
        <f t="shared" si="153"/>
        <v>2059</v>
      </c>
      <c r="HK56" s="28">
        <f t="shared" si="163"/>
        <v>59450</v>
      </c>
      <c r="HL56" s="27">
        <f t="shared" si="155"/>
        <v>13000</v>
      </c>
      <c r="HM56" s="28">
        <f t="shared" si="156"/>
        <v>12887.541454399652</v>
      </c>
      <c r="HO56" t="s">
        <v>221</v>
      </c>
      <c r="HQ56" s="27">
        <v>0.1502</v>
      </c>
      <c r="HR56" s="27">
        <v>5.3999999999999999E-2</v>
      </c>
      <c r="HS56" s="27">
        <v>0.105</v>
      </c>
      <c r="HT56" s="27">
        <v>8.8499999999999995E-2</v>
      </c>
      <c r="HU56" s="27">
        <v>0.12</v>
      </c>
      <c r="HV56" s="27">
        <v>0.11900000000000001</v>
      </c>
      <c r="HW56" s="27">
        <v>0.1</v>
      </c>
      <c r="HX56" s="27">
        <v>0.08</v>
      </c>
      <c r="HY56" s="27">
        <v>0.11</v>
      </c>
      <c r="HZ56" s="27">
        <v>0.1</v>
      </c>
      <c r="IA56" s="27">
        <v>0.1</v>
      </c>
      <c r="IB56" s="27">
        <v>0.15</v>
      </c>
      <c r="IC56" s="27">
        <v>0.115</v>
      </c>
      <c r="ID56" s="27">
        <v>5.5099999999999996E-2</v>
      </c>
      <c r="IE56" s="27">
        <v>0.1</v>
      </c>
      <c r="IF56" s="27">
        <v>0.1</v>
      </c>
      <c r="IG56" s="27">
        <v>0.1</v>
      </c>
    </row>
    <row r="57" spans="1:241" x14ac:dyDescent="0.25">
      <c r="A57" t="s">
        <v>305</v>
      </c>
      <c r="B57" s="62">
        <f>Inputs_Summary!AK54</f>
        <v>1</v>
      </c>
      <c r="D57">
        <f t="shared" si="106"/>
        <v>2067</v>
      </c>
      <c r="E57">
        <f t="shared" si="106"/>
        <v>72</v>
      </c>
      <c r="F57" s="8"/>
      <c r="G57" s="8"/>
      <c r="H57" s="8"/>
      <c r="I57" s="8"/>
      <c r="J57" s="92"/>
      <c r="K57" s="91"/>
      <c r="L57" s="91"/>
      <c r="N57" s="93">
        <f t="shared" si="107"/>
        <v>0.05</v>
      </c>
      <c r="O57" s="23">
        <f t="shared" si="108"/>
        <v>0</v>
      </c>
      <c r="P57" s="23">
        <f t="shared" si="109"/>
        <v>0.4</v>
      </c>
      <c r="Q57" s="4">
        <f t="shared" si="164"/>
        <v>0</v>
      </c>
      <c r="R57" s="4">
        <f t="shared" si="263"/>
        <v>0</v>
      </c>
      <c r="S57" s="4">
        <f t="shared" si="165"/>
        <v>0</v>
      </c>
      <c r="T57" s="4">
        <f t="shared" ca="1" si="166"/>
        <v>0</v>
      </c>
      <c r="V57" s="18" t="e">
        <f t="shared" ca="1" si="167"/>
        <v>#NAME?</v>
      </c>
      <c r="W57" s="18" t="e">
        <f t="shared" ca="1" si="168"/>
        <v>#NAME?</v>
      </c>
      <c r="X57" s="18" t="e">
        <f t="shared" ca="1" si="169"/>
        <v>#NAME?</v>
      </c>
      <c r="Y57" s="18" t="e">
        <f t="shared" ca="1" si="170"/>
        <v>#NAME?</v>
      </c>
      <c r="Z57" s="18" t="e">
        <f t="shared" ca="1" si="171"/>
        <v>#NAME?</v>
      </c>
      <c r="AA57" s="18" t="e">
        <f t="shared" ca="1" si="172"/>
        <v>#NAME?</v>
      </c>
      <c r="AB57" s="18" t="e">
        <f t="shared" ca="1" si="173"/>
        <v>#NAME?</v>
      </c>
      <c r="AC57" s="18" t="e">
        <f t="shared" ca="1" si="174"/>
        <v>#NAME?</v>
      </c>
      <c r="AD57" s="18" t="e">
        <f t="shared" ca="1" si="175"/>
        <v>#NAME?</v>
      </c>
      <c r="AE57" s="18" t="e">
        <f t="shared" ca="1" si="176"/>
        <v>#NAME?</v>
      </c>
      <c r="AF57" s="18" t="e">
        <f t="shared" ca="1" si="177"/>
        <v>#NAME?</v>
      </c>
      <c r="AG57" s="18" t="e">
        <f t="shared" ca="1" si="178"/>
        <v>#NAME?</v>
      </c>
      <c r="AI57">
        <f>Person1!E57</f>
        <v>72</v>
      </c>
      <c r="AJ57">
        <f>Person1!AZ57</f>
        <v>2</v>
      </c>
      <c r="AK57">
        <f>IF(AZ57&lt;&gt;3,Person1!FM57,0)</f>
        <v>0</v>
      </c>
      <c r="AL57" s="4">
        <f>IF($AZ57&lt;&gt;3,Person1!FN57+Person1!FT57,0)</f>
        <v>0</v>
      </c>
      <c r="AM57">
        <f>IF($AZ57&lt;&gt;3,Person1!FO57,0)</f>
        <v>0</v>
      </c>
      <c r="AN57">
        <f>IF($AZ57&lt;&gt;3,Person1!FP57,0)</f>
        <v>0</v>
      </c>
      <c r="AO57">
        <f>IF($AZ57&lt;&gt;3,Person1!FQ57,0)</f>
        <v>0</v>
      </c>
      <c r="AP57">
        <f>IF($AZ57&lt;&gt;3,Person1!FR57,0)</f>
        <v>0</v>
      </c>
      <c r="AQ57" s="4">
        <f t="shared" si="179"/>
        <v>0</v>
      </c>
      <c r="AR57" s="4">
        <f>Person1!FS57</f>
        <v>8824.2174480778922</v>
      </c>
      <c r="AS57" s="4">
        <f>$B$41*MAX(0,CHOOSE($AZ57,0,IF(AND(Person1!AW57&gt;=Person1!$B$36,AV57&gt;=$B$93),Person1!$B$35*(1+Person1!$B$37)^(Person1!$B$36-Person1!$B$11)*(1+Person1!$B$38)^(Person1!AW57-Person1!$B$36)-CHOOSE(Person1!$B$39+1,0,BD57,BE57,BD57+BE57),0),0,0))</f>
        <v>0</v>
      </c>
      <c r="AT57" s="4">
        <f t="shared" si="180"/>
        <v>0</v>
      </c>
      <c r="AV57">
        <f t="shared" si="275"/>
        <v>2067</v>
      </c>
      <c r="AW57">
        <f t="shared" si="275"/>
        <v>72</v>
      </c>
      <c r="AX57">
        <f t="shared" si="112"/>
        <v>2.6915880290736074</v>
      </c>
      <c r="AY57">
        <f t="shared" si="113"/>
        <v>0.37152788212696158</v>
      </c>
      <c r="AZ57">
        <f t="shared" si="114"/>
        <v>2</v>
      </c>
      <c r="BB57" s="4">
        <f t="shared" si="181"/>
        <v>0</v>
      </c>
      <c r="BC57">
        <f t="shared" si="182"/>
        <v>0</v>
      </c>
      <c r="BD57" s="4">
        <f t="shared" si="183"/>
        <v>21532.704232588858</v>
      </c>
      <c r="BE57" s="4" t="e">
        <f t="shared" ca="1" si="115"/>
        <v>#NAME?</v>
      </c>
      <c r="BF57" s="4">
        <f t="shared" si="116"/>
        <v>0</v>
      </c>
      <c r="BG57" s="4">
        <f t="shared" si="117"/>
        <v>8824.2174480778922</v>
      </c>
      <c r="BH57" s="4">
        <f t="shared" si="184"/>
        <v>0</v>
      </c>
      <c r="BI57" s="4" t="e">
        <f t="shared" ca="1" si="118"/>
        <v>#NAME?</v>
      </c>
      <c r="BJ57" s="4"/>
      <c r="BK57" s="4">
        <f t="shared" si="185"/>
        <v>67289.700726840179</v>
      </c>
      <c r="BL57" s="4">
        <f t="shared" si="119"/>
        <v>0</v>
      </c>
      <c r="BM57" s="4">
        <f t="shared" si="120"/>
        <v>67289.700726840179</v>
      </c>
      <c r="BN57" s="4">
        <v>46297.569677659681</v>
      </c>
      <c r="BO57" s="4">
        <f t="shared" si="121"/>
        <v>113587.27040449987</v>
      </c>
      <c r="BP57" s="4" t="e">
        <f t="shared" ca="1" si="122"/>
        <v>#NAME?</v>
      </c>
      <c r="BQ57" s="4"/>
      <c r="BR57" s="4">
        <v>0</v>
      </c>
      <c r="BS57" s="4" t="e">
        <f t="shared" ca="1" si="186"/>
        <v>#NAME?</v>
      </c>
      <c r="BT57" s="4" t="e">
        <f t="shared" ca="1" si="187"/>
        <v>#NAME?</v>
      </c>
      <c r="BU57" s="4" t="e">
        <f t="shared" ca="1" si="188"/>
        <v>#NAME?</v>
      </c>
      <c r="BV57" s="4">
        <f t="shared" si="189"/>
        <v>1</v>
      </c>
      <c r="BW57" s="4" t="e">
        <f t="shared" ca="1" si="190"/>
        <v>#NAME?</v>
      </c>
      <c r="BX57" s="4" t="e">
        <f t="shared" ca="1" si="191"/>
        <v>#NAME?</v>
      </c>
      <c r="BY57" s="4" t="e">
        <f t="shared" ca="1" si="192"/>
        <v>#NAME?</v>
      </c>
      <c r="BZ57" s="4" t="e">
        <f t="shared" ca="1" si="193"/>
        <v>#NAME?</v>
      </c>
      <c r="CA57" s="4" t="e">
        <f t="shared" ca="1" si="30"/>
        <v>#NAME?</v>
      </c>
      <c r="CB57" s="4" t="e">
        <f t="shared" ca="1" si="154"/>
        <v>#NAME?</v>
      </c>
      <c r="CC57" s="4"/>
      <c r="CD57" s="4" t="e">
        <f t="shared" ca="1" si="194"/>
        <v>#NAME?</v>
      </c>
      <c r="CE57" s="4" t="e">
        <f t="shared" ca="1" si="123"/>
        <v>#NAME?</v>
      </c>
      <c r="CF57" s="16" t="e">
        <f t="shared" ca="1" si="195"/>
        <v>#NAME?</v>
      </c>
      <c r="CG57" s="4">
        <f t="shared" si="196"/>
        <v>0</v>
      </c>
      <c r="CH57" s="4" t="e">
        <f t="shared" ca="1" si="197"/>
        <v>#NAME?</v>
      </c>
      <c r="CI57" s="4" t="e">
        <f t="shared" ca="1" si="198"/>
        <v>#NAME?</v>
      </c>
      <c r="CJ57" s="4" t="e">
        <f t="shared" ca="1" si="124"/>
        <v>#NAME?</v>
      </c>
      <c r="CK57" s="4" t="e">
        <f t="shared" ca="1" si="199"/>
        <v>#NAME?</v>
      </c>
      <c r="CL57" s="4" t="e">
        <f t="shared" ca="1" si="200"/>
        <v>#NAME?</v>
      </c>
      <c r="CM57" s="16"/>
      <c r="CN57" s="4" t="e">
        <f t="shared" ca="1" si="201"/>
        <v>#NAME?</v>
      </c>
      <c r="CO57" s="4" t="e">
        <f t="shared" ca="1" si="202"/>
        <v>#NAME?</v>
      </c>
      <c r="CP57" s="4" t="e">
        <f t="shared" ca="1" si="271"/>
        <v>#NAME?</v>
      </c>
      <c r="CQ57" s="4"/>
      <c r="CR57" s="4" t="e">
        <f t="shared" ca="1" si="203"/>
        <v>#NAME?</v>
      </c>
      <c r="CS57" s="4">
        <f t="shared" ca="1" si="204"/>
        <v>69650</v>
      </c>
      <c r="CT57" s="4">
        <f t="shared" ca="1" si="205"/>
        <v>0</v>
      </c>
      <c r="CU57" s="4"/>
      <c r="CV57" s="4" t="e">
        <f t="shared" ca="1" si="126"/>
        <v>#NAME?</v>
      </c>
      <c r="CW57" s="4">
        <f t="shared" ca="1" si="206"/>
        <v>0</v>
      </c>
      <c r="CX57" s="4">
        <f t="shared" si="207"/>
        <v>0</v>
      </c>
      <c r="CY57" s="4" t="e">
        <f t="shared" ca="1" si="127"/>
        <v>#NAME?</v>
      </c>
      <c r="CZ57" s="4"/>
      <c r="DA57" s="4" t="e">
        <f t="shared" ca="1" si="208"/>
        <v>#NAME?</v>
      </c>
      <c r="DB57" s="4">
        <f t="shared" si="209"/>
        <v>0</v>
      </c>
      <c r="DC57" s="4">
        <f t="shared" si="128"/>
        <v>0</v>
      </c>
      <c r="DD57" s="4">
        <f t="shared" si="210"/>
        <v>0</v>
      </c>
      <c r="DE57" s="4" t="e">
        <f t="shared" ca="1" si="211"/>
        <v>#NAME?</v>
      </c>
      <c r="DF57" s="4" t="e">
        <f t="shared" ca="1" si="129"/>
        <v>#NAME?</v>
      </c>
      <c r="DG57" s="4" t="e">
        <f t="shared" ca="1" si="130"/>
        <v>#NAME?</v>
      </c>
      <c r="DH57" s="4">
        <f t="shared" si="212"/>
        <v>0</v>
      </c>
      <c r="DI57" s="4"/>
      <c r="DJ57" s="4" t="e">
        <f t="shared" ca="1" si="213"/>
        <v>#NAME?</v>
      </c>
      <c r="DK57" s="4">
        <f t="shared" ca="1" si="214"/>
        <v>15000</v>
      </c>
      <c r="DL57" s="4">
        <f t="shared" ca="1" si="215"/>
        <v>15000</v>
      </c>
      <c r="DM57" s="4" t="e">
        <f t="shared" ca="1" si="216"/>
        <v>#NAME?</v>
      </c>
      <c r="DN57" s="4" t="e">
        <f t="shared" ca="1" si="217"/>
        <v>#NAME?</v>
      </c>
      <c r="DO57" s="4" t="e">
        <f t="shared" ca="1" si="55"/>
        <v>#NAME?</v>
      </c>
      <c r="DP57" s="4"/>
      <c r="DQ57" s="4" t="e">
        <f t="shared" ca="1" si="56"/>
        <v>#NAME?</v>
      </c>
      <c r="DR57" s="4"/>
      <c r="DS57" s="4">
        <f t="shared" si="131"/>
        <v>0</v>
      </c>
      <c r="DT57" s="4" t="e">
        <f t="shared" ca="1" si="274"/>
        <v>#NAME?</v>
      </c>
      <c r="DU57" s="4">
        <f t="shared" si="218"/>
        <v>0</v>
      </c>
      <c r="DV57" s="4"/>
      <c r="DW57" s="4" t="e">
        <f t="shared" ca="1" si="265"/>
        <v>#NAME?</v>
      </c>
      <c r="DX57" s="4" t="e">
        <f t="shared" ca="1" si="219"/>
        <v>#NAME?</v>
      </c>
      <c r="DY57" s="4" t="e">
        <f t="shared" ca="1" si="133"/>
        <v>#NAME?</v>
      </c>
      <c r="DZ57" s="4" t="e">
        <f t="shared" ca="1" si="220"/>
        <v>#NAME?</v>
      </c>
      <c r="EA57" s="4" t="e">
        <f t="shared" ca="1" si="221"/>
        <v>#NAME?</v>
      </c>
      <c r="EB57" s="4" t="e">
        <f t="shared" ca="1" si="222"/>
        <v>#NAME?</v>
      </c>
      <c r="EC57" s="4">
        <f t="shared" si="223"/>
        <v>2</v>
      </c>
      <c r="ED57" s="4"/>
      <c r="EE57" s="4" t="e">
        <f t="shared" ca="1" si="266"/>
        <v>#NAME?</v>
      </c>
      <c r="EF57" s="4">
        <f t="shared" si="224"/>
        <v>0</v>
      </c>
      <c r="EG57" s="4" t="e">
        <f t="shared" ca="1" si="135"/>
        <v>#NAME?</v>
      </c>
      <c r="EH57" s="4" t="e">
        <f t="shared" ca="1" si="225"/>
        <v>#NAME?</v>
      </c>
      <c r="EI57" s="4" t="e">
        <f t="shared" ca="1" si="226"/>
        <v>#NAME?</v>
      </c>
      <c r="EJ57" s="4" t="e">
        <f t="shared" ca="1" si="227"/>
        <v>#NAME?</v>
      </c>
      <c r="EK57" s="4">
        <f t="shared" si="228"/>
        <v>2</v>
      </c>
      <c r="EL57" s="4">
        <f t="shared" si="229"/>
        <v>0</v>
      </c>
      <c r="EM57" s="4"/>
      <c r="EN57" s="4" t="e">
        <f t="shared" ca="1" si="267"/>
        <v>#NAME?</v>
      </c>
      <c r="EO57" s="4" t="e">
        <f t="shared" ca="1" si="230"/>
        <v>#NAME?</v>
      </c>
      <c r="EP57" s="4" t="e">
        <f t="shared" ca="1" si="137"/>
        <v>#NAME?</v>
      </c>
      <c r="EQ57" s="4" t="e">
        <f t="shared" ca="1" si="231"/>
        <v>#NAME?</v>
      </c>
      <c r="ER57" s="4">
        <v>0</v>
      </c>
      <c r="ES57" s="4" t="e">
        <f t="shared" ca="1" si="138"/>
        <v>#NAME?</v>
      </c>
      <c r="ET57" s="4"/>
      <c r="EU57" s="4" t="e">
        <f t="shared" ca="1" si="268"/>
        <v>#NAME?</v>
      </c>
      <c r="EV57" s="4" t="e">
        <f t="shared" ca="1" si="232"/>
        <v>#NAME?</v>
      </c>
      <c r="EW57" s="4" t="e">
        <f t="shared" ca="1" si="140"/>
        <v>#NAME?</v>
      </c>
      <c r="EX57" s="4" t="e">
        <f t="shared" ca="1" si="233"/>
        <v>#NAME?</v>
      </c>
      <c r="EY57" s="4">
        <v>0</v>
      </c>
      <c r="EZ57" s="4" t="e">
        <f t="shared" ca="1" si="141"/>
        <v>#NAME?</v>
      </c>
      <c r="FA57" s="4" t="e">
        <f t="shared" ca="1" si="269"/>
        <v>#NAME?</v>
      </c>
      <c r="FB57" s="1" t="e">
        <f t="shared" ca="1" si="74"/>
        <v>#NAME?</v>
      </c>
      <c r="FC57" s="4" t="e">
        <f t="shared" ca="1" si="143"/>
        <v>#NAME?</v>
      </c>
      <c r="FD57" s="4" t="e">
        <f t="shared" ca="1" si="144"/>
        <v>#NAME?</v>
      </c>
      <c r="FE57" s="4" t="e">
        <f t="shared" ca="1" si="234"/>
        <v>#NAME?</v>
      </c>
      <c r="FF57" s="4" t="e">
        <f t="shared" ca="1" si="235"/>
        <v>#NAME?</v>
      </c>
      <c r="FG57" s="4" t="e">
        <f t="shared" ca="1" si="236"/>
        <v>#NAME?</v>
      </c>
      <c r="FH57" s="17" t="e">
        <f t="shared" ca="1" si="237"/>
        <v>#NAME?</v>
      </c>
      <c r="FI57" s="4" t="e">
        <f t="shared" ca="1" si="238"/>
        <v>#NAME?</v>
      </c>
      <c r="FJ57" s="4"/>
      <c r="FK57" s="4" t="e">
        <f t="shared" ca="1" si="239"/>
        <v>#NAME?</v>
      </c>
      <c r="FL57" s="4"/>
      <c r="FM57" s="4">
        <v>0</v>
      </c>
      <c r="FN57" s="4">
        <v>0</v>
      </c>
      <c r="FO57" s="4">
        <v>0</v>
      </c>
      <c r="FP57" s="4">
        <v>0</v>
      </c>
      <c r="FQ57" s="4">
        <v>0</v>
      </c>
      <c r="FR57" s="4">
        <v>0</v>
      </c>
      <c r="FS57" s="4">
        <f t="shared" si="240"/>
        <v>0</v>
      </c>
      <c r="FT57" s="4">
        <f t="shared" si="241"/>
        <v>0</v>
      </c>
      <c r="FU57" s="4"/>
      <c r="FV57" s="3">
        <f t="shared" si="242"/>
        <v>0.37152788212696158</v>
      </c>
      <c r="FW57" s="3">
        <f t="shared" si="243"/>
        <v>0.37152788212696158</v>
      </c>
      <c r="FX57" s="4">
        <f t="shared" si="145"/>
        <v>2067</v>
      </c>
      <c r="FY57" s="4">
        <f t="shared" si="244"/>
        <v>0</v>
      </c>
      <c r="FZ57" s="4">
        <f t="shared" si="245"/>
        <v>8</v>
      </c>
      <c r="GA57" s="4" t="e">
        <f t="shared" ca="1" si="246"/>
        <v>#NAME?</v>
      </c>
      <c r="GB57" s="4">
        <f t="shared" si="247"/>
        <v>3.2784428199121609</v>
      </c>
      <c r="GC57" s="4" t="e">
        <f t="shared" ca="1" si="248"/>
        <v>#NAME?</v>
      </c>
      <c r="GD57" s="4" t="e">
        <f t="shared" ca="1" si="249"/>
        <v>#NAME?</v>
      </c>
      <c r="GE57" s="4" t="e">
        <f t="shared" ca="1" si="250"/>
        <v>#NAME?</v>
      </c>
      <c r="GF57" s="4" t="e">
        <f t="shared" ca="1" si="251"/>
        <v>#NAME?</v>
      </c>
      <c r="GG57" s="18" t="e">
        <f t="shared" ca="1" si="252"/>
        <v>#NAME?</v>
      </c>
      <c r="GH57" s="18" t="e">
        <f t="shared" ca="1" si="253"/>
        <v>#NAME?</v>
      </c>
      <c r="GI57" s="4"/>
      <c r="GJ57" s="4">
        <f t="shared" si="254"/>
        <v>2067</v>
      </c>
      <c r="GK57" s="4" t="e">
        <f t="shared" ca="1" si="255"/>
        <v>#NAME?</v>
      </c>
      <c r="GL57" s="4" t="e">
        <f t="shared" ca="1" si="256"/>
        <v>#NAME?</v>
      </c>
      <c r="GM57" s="4" t="e">
        <f t="shared" ca="1" si="257"/>
        <v>#NAME?</v>
      </c>
      <c r="GN57" s="4" t="e">
        <f t="shared" ca="1" si="258"/>
        <v>#NAME?</v>
      </c>
      <c r="GO57" s="4"/>
      <c r="GP57" s="3" t="e">
        <f t="shared" ca="1" si="146"/>
        <v>#NAME?</v>
      </c>
      <c r="GQ57" s="3" t="e">
        <f t="shared" ca="1" si="259"/>
        <v>#NAME?</v>
      </c>
      <c r="GR57" s="3" t="e">
        <f t="shared" ca="1" si="260"/>
        <v>#NAME?</v>
      </c>
      <c r="GS57" s="3" t="e">
        <f t="shared" ca="1" si="261"/>
        <v>#NAME?</v>
      </c>
      <c r="GT57" s="3" t="e">
        <f t="array" aca="1" ref="GT57" ca="1">SUM(GP57:GS57*$GU$6:$GX$6)</f>
        <v>#NAME?</v>
      </c>
      <c r="GU57" s="3" t="e">
        <f t="shared" ca="1" si="147"/>
        <v>#NAME?</v>
      </c>
      <c r="GV57" s="3" t="e">
        <f t="shared" ca="1" si="148"/>
        <v>#NAME?</v>
      </c>
      <c r="GW57" s="3" t="e">
        <f t="shared" ca="1" si="149"/>
        <v>#NAME?</v>
      </c>
      <c r="GX57" s="3" t="e">
        <f t="shared" ca="1" si="150"/>
        <v>#NAME?</v>
      </c>
      <c r="GY57" s="11"/>
      <c r="GZ57" s="27">
        <v>99</v>
      </c>
      <c r="HA57" s="30">
        <v>0.2</v>
      </c>
      <c r="HB57" s="29">
        <f t="shared" ca="1" si="151"/>
        <v>0</v>
      </c>
      <c r="HC57" s="29"/>
      <c r="HD57" s="29"/>
      <c r="HE57" s="29"/>
      <c r="HG57" s="27">
        <v>97</v>
      </c>
      <c r="HH57" s="30">
        <v>0.2</v>
      </c>
      <c r="HJ57">
        <f t="shared" si="153"/>
        <v>2060</v>
      </c>
      <c r="HK57" s="28">
        <f t="shared" si="163"/>
        <v>60640</v>
      </c>
      <c r="HL57" s="27">
        <f t="shared" si="155"/>
        <v>13000</v>
      </c>
      <c r="HM57" s="28">
        <f t="shared" si="156"/>
        <v>13145.292283487646</v>
      </c>
      <c r="HO57" t="s">
        <v>222</v>
      </c>
      <c r="HQ57" s="27">
        <v>0.105217</v>
      </c>
      <c r="HR57" s="27">
        <v>4.1000000000000002E-2</v>
      </c>
      <c r="HS57" s="27">
        <v>3.0499999999999999E-2</v>
      </c>
      <c r="HT57" s="27">
        <v>3.5000000000000003E-2</v>
      </c>
      <c r="HU57" s="27">
        <v>0.04</v>
      </c>
      <c r="HV57" s="27">
        <v>7.0499999999999993E-2</v>
      </c>
      <c r="HW57" s="27">
        <v>4.4999999999999998E-2</v>
      </c>
      <c r="HX57" s="27">
        <v>8.3000000000000001E-3</v>
      </c>
      <c r="HY57" s="27">
        <v>3.2399999999999998E-2</v>
      </c>
      <c r="HZ57" s="27">
        <v>3.1E-2</v>
      </c>
      <c r="IA57" s="27">
        <v>2.47E-2</v>
      </c>
      <c r="IB57" s="27">
        <v>3.2099999999999997E-2</v>
      </c>
      <c r="IC57" s="27">
        <v>0.06</v>
      </c>
      <c r="ID57" s="27">
        <v>2.9100000000000001E-2</v>
      </c>
      <c r="IE57" s="27">
        <v>2.6689999999999998E-2</v>
      </c>
      <c r="IF57" s="27">
        <v>2.6689999999999998E-2</v>
      </c>
      <c r="IG57" s="27">
        <v>2.6689999999999998E-2</v>
      </c>
    </row>
    <row r="58" spans="1:241" x14ac:dyDescent="0.25">
      <c r="A58" t="s">
        <v>367</v>
      </c>
      <c r="B58" s="62">
        <f>Inputs_Summary!AK55</f>
        <v>1</v>
      </c>
      <c r="D58">
        <f t="shared" si="106"/>
        <v>2068</v>
      </c>
      <c r="E58">
        <f t="shared" si="106"/>
        <v>73</v>
      </c>
      <c r="F58" s="8"/>
      <c r="G58" s="8"/>
      <c r="H58" s="8"/>
      <c r="I58" s="8"/>
      <c r="J58" s="92"/>
      <c r="K58" s="91"/>
      <c r="L58" s="91"/>
      <c r="N58" s="93">
        <f t="shared" si="107"/>
        <v>0.05</v>
      </c>
      <c r="O58" s="23">
        <f t="shared" si="108"/>
        <v>0</v>
      </c>
      <c r="P58" s="23">
        <f t="shared" si="109"/>
        <v>0.4</v>
      </c>
      <c r="Q58" s="4">
        <f t="shared" si="164"/>
        <v>0</v>
      </c>
      <c r="R58" s="4">
        <f t="shared" si="263"/>
        <v>0</v>
      </c>
      <c r="S58" s="4">
        <f t="shared" si="165"/>
        <v>0</v>
      </c>
      <c r="T58" s="4">
        <f t="shared" ca="1" si="166"/>
        <v>0</v>
      </c>
      <c r="V58" s="18" t="e">
        <f t="shared" ca="1" si="167"/>
        <v>#NAME?</v>
      </c>
      <c r="W58" s="18" t="e">
        <f t="shared" ca="1" si="168"/>
        <v>#NAME?</v>
      </c>
      <c r="X58" s="18" t="e">
        <f t="shared" ca="1" si="169"/>
        <v>#NAME?</v>
      </c>
      <c r="Y58" s="18" t="e">
        <f t="shared" ca="1" si="170"/>
        <v>#NAME?</v>
      </c>
      <c r="Z58" s="18" t="e">
        <f t="shared" ca="1" si="171"/>
        <v>#NAME?</v>
      </c>
      <c r="AA58" s="18" t="e">
        <f t="shared" ca="1" si="172"/>
        <v>#NAME?</v>
      </c>
      <c r="AB58" s="18" t="e">
        <f t="shared" ca="1" si="173"/>
        <v>#NAME?</v>
      </c>
      <c r="AC58" s="18" t="e">
        <f t="shared" ca="1" si="174"/>
        <v>#NAME?</v>
      </c>
      <c r="AD58" s="18" t="e">
        <f t="shared" ca="1" si="175"/>
        <v>#NAME?</v>
      </c>
      <c r="AE58" s="18" t="e">
        <f t="shared" ca="1" si="176"/>
        <v>#NAME?</v>
      </c>
      <c r="AF58" s="18" t="e">
        <f t="shared" ca="1" si="177"/>
        <v>#NAME?</v>
      </c>
      <c r="AG58" s="18" t="e">
        <f t="shared" ca="1" si="178"/>
        <v>#NAME?</v>
      </c>
      <c r="AI58">
        <f>Person1!E58</f>
        <v>73</v>
      </c>
      <c r="AJ58">
        <f>Person1!AZ58</f>
        <v>2</v>
      </c>
      <c r="AK58">
        <f>IF(AZ58&lt;&gt;3,Person1!FM58,0)</f>
        <v>0</v>
      </c>
      <c r="AL58" s="4">
        <f>IF($AZ58&lt;&gt;3,Person1!FN58+Person1!FT58,0)</f>
        <v>0</v>
      </c>
      <c r="AM58">
        <f>IF($AZ58&lt;&gt;3,Person1!FO58,0)</f>
        <v>0</v>
      </c>
      <c r="AN58">
        <f>IF($AZ58&lt;&gt;3,Person1!FP58,0)</f>
        <v>0</v>
      </c>
      <c r="AO58">
        <f>IF($AZ58&lt;&gt;3,Person1!FQ58,0)</f>
        <v>0</v>
      </c>
      <c r="AP58">
        <f>IF($AZ58&lt;&gt;3,Person1!FR58,0)</f>
        <v>0</v>
      </c>
      <c r="AQ58" s="4">
        <f t="shared" si="179"/>
        <v>0</v>
      </c>
      <c r="AR58" s="4">
        <f>Person1!FS58</f>
        <v>8747.2170740099682</v>
      </c>
      <c r="AS58" s="4">
        <f>$B$41*MAX(0,CHOOSE($AZ58,0,IF(AND(Person1!AW58&gt;=Person1!$B$36,AV58&gt;=$B$93),Person1!$B$35*(1+Person1!$B$37)^(Person1!$B$36-Person1!$B$11)*(1+Person1!$B$38)^(Person1!AW58-Person1!$B$36)-CHOOSE(Person1!$B$39+1,0,BD58,BE58,BD58+BE58),0),0,0))</f>
        <v>0</v>
      </c>
      <c r="AT58" s="4">
        <f t="shared" si="180"/>
        <v>0</v>
      </c>
      <c r="AV58">
        <f t="shared" si="275"/>
        <v>2068</v>
      </c>
      <c r="AW58">
        <f t="shared" si="275"/>
        <v>73</v>
      </c>
      <c r="AX58">
        <f t="shared" si="112"/>
        <v>2.7454197896550796</v>
      </c>
      <c r="AY58">
        <f t="shared" si="113"/>
        <v>0.36424302169309958</v>
      </c>
      <c r="AZ58">
        <f t="shared" si="114"/>
        <v>2</v>
      </c>
      <c r="BB58" s="4">
        <f t="shared" si="181"/>
        <v>0</v>
      </c>
      <c r="BC58">
        <f t="shared" si="182"/>
        <v>0</v>
      </c>
      <c r="BD58" s="4">
        <f t="shared" si="183"/>
        <v>21963.358317240636</v>
      </c>
      <c r="BE58" s="4" t="e">
        <f t="shared" ca="1" si="115"/>
        <v>#NAME?</v>
      </c>
      <c r="BF58" s="4">
        <f t="shared" si="116"/>
        <v>0</v>
      </c>
      <c r="BG58" s="4">
        <f t="shared" si="117"/>
        <v>8747.2170740099682</v>
      </c>
      <c r="BH58" s="4">
        <f t="shared" si="184"/>
        <v>0</v>
      </c>
      <c r="BI58" s="4" t="e">
        <f t="shared" ca="1" si="118"/>
        <v>#NAME?</v>
      </c>
      <c r="BJ58" s="4"/>
      <c r="BK58" s="4">
        <f t="shared" si="185"/>
        <v>68635.494741376984</v>
      </c>
      <c r="BL58" s="4">
        <f t="shared" si="119"/>
        <v>0</v>
      </c>
      <c r="BM58" s="4">
        <f t="shared" si="120"/>
        <v>68635.494741376984</v>
      </c>
      <c r="BN58" s="4">
        <v>47164.922986520032</v>
      </c>
      <c r="BO58" s="4">
        <f t="shared" si="121"/>
        <v>115800.41772789702</v>
      </c>
      <c r="BP58" s="4" t="e">
        <f t="shared" ca="1" si="122"/>
        <v>#NAME?</v>
      </c>
      <c r="BQ58" s="4"/>
      <c r="BR58" s="4">
        <v>0</v>
      </c>
      <c r="BS58" s="4" t="e">
        <f t="shared" ca="1" si="186"/>
        <v>#NAME?</v>
      </c>
      <c r="BT58" s="4" t="e">
        <f t="shared" ca="1" si="187"/>
        <v>#NAME?</v>
      </c>
      <c r="BU58" s="4" t="e">
        <f t="shared" ca="1" si="188"/>
        <v>#NAME?</v>
      </c>
      <c r="BV58" s="4">
        <f t="shared" si="189"/>
        <v>1</v>
      </c>
      <c r="BW58" s="4" t="e">
        <f t="shared" ca="1" si="190"/>
        <v>#NAME?</v>
      </c>
      <c r="BX58" s="4" t="e">
        <f t="shared" ca="1" si="191"/>
        <v>#NAME?</v>
      </c>
      <c r="BY58" s="4" t="e">
        <f t="shared" ca="1" si="192"/>
        <v>#NAME?</v>
      </c>
      <c r="BZ58" s="4" t="e">
        <f t="shared" ca="1" si="193"/>
        <v>#NAME?</v>
      </c>
      <c r="CA58" s="4" t="e">
        <f t="shared" ca="1" si="30"/>
        <v>#NAME?</v>
      </c>
      <c r="CB58" s="4" t="e">
        <f t="shared" ca="1" si="154"/>
        <v>#NAME?</v>
      </c>
      <c r="CC58" s="4"/>
      <c r="CD58" s="4" t="e">
        <f t="shared" ca="1" si="194"/>
        <v>#NAME?</v>
      </c>
      <c r="CE58" s="4" t="e">
        <f t="shared" ca="1" si="123"/>
        <v>#NAME?</v>
      </c>
      <c r="CF58" s="16" t="e">
        <f t="shared" ca="1" si="195"/>
        <v>#NAME?</v>
      </c>
      <c r="CG58" s="4">
        <f t="shared" si="196"/>
        <v>0</v>
      </c>
      <c r="CH58" s="4" t="e">
        <f t="shared" ca="1" si="197"/>
        <v>#NAME?</v>
      </c>
      <c r="CI58" s="4" t="e">
        <f t="shared" ca="1" si="198"/>
        <v>#NAME?</v>
      </c>
      <c r="CJ58" s="4" t="e">
        <f t="shared" ca="1" si="124"/>
        <v>#NAME?</v>
      </c>
      <c r="CK58" s="4" t="e">
        <f t="shared" ca="1" si="199"/>
        <v>#NAME?</v>
      </c>
      <c r="CL58" s="4" t="e">
        <f t="shared" ca="1" si="200"/>
        <v>#NAME?</v>
      </c>
      <c r="CM58" s="16"/>
      <c r="CN58" s="4" t="e">
        <f t="shared" ca="1" si="201"/>
        <v>#NAME?</v>
      </c>
      <c r="CO58" s="4" t="e">
        <f t="shared" ca="1" si="202"/>
        <v>#NAME?</v>
      </c>
      <c r="CP58" s="4" t="e">
        <f t="shared" ca="1" si="271"/>
        <v>#NAME?</v>
      </c>
      <c r="CQ58" s="4"/>
      <c r="CR58" s="4" t="e">
        <f t="shared" ca="1" si="203"/>
        <v>#NAME?</v>
      </c>
      <c r="CS58" s="4">
        <f t="shared" ca="1" si="204"/>
        <v>71040</v>
      </c>
      <c r="CT58" s="4">
        <f t="shared" ca="1" si="205"/>
        <v>0</v>
      </c>
      <c r="CU58" s="4"/>
      <c r="CV58" s="4" t="e">
        <f t="shared" ca="1" si="126"/>
        <v>#NAME?</v>
      </c>
      <c r="CW58" s="4">
        <f t="shared" ca="1" si="206"/>
        <v>0</v>
      </c>
      <c r="CX58" s="4">
        <f t="shared" si="207"/>
        <v>0</v>
      </c>
      <c r="CY58" s="4" t="e">
        <f t="shared" ca="1" si="127"/>
        <v>#NAME?</v>
      </c>
      <c r="CZ58" s="4"/>
      <c r="DA58" s="4" t="e">
        <f t="shared" ca="1" si="208"/>
        <v>#NAME?</v>
      </c>
      <c r="DB58" s="4">
        <f t="shared" si="209"/>
        <v>0</v>
      </c>
      <c r="DC58" s="4">
        <f t="shared" si="128"/>
        <v>0</v>
      </c>
      <c r="DD58" s="4">
        <f t="shared" si="210"/>
        <v>0</v>
      </c>
      <c r="DE58" s="4" t="e">
        <f t="shared" ca="1" si="211"/>
        <v>#NAME?</v>
      </c>
      <c r="DF58" s="4" t="e">
        <f t="shared" ca="1" si="129"/>
        <v>#NAME?</v>
      </c>
      <c r="DG58" s="4" t="e">
        <f t="shared" ca="1" si="130"/>
        <v>#NAME?</v>
      </c>
      <c r="DH58" s="4">
        <f t="shared" si="212"/>
        <v>0</v>
      </c>
      <c r="DI58" s="4"/>
      <c r="DJ58" s="4" t="e">
        <f t="shared" ca="1" si="213"/>
        <v>#NAME?</v>
      </c>
      <c r="DK58" s="4">
        <f t="shared" ca="1" si="214"/>
        <v>15500</v>
      </c>
      <c r="DL58" s="4">
        <f t="shared" ca="1" si="215"/>
        <v>15500</v>
      </c>
      <c r="DM58" s="4" t="e">
        <f t="shared" ca="1" si="216"/>
        <v>#NAME?</v>
      </c>
      <c r="DN58" s="4" t="e">
        <f t="shared" ca="1" si="217"/>
        <v>#NAME?</v>
      </c>
      <c r="DO58" s="4" t="e">
        <f t="shared" ca="1" si="55"/>
        <v>#NAME?</v>
      </c>
      <c r="DP58" s="4"/>
      <c r="DQ58" s="4" t="e">
        <f t="shared" ca="1" si="56"/>
        <v>#NAME?</v>
      </c>
      <c r="DR58" s="4"/>
      <c r="DS58" s="4">
        <f t="shared" si="131"/>
        <v>0</v>
      </c>
      <c r="DT58" s="4" t="e">
        <f t="shared" ca="1" si="274"/>
        <v>#NAME?</v>
      </c>
      <c r="DU58" s="4">
        <f t="shared" si="218"/>
        <v>0</v>
      </c>
      <c r="DV58" s="4"/>
      <c r="DW58" s="4" t="e">
        <f t="shared" ca="1" si="265"/>
        <v>#NAME?</v>
      </c>
      <c r="DX58" s="4" t="e">
        <f t="shared" ca="1" si="219"/>
        <v>#NAME?</v>
      </c>
      <c r="DY58" s="4" t="e">
        <f t="shared" ca="1" si="133"/>
        <v>#NAME?</v>
      </c>
      <c r="DZ58" s="4" t="e">
        <f t="shared" ca="1" si="220"/>
        <v>#NAME?</v>
      </c>
      <c r="EA58" s="4" t="e">
        <f t="shared" ca="1" si="221"/>
        <v>#NAME?</v>
      </c>
      <c r="EB58" s="4" t="e">
        <f t="shared" ca="1" si="222"/>
        <v>#NAME?</v>
      </c>
      <c r="EC58" s="4">
        <f t="shared" si="223"/>
        <v>2</v>
      </c>
      <c r="ED58" s="4"/>
      <c r="EE58" s="4" t="e">
        <f t="shared" ca="1" si="266"/>
        <v>#NAME?</v>
      </c>
      <c r="EF58" s="4">
        <f t="shared" si="224"/>
        <v>0</v>
      </c>
      <c r="EG58" s="4" t="e">
        <f t="shared" ca="1" si="135"/>
        <v>#NAME?</v>
      </c>
      <c r="EH58" s="4" t="e">
        <f t="shared" ca="1" si="225"/>
        <v>#NAME?</v>
      </c>
      <c r="EI58" s="4" t="e">
        <f t="shared" ca="1" si="226"/>
        <v>#NAME?</v>
      </c>
      <c r="EJ58" s="4" t="e">
        <f t="shared" ca="1" si="227"/>
        <v>#NAME?</v>
      </c>
      <c r="EK58" s="4">
        <f t="shared" si="228"/>
        <v>2</v>
      </c>
      <c r="EL58" s="4">
        <f t="shared" si="229"/>
        <v>0</v>
      </c>
      <c r="EM58" s="4"/>
      <c r="EN58" s="4" t="e">
        <f t="shared" ca="1" si="267"/>
        <v>#NAME?</v>
      </c>
      <c r="EO58" s="4" t="e">
        <f t="shared" ca="1" si="230"/>
        <v>#NAME?</v>
      </c>
      <c r="EP58" s="4" t="e">
        <f t="shared" ca="1" si="137"/>
        <v>#NAME?</v>
      </c>
      <c r="EQ58" s="4" t="e">
        <f t="shared" ca="1" si="231"/>
        <v>#NAME?</v>
      </c>
      <c r="ER58" s="4">
        <v>0</v>
      </c>
      <c r="ES58" s="4" t="e">
        <f t="shared" ca="1" si="138"/>
        <v>#NAME?</v>
      </c>
      <c r="ET58" s="4"/>
      <c r="EU58" s="4" t="e">
        <f t="shared" ca="1" si="268"/>
        <v>#NAME?</v>
      </c>
      <c r="EV58" s="4" t="e">
        <f t="shared" ca="1" si="232"/>
        <v>#NAME?</v>
      </c>
      <c r="EW58" s="4" t="e">
        <f t="shared" ca="1" si="140"/>
        <v>#NAME?</v>
      </c>
      <c r="EX58" s="4" t="e">
        <f t="shared" ca="1" si="233"/>
        <v>#NAME?</v>
      </c>
      <c r="EY58" s="4">
        <v>0</v>
      </c>
      <c r="EZ58" s="4" t="e">
        <f t="shared" ca="1" si="141"/>
        <v>#NAME?</v>
      </c>
      <c r="FA58" s="4" t="e">
        <f t="shared" ca="1" si="269"/>
        <v>#NAME?</v>
      </c>
      <c r="FB58" s="1" t="e">
        <f t="shared" ca="1" si="74"/>
        <v>#NAME?</v>
      </c>
      <c r="FC58" s="4" t="e">
        <f t="shared" ca="1" si="143"/>
        <v>#NAME?</v>
      </c>
      <c r="FD58" s="4" t="e">
        <f t="shared" ca="1" si="144"/>
        <v>#NAME?</v>
      </c>
      <c r="FE58" s="4" t="e">
        <f t="shared" ca="1" si="234"/>
        <v>#NAME?</v>
      </c>
      <c r="FF58" s="4" t="e">
        <f t="shared" ca="1" si="235"/>
        <v>#NAME?</v>
      </c>
      <c r="FG58" s="4" t="e">
        <f t="shared" ca="1" si="236"/>
        <v>#NAME?</v>
      </c>
      <c r="FH58" s="17" t="e">
        <f t="shared" ca="1" si="237"/>
        <v>#NAME?</v>
      </c>
      <c r="FI58" s="4" t="e">
        <f t="shared" ca="1" si="238"/>
        <v>#NAME?</v>
      </c>
      <c r="FJ58" s="4"/>
      <c r="FK58" s="4" t="e">
        <f t="shared" ca="1" si="239"/>
        <v>#NAME?</v>
      </c>
      <c r="FL58" s="4"/>
      <c r="FM58" s="4">
        <v>0</v>
      </c>
      <c r="FN58" s="4">
        <v>0</v>
      </c>
      <c r="FO58" s="4">
        <v>0</v>
      </c>
      <c r="FP58" s="4">
        <v>0</v>
      </c>
      <c r="FQ58" s="4">
        <v>0</v>
      </c>
      <c r="FR58" s="4">
        <v>0</v>
      </c>
      <c r="FS58" s="4">
        <f t="shared" si="240"/>
        <v>0</v>
      </c>
      <c r="FT58" s="4">
        <f t="shared" si="241"/>
        <v>0</v>
      </c>
      <c r="FU58" s="4"/>
      <c r="FV58" s="3">
        <f t="shared" si="242"/>
        <v>0.36424302169309958</v>
      </c>
      <c r="FW58" s="3">
        <f t="shared" si="243"/>
        <v>0.36424302169309958</v>
      </c>
      <c r="FX58" s="4">
        <f t="shared" si="145"/>
        <v>2068</v>
      </c>
      <c r="FY58" s="4">
        <f t="shared" si="244"/>
        <v>0</v>
      </c>
      <c r="FZ58" s="4">
        <f t="shared" si="245"/>
        <v>8</v>
      </c>
      <c r="GA58" s="4" t="e">
        <f t="shared" ca="1" si="246"/>
        <v>#NAME?</v>
      </c>
      <c r="GB58" s="4">
        <f t="shared" si="247"/>
        <v>3.186112778442864</v>
      </c>
      <c r="GC58" s="4" t="e">
        <f t="shared" ca="1" si="248"/>
        <v>#NAME?</v>
      </c>
      <c r="GD58" s="4" t="e">
        <f t="shared" ca="1" si="249"/>
        <v>#NAME?</v>
      </c>
      <c r="GE58" s="4" t="e">
        <f t="shared" ca="1" si="250"/>
        <v>#NAME?</v>
      </c>
      <c r="GF58" s="4" t="e">
        <f t="shared" ca="1" si="251"/>
        <v>#NAME?</v>
      </c>
      <c r="GG58" s="18" t="e">
        <f t="shared" ca="1" si="252"/>
        <v>#NAME?</v>
      </c>
      <c r="GH58" s="18" t="e">
        <f t="shared" ca="1" si="253"/>
        <v>#NAME?</v>
      </c>
      <c r="GI58" s="4"/>
      <c r="GJ58" s="4">
        <f t="shared" si="254"/>
        <v>2068</v>
      </c>
      <c r="GK58" s="4" t="e">
        <f t="shared" ca="1" si="255"/>
        <v>#NAME?</v>
      </c>
      <c r="GL58" s="4" t="e">
        <f t="shared" ca="1" si="256"/>
        <v>#NAME?</v>
      </c>
      <c r="GM58" s="4" t="e">
        <f t="shared" ca="1" si="257"/>
        <v>#NAME?</v>
      </c>
      <c r="GN58" s="4" t="e">
        <f t="shared" ca="1" si="258"/>
        <v>#NAME?</v>
      </c>
      <c r="GO58" s="4"/>
      <c r="GP58" s="3" t="e">
        <f t="shared" ca="1" si="146"/>
        <v>#NAME?</v>
      </c>
      <c r="GQ58" s="3" t="e">
        <f t="shared" ca="1" si="259"/>
        <v>#NAME?</v>
      </c>
      <c r="GR58" s="3" t="e">
        <f t="shared" ca="1" si="260"/>
        <v>#NAME?</v>
      </c>
      <c r="GS58" s="3" t="e">
        <f t="shared" ca="1" si="261"/>
        <v>#NAME?</v>
      </c>
      <c r="GT58" s="3" t="e">
        <f t="array" aca="1" ref="GT58" ca="1">SUM(GP58:GS58*$GU$6:$GX$6)</f>
        <v>#NAME?</v>
      </c>
      <c r="GU58" s="3" t="e">
        <f t="shared" ca="1" si="147"/>
        <v>#NAME?</v>
      </c>
      <c r="GV58" s="3" t="e">
        <f t="shared" ca="1" si="148"/>
        <v>#NAME?</v>
      </c>
      <c r="GW58" s="3" t="e">
        <f t="shared" ca="1" si="149"/>
        <v>#NAME?</v>
      </c>
      <c r="GX58" s="3" t="e">
        <f t="shared" ca="1" si="150"/>
        <v>#NAME?</v>
      </c>
      <c r="GY58" s="11"/>
      <c r="GZ58" s="27">
        <v>100</v>
      </c>
      <c r="HA58" s="30">
        <v>0.2</v>
      </c>
      <c r="HB58" s="29">
        <f t="shared" ca="1" si="151"/>
        <v>0</v>
      </c>
      <c r="HC58" s="29"/>
      <c r="HD58" s="29"/>
      <c r="HE58" s="29"/>
      <c r="HG58" s="27">
        <v>98</v>
      </c>
      <c r="HH58" s="30">
        <v>0.2</v>
      </c>
      <c r="HJ58">
        <f t="shared" si="153"/>
        <v>2061</v>
      </c>
      <c r="HK58" s="28">
        <f t="shared" si="163"/>
        <v>61850</v>
      </c>
      <c r="HL58" s="27">
        <f t="shared" si="155"/>
        <v>13500</v>
      </c>
      <c r="HM58" s="28">
        <f t="shared" si="156"/>
        <v>13408.198129157399</v>
      </c>
      <c r="HO58" t="s">
        <v>223</v>
      </c>
      <c r="HQ58" t="s">
        <v>109</v>
      </c>
      <c r="HR58" t="s">
        <v>109</v>
      </c>
      <c r="HS58" t="s">
        <v>615</v>
      </c>
      <c r="HT58" t="s">
        <v>109</v>
      </c>
      <c r="HU58" t="s">
        <v>109</v>
      </c>
      <c r="HV58" t="s">
        <v>109</v>
      </c>
      <c r="HW58" t="s">
        <v>109</v>
      </c>
      <c r="HX58" t="s">
        <v>109</v>
      </c>
      <c r="HY58" t="s">
        <v>109</v>
      </c>
      <c r="HZ58" t="s">
        <v>109</v>
      </c>
      <c r="IA58" t="s">
        <v>109</v>
      </c>
      <c r="IB58" t="s">
        <v>616</v>
      </c>
      <c r="IC58" t="s">
        <v>617</v>
      </c>
      <c r="ID58" t="s">
        <v>618</v>
      </c>
      <c r="IE58" t="s">
        <v>109</v>
      </c>
      <c r="IF58" t="s">
        <v>109</v>
      </c>
      <c r="IG58" t="s">
        <v>109</v>
      </c>
    </row>
    <row r="59" spans="1:241" x14ac:dyDescent="0.25">
      <c r="A59" t="s">
        <v>328</v>
      </c>
      <c r="B59" s="62">
        <f>Inputs_Summary!AK56</f>
        <v>1</v>
      </c>
      <c r="D59">
        <f t="shared" si="106"/>
        <v>2069</v>
      </c>
      <c r="E59">
        <f t="shared" si="106"/>
        <v>74</v>
      </c>
      <c r="F59" s="8"/>
      <c r="G59" s="8"/>
      <c r="H59" s="8"/>
      <c r="I59" s="8"/>
      <c r="J59" s="92"/>
      <c r="K59" s="91"/>
      <c r="L59" s="91"/>
      <c r="N59" s="93">
        <f t="shared" si="107"/>
        <v>0.05</v>
      </c>
      <c r="O59" s="23">
        <f t="shared" si="108"/>
        <v>0</v>
      </c>
      <c r="P59" s="23">
        <f t="shared" si="109"/>
        <v>0.4</v>
      </c>
      <c r="Q59" s="4">
        <f t="shared" si="164"/>
        <v>0</v>
      </c>
      <c r="R59" s="4">
        <f t="shared" si="263"/>
        <v>0</v>
      </c>
      <c r="S59" s="4">
        <f t="shared" si="165"/>
        <v>0</v>
      </c>
      <c r="T59" s="4">
        <f t="shared" ca="1" si="166"/>
        <v>0</v>
      </c>
      <c r="V59" s="18" t="e">
        <f t="shared" ca="1" si="167"/>
        <v>#NAME?</v>
      </c>
      <c r="W59" s="18" t="e">
        <f t="shared" ca="1" si="168"/>
        <v>#NAME?</v>
      </c>
      <c r="X59" s="18" t="e">
        <f t="shared" ca="1" si="169"/>
        <v>#NAME?</v>
      </c>
      <c r="Y59" s="18" t="e">
        <f t="shared" ca="1" si="170"/>
        <v>#NAME?</v>
      </c>
      <c r="Z59" s="18" t="e">
        <f t="shared" ca="1" si="171"/>
        <v>#NAME?</v>
      </c>
      <c r="AA59" s="18" t="e">
        <f t="shared" ca="1" si="172"/>
        <v>#NAME?</v>
      </c>
      <c r="AB59" s="18" t="e">
        <f t="shared" ca="1" si="173"/>
        <v>#NAME?</v>
      </c>
      <c r="AC59" s="18" t="e">
        <f t="shared" ca="1" si="174"/>
        <v>#NAME?</v>
      </c>
      <c r="AD59" s="18" t="e">
        <f t="shared" ca="1" si="175"/>
        <v>#NAME?</v>
      </c>
      <c r="AE59" s="18" t="e">
        <f t="shared" ca="1" si="176"/>
        <v>#NAME?</v>
      </c>
      <c r="AF59" s="18" t="e">
        <f t="shared" ca="1" si="177"/>
        <v>#NAME?</v>
      </c>
      <c r="AG59" s="18" t="e">
        <f t="shared" ca="1" si="178"/>
        <v>#NAME?</v>
      </c>
      <c r="AI59">
        <f>Person1!E59</f>
        <v>74</v>
      </c>
      <c r="AJ59">
        <f>Person1!AZ59</f>
        <v>2</v>
      </c>
      <c r="AK59">
        <f>IF(AZ59&lt;&gt;3,Person1!FM59,0)</f>
        <v>0</v>
      </c>
      <c r="AL59" s="4">
        <f>IF($AZ59&lt;&gt;3,Person1!FN59+Person1!FT59,0)</f>
        <v>0</v>
      </c>
      <c r="AM59">
        <f>IF($AZ59&lt;&gt;3,Person1!FO59,0)</f>
        <v>0</v>
      </c>
      <c r="AN59">
        <f>IF($AZ59&lt;&gt;3,Person1!FP59,0)</f>
        <v>0</v>
      </c>
      <c r="AO59">
        <f>IF($AZ59&lt;&gt;3,Person1!FQ59,0)</f>
        <v>0</v>
      </c>
      <c r="AP59">
        <f>IF($AZ59&lt;&gt;3,Person1!FR59,0)</f>
        <v>0</v>
      </c>
      <c r="AQ59" s="4">
        <f t="shared" si="179"/>
        <v>0</v>
      </c>
      <c r="AR59" s="4">
        <f>Person1!FS59</f>
        <v>8667.4092688455366</v>
      </c>
      <c r="AS59" s="4">
        <f>$B$41*MAX(0,CHOOSE($AZ59,0,IF(AND(Person1!AW59&gt;=Person1!$B$36,AV59&gt;=$B$93),Person1!$B$35*(1+Person1!$B$37)^(Person1!$B$36-Person1!$B$11)*(1+Person1!$B$38)^(Person1!AW59-Person1!$B$36)-CHOOSE(Person1!$B$39+1,0,BD59,BE59,BD59+BE59),0),0,0))</f>
        <v>0</v>
      </c>
      <c r="AT59" s="4">
        <f t="shared" si="180"/>
        <v>0</v>
      </c>
      <c r="AV59">
        <f t="shared" si="275"/>
        <v>2069</v>
      </c>
      <c r="AW59">
        <f t="shared" si="275"/>
        <v>74</v>
      </c>
      <c r="AX59">
        <f t="shared" si="112"/>
        <v>2.8003281854481812</v>
      </c>
      <c r="AY59">
        <f t="shared" si="113"/>
        <v>0.35710100165990155</v>
      </c>
      <c r="AZ59">
        <f t="shared" si="114"/>
        <v>2</v>
      </c>
      <c r="BB59" s="4">
        <f t="shared" si="181"/>
        <v>0</v>
      </c>
      <c r="BC59">
        <f t="shared" si="182"/>
        <v>0</v>
      </c>
      <c r="BD59" s="4">
        <f t="shared" si="183"/>
        <v>22402.625483585449</v>
      </c>
      <c r="BE59" s="4" t="e">
        <f t="shared" ca="1" si="115"/>
        <v>#NAME?</v>
      </c>
      <c r="BF59" s="4">
        <f t="shared" si="116"/>
        <v>0</v>
      </c>
      <c r="BG59" s="4">
        <f t="shared" si="117"/>
        <v>8667.4092688455366</v>
      </c>
      <c r="BH59" s="4">
        <f t="shared" si="184"/>
        <v>0</v>
      </c>
      <c r="BI59" s="4" t="e">
        <f t="shared" ca="1" si="118"/>
        <v>#NAME?</v>
      </c>
      <c r="BJ59" s="4"/>
      <c r="BK59" s="4">
        <f t="shared" si="185"/>
        <v>70008.204636204537</v>
      </c>
      <c r="BL59" s="4">
        <f t="shared" si="119"/>
        <v>0</v>
      </c>
      <c r="BM59" s="4">
        <f t="shared" si="120"/>
        <v>70008.204636204537</v>
      </c>
      <c r="BN59" s="4">
        <v>48033.549137600057</v>
      </c>
      <c r="BO59" s="4">
        <f t="shared" si="121"/>
        <v>118041.75377380459</v>
      </c>
      <c r="BP59" s="4" t="e">
        <f t="shared" ca="1" si="122"/>
        <v>#NAME?</v>
      </c>
      <c r="BQ59" s="4"/>
      <c r="BR59" s="4">
        <v>0</v>
      </c>
      <c r="BS59" s="4" t="e">
        <f t="shared" ca="1" si="186"/>
        <v>#NAME?</v>
      </c>
      <c r="BT59" s="4" t="e">
        <f t="shared" ca="1" si="187"/>
        <v>#NAME?</v>
      </c>
      <c r="BU59" s="4" t="e">
        <f t="shared" ca="1" si="188"/>
        <v>#NAME?</v>
      </c>
      <c r="BV59" s="4">
        <f t="shared" si="189"/>
        <v>1</v>
      </c>
      <c r="BW59" s="4" t="e">
        <f t="shared" ca="1" si="190"/>
        <v>#NAME?</v>
      </c>
      <c r="BX59" s="4" t="e">
        <f t="shared" ca="1" si="191"/>
        <v>#NAME?</v>
      </c>
      <c r="BY59" s="4" t="e">
        <f t="shared" ca="1" si="192"/>
        <v>#NAME?</v>
      </c>
      <c r="BZ59" s="4" t="e">
        <f t="shared" ca="1" si="193"/>
        <v>#NAME?</v>
      </c>
      <c r="CA59" s="4" t="e">
        <f t="shared" ca="1" si="30"/>
        <v>#NAME?</v>
      </c>
      <c r="CB59" s="4" t="e">
        <f t="shared" ca="1" si="154"/>
        <v>#NAME?</v>
      </c>
      <c r="CC59" s="4"/>
      <c r="CD59" s="4" t="e">
        <f t="shared" ca="1" si="194"/>
        <v>#NAME?</v>
      </c>
      <c r="CE59" s="4" t="e">
        <f t="shared" ca="1" si="123"/>
        <v>#NAME?</v>
      </c>
      <c r="CF59" s="16" t="e">
        <f t="shared" ca="1" si="195"/>
        <v>#NAME?</v>
      </c>
      <c r="CG59" s="4">
        <f t="shared" si="196"/>
        <v>0</v>
      </c>
      <c r="CH59" s="4" t="e">
        <f t="shared" ca="1" si="197"/>
        <v>#NAME?</v>
      </c>
      <c r="CI59" s="4" t="e">
        <f t="shared" ca="1" si="198"/>
        <v>#NAME?</v>
      </c>
      <c r="CJ59" s="4" t="e">
        <f t="shared" ca="1" si="124"/>
        <v>#NAME?</v>
      </c>
      <c r="CK59" s="4" t="e">
        <f t="shared" ca="1" si="199"/>
        <v>#NAME?</v>
      </c>
      <c r="CL59" s="4" t="e">
        <f t="shared" ca="1" si="200"/>
        <v>#NAME?</v>
      </c>
      <c r="CM59" s="16"/>
      <c r="CN59" s="4" t="e">
        <f t="shared" ca="1" si="201"/>
        <v>#NAME?</v>
      </c>
      <c r="CO59" s="4" t="e">
        <f t="shared" ca="1" si="202"/>
        <v>#NAME?</v>
      </c>
      <c r="CP59" s="4" t="e">
        <f t="shared" ca="1" si="271"/>
        <v>#NAME?</v>
      </c>
      <c r="CQ59" s="4"/>
      <c r="CR59" s="4" t="e">
        <f t="shared" ca="1" si="203"/>
        <v>#NAME?</v>
      </c>
      <c r="CS59" s="4">
        <f t="shared" ca="1" si="204"/>
        <v>72470</v>
      </c>
      <c r="CT59" s="4">
        <f t="shared" ca="1" si="205"/>
        <v>0</v>
      </c>
      <c r="CU59" s="4"/>
      <c r="CV59" s="4" t="e">
        <f t="shared" ca="1" si="126"/>
        <v>#NAME?</v>
      </c>
      <c r="CW59" s="4">
        <f t="shared" ca="1" si="206"/>
        <v>0</v>
      </c>
      <c r="CX59" s="4">
        <f t="shared" si="207"/>
        <v>0</v>
      </c>
      <c r="CY59" s="4" t="e">
        <f t="shared" ca="1" si="127"/>
        <v>#NAME?</v>
      </c>
      <c r="CZ59" s="4"/>
      <c r="DA59" s="4" t="e">
        <f t="shared" ca="1" si="208"/>
        <v>#NAME?</v>
      </c>
      <c r="DB59" s="4">
        <f t="shared" si="209"/>
        <v>0</v>
      </c>
      <c r="DC59" s="4">
        <f t="shared" si="128"/>
        <v>0</v>
      </c>
      <c r="DD59" s="4">
        <f t="shared" si="210"/>
        <v>0</v>
      </c>
      <c r="DE59" s="4" t="e">
        <f t="shared" ca="1" si="211"/>
        <v>#NAME?</v>
      </c>
      <c r="DF59" s="4" t="e">
        <f t="shared" ca="1" si="129"/>
        <v>#NAME?</v>
      </c>
      <c r="DG59" s="4" t="e">
        <f t="shared" ca="1" si="130"/>
        <v>#NAME?</v>
      </c>
      <c r="DH59" s="4">
        <f t="shared" si="212"/>
        <v>0</v>
      </c>
      <c r="DI59" s="4"/>
      <c r="DJ59" s="4" t="e">
        <f t="shared" ca="1" si="213"/>
        <v>#NAME?</v>
      </c>
      <c r="DK59" s="4">
        <f t="shared" ca="1" si="214"/>
        <v>15500</v>
      </c>
      <c r="DL59" s="4">
        <f t="shared" ca="1" si="215"/>
        <v>15500</v>
      </c>
      <c r="DM59" s="4" t="e">
        <f t="shared" ca="1" si="216"/>
        <v>#NAME?</v>
      </c>
      <c r="DN59" s="4" t="e">
        <f t="shared" ca="1" si="217"/>
        <v>#NAME?</v>
      </c>
      <c r="DO59" s="4" t="e">
        <f t="shared" ca="1" si="55"/>
        <v>#NAME?</v>
      </c>
      <c r="DP59" s="4"/>
      <c r="DQ59" s="4" t="e">
        <f t="shared" ca="1" si="56"/>
        <v>#NAME?</v>
      </c>
      <c r="DR59" s="4"/>
      <c r="DS59" s="4">
        <f t="shared" si="131"/>
        <v>0</v>
      </c>
      <c r="DT59" s="4" t="e">
        <f t="shared" ca="1" si="274"/>
        <v>#NAME?</v>
      </c>
      <c r="DU59" s="4">
        <f t="shared" si="218"/>
        <v>0</v>
      </c>
      <c r="DV59" s="4"/>
      <c r="DW59" s="4" t="e">
        <f t="shared" ca="1" si="265"/>
        <v>#NAME?</v>
      </c>
      <c r="DX59" s="4" t="e">
        <f t="shared" ca="1" si="219"/>
        <v>#NAME?</v>
      </c>
      <c r="DY59" s="4" t="e">
        <f t="shared" ca="1" si="133"/>
        <v>#NAME?</v>
      </c>
      <c r="DZ59" s="4" t="e">
        <f t="shared" ca="1" si="220"/>
        <v>#NAME?</v>
      </c>
      <c r="EA59" s="4" t="e">
        <f t="shared" ca="1" si="221"/>
        <v>#NAME?</v>
      </c>
      <c r="EB59" s="4" t="e">
        <f t="shared" ca="1" si="222"/>
        <v>#NAME?</v>
      </c>
      <c r="EC59" s="4">
        <f t="shared" si="223"/>
        <v>2</v>
      </c>
      <c r="ED59" s="4"/>
      <c r="EE59" s="4" t="e">
        <f t="shared" ca="1" si="266"/>
        <v>#NAME?</v>
      </c>
      <c r="EF59" s="4">
        <f t="shared" si="224"/>
        <v>0</v>
      </c>
      <c r="EG59" s="4" t="e">
        <f t="shared" ca="1" si="135"/>
        <v>#NAME?</v>
      </c>
      <c r="EH59" s="4" t="e">
        <f t="shared" ca="1" si="225"/>
        <v>#NAME?</v>
      </c>
      <c r="EI59" s="4" t="e">
        <f t="shared" ca="1" si="226"/>
        <v>#NAME?</v>
      </c>
      <c r="EJ59" s="4" t="e">
        <f t="shared" ca="1" si="227"/>
        <v>#NAME?</v>
      </c>
      <c r="EK59" s="4">
        <f t="shared" si="228"/>
        <v>2</v>
      </c>
      <c r="EL59" s="4">
        <f t="shared" si="229"/>
        <v>0</v>
      </c>
      <c r="EM59" s="4"/>
      <c r="EN59" s="4" t="e">
        <f t="shared" ca="1" si="267"/>
        <v>#NAME?</v>
      </c>
      <c r="EO59" s="4" t="e">
        <f t="shared" ca="1" si="230"/>
        <v>#NAME?</v>
      </c>
      <c r="EP59" s="4" t="e">
        <f t="shared" ca="1" si="137"/>
        <v>#NAME?</v>
      </c>
      <c r="EQ59" s="4" t="e">
        <f t="shared" ca="1" si="231"/>
        <v>#NAME?</v>
      </c>
      <c r="ER59" s="4">
        <v>0</v>
      </c>
      <c r="ES59" s="4" t="e">
        <f t="shared" ca="1" si="138"/>
        <v>#NAME?</v>
      </c>
      <c r="ET59" s="4"/>
      <c r="EU59" s="4" t="e">
        <f t="shared" ca="1" si="268"/>
        <v>#NAME?</v>
      </c>
      <c r="EV59" s="4" t="e">
        <f t="shared" ca="1" si="232"/>
        <v>#NAME?</v>
      </c>
      <c r="EW59" s="4" t="e">
        <f t="shared" ca="1" si="140"/>
        <v>#NAME?</v>
      </c>
      <c r="EX59" s="4" t="e">
        <f t="shared" ca="1" si="233"/>
        <v>#NAME?</v>
      </c>
      <c r="EY59" s="4">
        <v>0</v>
      </c>
      <c r="EZ59" s="4" t="e">
        <f t="shared" ca="1" si="141"/>
        <v>#NAME?</v>
      </c>
      <c r="FA59" s="4" t="e">
        <f t="shared" ca="1" si="269"/>
        <v>#NAME?</v>
      </c>
      <c r="FB59" s="1" t="e">
        <f t="shared" ca="1" si="74"/>
        <v>#NAME?</v>
      </c>
      <c r="FC59" s="4" t="e">
        <f t="shared" ca="1" si="143"/>
        <v>#NAME?</v>
      </c>
      <c r="FD59" s="4" t="e">
        <f t="shared" ca="1" si="144"/>
        <v>#NAME?</v>
      </c>
      <c r="FE59" s="4" t="e">
        <f t="shared" ca="1" si="234"/>
        <v>#NAME?</v>
      </c>
      <c r="FF59" s="4" t="e">
        <f t="shared" ca="1" si="235"/>
        <v>#NAME?</v>
      </c>
      <c r="FG59" s="4" t="e">
        <f t="shared" ca="1" si="236"/>
        <v>#NAME?</v>
      </c>
      <c r="FH59" s="17" t="e">
        <f t="shared" ca="1" si="237"/>
        <v>#NAME?</v>
      </c>
      <c r="FI59" s="4" t="e">
        <f t="shared" ca="1" si="238"/>
        <v>#NAME?</v>
      </c>
      <c r="FJ59" s="4"/>
      <c r="FK59" s="4" t="e">
        <f t="shared" ca="1" si="239"/>
        <v>#NAME?</v>
      </c>
      <c r="FL59" s="4"/>
      <c r="FM59" s="4">
        <v>0</v>
      </c>
      <c r="FN59" s="4">
        <v>0</v>
      </c>
      <c r="FO59" s="4">
        <v>0</v>
      </c>
      <c r="FP59" s="4">
        <v>0</v>
      </c>
      <c r="FQ59" s="4">
        <v>0</v>
      </c>
      <c r="FR59" s="4">
        <v>0</v>
      </c>
      <c r="FS59" s="4">
        <f t="shared" si="240"/>
        <v>0</v>
      </c>
      <c r="FT59" s="4">
        <f t="shared" si="241"/>
        <v>0</v>
      </c>
      <c r="FU59" s="4"/>
      <c r="FV59" s="3">
        <f t="shared" si="242"/>
        <v>0.35710100165990155</v>
      </c>
      <c r="FW59" s="3">
        <f t="shared" si="243"/>
        <v>0.35710100165990155</v>
      </c>
      <c r="FX59" s="4">
        <f t="shared" si="145"/>
        <v>2069</v>
      </c>
      <c r="FY59" s="4">
        <f t="shared" si="244"/>
        <v>0</v>
      </c>
      <c r="FZ59" s="4">
        <f t="shared" si="245"/>
        <v>8</v>
      </c>
      <c r="GA59" s="4" t="e">
        <f t="shared" ca="1" si="246"/>
        <v>#NAME?</v>
      </c>
      <c r="GB59" s="4">
        <f t="shared" si="247"/>
        <v>3.0951405317010563</v>
      </c>
      <c r="GC59" s="4" t="e">
        <f t="shared" ca="1" si="248"/>
        <v>#NAME?</v>
      </c>
      <c r="GD59" s="4" t="e">
        <f t="shared" ca="1" si="249"/>
        <v>#NAME?</v>
      </c>
      <c r="GE59" s="4" t="e">
        <f t="shared" ca="1" si="250"/>
        <v>#NAME?</v>
      </c>
      <c r="GF59" s="4" t="e">
        <f t="shared" ca="1" si="251"/>
        <v>#NAME?</v>
      </c>
      <c r="GG59" s="18" t="e">
        <f t="shared" ca="1" si="252"/>
        <v>#NAME?</v>
      </c>
      <c r="GH59" s="18" t="e">
        <f t="shared" ca="1" si="253"/>
        <v>#NAME?</v>
      </c>
      <c r="GI59" s="4"/>
      <c r="GJ59" s="4">
        <f t="shared" si="254"/>
        <v>2069</v>
      </c>
      <c r="GK59" s="4" t="e">
        <f t="shared" ca="1" si="255"/>
        <v>#NAME?</v>
      </c>
      <c r="GL59" s="4" t="e">
        <f t="shared" ca="1" si="256"/>
        <v>#NAME?</v>
      </c>
      <c r="GM59" s="4" t="e">
        <f t="shared" ca="1" si="257"/>
        <v>#NAME?</v>
      </c>
      <c r="GN59" s="4" t="e">
        <f t="shared" ca="1" si="258"/>
        <v>#NAME?</v>
      </c>
      <c r="GO59" s="4"/>
      <c r="GP59" s="3" t="e">
        <f t="shared" ca="1" si="146"/>
        <v>#NAME?</v>
      </c>
      <c r="GQ59" s="3" t="e">
        <f t="shared" ca="1" si="259"/>
        <v>#NAME?</v>
      </c>
      <c r="GR59" s="3" t="e">
        <f t="shared" ca="1" si="260"/>
        <v>#NAME?</v>
      </c>
      <c r="GS59" s="3" t="e">
        <f t="shared" ca="1" si="261"/>
        <v>#NAME?</v>
      </c>
      <c r="GT59" s="3" t="e">
        <f t="array" aca="1" ref="GT59" ca="1">SUM(GP59:GS59*$GU$6:$GX$6)</f>
        <v>#NAME?</v>
      </c>
      <c r="GU59" s="3" t="e">
        <f t="shared" ca="1" si="147"/>
        <v>#NAME?</v>
      </c>
      <c r="GV59" s="3" t="e">
        <f t="shared" ca="1" si="148"/>
        <v>#NAME?</v>
      </c>
      <c r="GW59" s="3" t="e">
        <f t="shared" ca="1" si="149"/>
        <v>#NAME?</v>
      </c>
      <c r="GX59" s="3" t="e">
        <f t="shared" ca="1" si="150"/>
        <v>#NAME?</v>
      </c>
      <c r="GY59" s="11"/>
      <c r="HG59" s="27">
        <v>99</v>
      </c>
      <c r="HH59" s="30">
        <v>0.2</v>
      </c>
      <c r="HJ59">
        <f t="shared" si="153"/>
        <v>2062</v>
      </c>
      <c r="HK59" s="28">
        <f t="shared" si="163"/>
        <v>63090</v>
      </c>
      <c r="HL59" s="27">
        <f t="shared" si="155"/>
        <v>13500</v>
      </c>
      <c r="HM59" s="28">
        <f t="shared" si="156"/>
        <v>13676.362091740548</v>
      </c>
      <c r="HO59" t="s">
        <v>273</v>
      </c>
      <c r="HQ59" s="27">
        <v>0.38</v>
      </c>
    </row>
    <row r="60" spans="1:241" x14ac:dyDescent="0.25">
      <c r="A60" t="s">
        <v>50</v>
      </c>
      <c r="B60" s="62">
        <f>Inputs_Summary!AK57</f>
        <v>1</v>
      </c>
      <c r="D60">
        <f t="shared" si="106"/>
        <v>2070</v>
      </c>
      <c r="E60">
        <f t="shared" si="106"/>
        <v>75</v>
      </c>
      <c r="F60" s="8"/>
      <c r="G60" s="8"/>
      <c r="H60" s="8"/>
      <c r="I60" s="8"/>
      <c r="J60" s="92"/>
      <c r="K60" s="91"/>
      <c r="L60" s="91"/>
      <c r="N60" s="93">
        <f t="shared" si="107"/>
        <v>0.05</v>
      </c>
      <c r="O60" s="23">
        <f t="shared" si="108"/>
        <v>0</v>
      </c>
      <c r="P60" s="23">
        <f t="shared" si="109"/>
        <v>0.4</v>
      </c>
      <c r="Q60" s="4">
        <f t="shared" si="164"/>
        <v>0</v>
      </c>
      <c r="R60" s="4">
        <f t="shared" si="263"/>
        <v>0</v>
      </c>
      <c r="S60" s="4">
        <f t="shared" si="165"/>
        <v>0</v>
      </c>
      <c r="T60" s="4">
        <f t="shared" ca="1" si="166"/>
        <v>0</v>
      </c>
      <c r="V60" s="18" t="e">
        <f t="shared" ca="1" si="167"/>
        <v>#NAME?</v>
      </c>
      <c r="W60" s="18" t="e">
        <f t="shared" ca="1" si="168"/>
        <v>#NAME?</v>
      </c>
      <c r="X60" s="18" t="e">
        <f t="shared" ca="1" si="169"/>
        <v>#NAME?</v>
      </c>
      <c r="Y60" s="18" t="e">
        <f t="shared" ca="1" si="170"/>
        <v>#NAME?</v>
      </c>
      <c r="Z60" s="18" t="e">
        <f t="shared" ca="1" si="171"/>
        <v>#NAME?</v>
      </c>
      <c r="AA60" s="18" t="e">
        <f t="shared" ca="1" si="172"/>
        <v>#NAME?</v>
      </c>
      <c r="AB60" s="18" t="e">
        <f t="shared" ca="1" si="173"/>
        <v>#NAME?</v>
      </c>
      <c r="AC60" s="18" t="e">
        <f t="shared" ca="1" si="174"/>
        <v>#NAME?</v>
      </c>
      <c r="AD60" s="18" t="e">
        <f t="shared" ca="1" si="175"/>
        <v>#NAME?</v>
      </c>
      <c r="AE60" s="18" t="e">
        <f t="shared" ca="1" si="176"/>
        <v>#NAME?</v>
      </c>
      <c r="AF60" s="18" t="e">
        <f t="shared" ca="1" si="177"/>
        <v>#NAME?</v>
      </c>
      <c r="AG60" s="18" t="e">
        <f t="shared" ca="1" si="178"/>
        <v>#NAME?</v>
      </c>
      <c r="AI60">
        <f>Person1!E60</f>
        <v>75</v>
      </c>
      <c r="AJ60">
        <f>Person1!AZ60</f>
        <v>2</v>
      </c>
      <c r="AK60">
        <f>IF(AZ60&lt;&gt;3,Person1!FM60,0)</f>
        <v>0</v>
      </c>
      <c r="AL60" s="4">
        <f>IF($AZ60&lt;&gt;3,Person1!FN60+Person1!FT60,0)</f>
        <v>0</v>
      </c>
      <c r="AM60">
        <f>IF($AZ60&lt;&gt;3,Person1!FO60,0)</f>
        <v>0</v>
      </c>
      <c r="AN60">
        <f>IF($AZ60&lt;&gt;3,Person1!FP60,0)</f>
        <v>0</v>
      </c>
      <c r="AO60">
        <f>IF($AZ60&lt;&gt;3,Person1!FQ60,0)</f>
        <v>0</v>
      </c>
      <c r="AP60">
        <f>IF($AZ60&lt;&gt;3,Person1!FR60,0)</f>
        <v>0</v>
      </c>
      <c r="AQ60" s="4">
        <f t="shared" si="179"/>
        <v>0</v>
      </c>
      <c r="AR60" s="4">
        <f>Person1!FS60</f>
        <v>8584.7315468445904</v>
      </c>
      <c r="AS60" s="4">
        <f>$B$41*MAX(0,CHOOSE($AZ60,0,IF(AND(Person1!AW60&gt;=Person1!$B$36,AV60&gt;=$B$93),Person1!$B$35*(1+Person1!$B$37)^(Person1!$B$36-Person1!$B$11)*(1+Person1!$B$38)^(Person1!AW60-Person1!$B$36)-CHOOSE(Person1!$B$39+1,0,BD60,BE60,BD60+BE60),0),0,0))</f>
        <v>0</v>
      </c>
      <c r="AT60" s="4">
        <f t="shared" si="180"/>
        <v>0</v>
      </c>
      <c r="AV60">
        <f t="shared" si="275"/>
        <v>2070</v>
      </c>
      <c r="AW60">
        <f t="shared" si="275"/>
        <v>75</v>
      </c>
      <c r="AX60">
        <f t="shared" si="112"/>
        <v>2.8563347491571447</v>
      </c>
      <c r="AY60">
        <f t="shared" si="113"/>
        <v>0.35009902123519759</v>
      </c>
      <c r="AZ60">
        <f t="shared" si="114"/>
        <v>2</v>
      </c>
      <c r="BB60" s="4">
        <f t="shared" si="181"/>
        <v>0</v>
      </c>
      <c r="BC60">
        <f t="shared" si="182"/>
        <v>0</v>
      </c>
      <c r="BD60" s="4">
        <f t="shared" si="183"/>
        <v>22850.677993257159</v>
      </c>
      <c r="BE60" s="4" t="e">
        <f t="shared" ca="1" si="115"/>
        <v>#NAME?</v>
      </c>
      <c r="BF60" s="4">
        <f t="shared" si="116"/>
        <v>0</v>
      </c>
      <c r="BG60" s="4">
        <f t="shared" si="117"/>
        <v>8584.7315468445904</v>
      </c>
      <c r="BH60" s="4">
        <f t="shared" si="184"/>
        <v>0</v>
      </c>
      <c r="BI60" s="4" t="e">
        <f t="shared" ca="1" si="118"/>
        <v>#NAME?</v>
      </c>
      <c r="BJ60" s="4"/>
      <c r="BK60" s="4">
        <f t="shared" si="185"/>
        <v>71408.368728928617</v>
      </c>
      <c r="BL60" s="4">
        <f t="shared" si="119"/>
        <v>0</v>
      </c>
      <c r="BM60" s="4">
        <f t="shared" si="120"/>
        <v>71408.368728928617</v>
      </c>
      <c r="BN60" s="4">
        <v>48906.253822235136</v>
      </c>
      <c r="BO60" s="4">
        <f t="shared" si="121"/>
        <v>120314.62255116375</v>
      </c>
      <c r="BP60" s="4" t="e">
        <f t="shared" ca="1" si="122"/>
        <v>#NAME?</v>
      </c>
      <c r="BQ60" s="4"/>
      <c r="BR60" s="4">
        <v>0</v>
      </c>
      <c r="BS60" s="4" t="e">
        <f t="shared" ca="1" si="186"/>
        <v>#NAME?</v>
      </c>
      <c r="BT60" s="4" t="e">
        <f t="shared" ca="1" si="187"/>
        <v>#NAME?</v>
      </c>
      <c r="BU60" s="4" t="e">
        <f t="shared" ca="1" si="188"/>
        <v>#NAME?</v>
      </c>
      <c r="BV60" s="4">
        <f t="shared" si="189"/>
        <v>1</v>
      </c>
      <c r="BW60" s="4" t="e">
        <f t="shared" ca="1" si="190"/>
        <v>#NAME?</v>
      </c>
      <c r="BX60" s="4" t="e">
        <f t="shared" ca="1" si="191"/>
        <v>#NAME?</v>
      </c>
      <c r="BY60" s="4" t="e">
        <f t="shared" ca="1" si="192"/>
        <v>#NAME?</v>
      </c>
      <c r="BZ60" s="4" t="e">
        <f t="shared" ca="1" si="193"/>
        <v>#NAME?</v>
      </c>
      <c r="CA60" s="4" t="e">
        <f t="shared" ca="1" si="30"/>
        <v>#NAME?</v>
      </c>
      <c r="CB60" s="4" t="e">
        <f t="shared" ca="1" si="154"/>
        <v>#NAME?</v>
      </c>
      <c r="CC60" s="4"/>
      <c r="CD60" s="4" t="e">
        <f t="shared" ca="1" si="194"/>
        <v>#NAME?</v>
      </c>
      <c r="CE60" s="4" t="e">
        <f t="shared" ca="1" si="123"/>
        <v>#NAME?</v>
      </c>
      <c r="CF60" s="16" t="e">
        <f t="shared" ca="1" si="195"/>
        <v>#NAME?</v>
      </c>
      <c r="CG60" s="4">
        <f t="shared" si="196"/>
        <v>0</v>
      </c>
      <c r="CH60" s="4" t="e">
        <f t="shared" ca="1" si="197"/>
        <v>#NAME?</v>
      </c>
      <c r="CI60" s="4" t="e">
        <f t="shared" ca="1" si="198"/>
        <v>#NAME?</v>
      </c>
      <c r="CJ60" s="4" t="e">
        <f t="shared" ca="1" si="124"/>
        <v>#NAME?</v>
      </c>
      <c r="CK60" s="4" t="e">
        <f t="shared" ca="1" si="199"/>
        <v>#NAME?</v>
      </c>
      <c r="CL60" s="4" t="e">
        <f t="shared" ca="1" si="200"/>
        <v>#NAME?</v>
      </c>
      <c r="CM60" s="16"/>
      <c r="CN60" s="4" t="e">
        <f t="shared" ca="1" si="201"/>
        <v>#NAME?</v>
      </c>
      <c r="CO60" s="4" t="e">
        <f t="shared" ca="1" si="202"/>
        <v>#NAME?</v>
      </c>
      <c r="CP60" s="4" t="e">
        <f t="shared" ca="1" si="271"/>
        <v>#NAME?</v>
      </c>
      <c r="CQ60" s="4"/>
      <c r="CR60" s="4" t="e">
        <f t="shared" ca="1" si="203"/>
        <v>#NAME?</v>
      </c>
      <c r="CS60" s="4">
        <f t="shared" ca="1" si="204"/>
        <v>73910</v>
      </c>
      <c r="CT60" s="4">
        <f t="shared" ca="1" si="205"/>
        <v>0</v>
      </c>
      <c r="CU60" s="4"/>
      <c r="CV60" s="4" t="e">
        <f t="shared" ca="1" si="126"/>
        <v>#NAME?</v>
      </c>
      <c r="CW60" s="4">
        <f t="shared" ca="1" si="206"/>
        <v>0</v>
      </c>
      <c r="CX60" s="4">
        <f t="shared" si="207"/>
        <v>0</v>
      </c>
      <c r="CY60" s="4" t="e">
        <f t="shared" ca="1" si="127"/>
        <v>#NAME?</v>
      </c>
      <c r="CZ60" s="4"/>
      <c r="DA60" s="4" t="e">
        <f t="shared" ca="1" si="208"/>
        <v>#NAME?</v>
      </c>
      <c r="DB60" s="4">
        <f t="shared" si="209"/>
        <v>0</v>
      </c>
      <c r="DC60" s="4">
        <f t="shared" si="128"/>
        <v>0</v>
      </c>
      <c r="DD60" s="4">
        <f t="shared" si="210"/>
        <v>0</v>
      </c>
      <c r="DE60" s="4" t="e">
        <f t="shared" ca="1" si="211"/>
        <v>#NAME?</v>
      </c>
      <c r="DF60" s="4" t="e">
        <f t="shared" ca="1" si="129"/>
        <v>#NAME?</v>
      </c>
      <c r="DG60" s="4" t="e">
        <f t="shared" ca="1" si="130"/>
        <v>#NAME?</v>
      </c>
      <c r="DH60" s="4">
        <f t="shared" si="212"/>
        <v>0</v>
      </c>
      <c r="DI60" s="4"/>
      <c r="DJ60" s="4" t="e">
        <f t="shared" ca="1" si="213"/>
        <v>#NAME?</v>
      </c>
      <c r="DK60" s="4">
        <f t="shared" ca="1" si="214"/>
        <v>16000</v>
      </c>
      <c r="DL60" s="4">
        <f t="shared" ca="1" si="215"/>
        <v>16000</v>
      </c>
      <c r="DM60" s="4" t="e">
        <f t="shared" ca="1" si="216"/>
        <v>#NAME?</v>
      </c>
      <c r="DN60" s="4" t="e">
        <f t="shared" ca="1" si="217"/>
        <v>#NAME?</v>
      </c>
      <c r="DO60" s="4" t="e">
        <f t="shared" ca="1" si="55"/>
        <v>#NAME?</v>
      </c>
      <c r="DP60" s="4"/>
      <c r="DQ60" s="4" t="e">
        <f t="shared" ca="1" si="56"/>
        <v>#NAME?</v>
      </c>
      <c r="DR60" s="4"/>
      <c r="DS60" s="4">
        <f t="shared" si="131"/>
        <v>0</v>
      </c>
      <c r="DT60" s="4" t="e">
        <f t="shared" ca="1" si="274"/>
        <v>#NAME?</v>
      </c>
      <c r="DU60" s="4">
        <f t="shared" si="218"/>
        <v>0</v>
      </c>
      <c r="DV60" s="4"/>
      <c r="DW60" s="4" t="e">
        <f t="shared" ca="1" si="265"/>
        <v>#NAME?</v>
      </c>
      <c r="DX60" s="4" t="e">
        <f t="shared" ca="1" si="219"/>
        <v>#NAME?</v>
      </c>
      <c r="DY60" s="4" t="e">
        <f t="shared" ca="1" si="133"/>
        <v>#NAME?</v>
      </c>
      <c r="DZ60" s="4" t="e">
        <f t="shared" ca="1" si="220"/>
        <v>#NAME?</v>
      </c>
      <c r="EA60" s="4" t="e">
        <f t="shared" ca="1" si="221"/>
        <v>#NAME?</v>
      </c>
      <c r="EB60" s="4" t="e">
        <f t="shared" ca="1" si="222"/>
        <v>#NAME?</v>
      </c>
      <c r="EC60" s="4">
        <f t="shared" si="223"/>
        <v>2</v>
      </c>
      <c r="ED60" s="4"/>
      <c r="EE60" s="4" t="e">
        <f t="shared" ca="1" si="266"/>
        <v>#NAME?</v>
      </c>
      <c r="EF60" s="4">
        <f t="shared" si="224"/>
        <v>0</v>
      </c>
      <c r="EG60" s="4" t="e">
        <f t="shared" ca="1" si="135"/>
        <v>#NAME?</v>
      </c>
      <c r="EH60" s="4" t="e">
        <f t="shared" ca="1" si="225"/>
        <v>#NAME?</v>
      </c>
      <c r="EI60" s="4" t="e">
        <f t="shared" ca="1" si="226"/>
        <v>#NAME?</v>
      </c>
      <c r="EJ60" s="4" t="e">
        <f t="shared" ca="1" si="227"/>
        <v>#NAME?</v>
      </c>
      <c r="EK60" s="4">
        <f t="shared" si="228"/>
        <v>2</v>
      </c>
      <c r="EL60" s="4">
        <f t="shared" si="229"/>
        <v>0</v>
      </c>
      <c r="EM60" s="4"/>
      <c r="EN60" s="4" t="e">
        <f t="shared" ca="1" si="267"/>
        <v>#NAME?</v>
      </c>
      <c r="EO60" s="4" t="e">
        <f t="shared" ca="1" si="230"/>
        <v>#NAME?</v>
      </c>
      <c r="EP60" s="4" t="e">
        <f t="shared" ca="1" si="137"/>
        <v>#NAME?</v>
      </c>
      <c r="EQ60" s="4" t="e">
        <f t="shared" ca="1" si="231"/>
        <v>#NAME?</v>
      </c>
      <c r="ER60" s="4">
        <v>0</v>
      </c>
      <c r="ES60" s="4" t="e">
        <f t="shared" ca="1" si="138"/>
        <v>#NAME?</v>
      </c>
      <c r="ET60" s="4"/>
      <c r="EU60" s="4" t="e">
        <f t="shared" ca="1" si="268"/>
        <v>#NAME?</v>
      </c>
      <c r="EV60" s="4" t="e">
        <f t="shared" ca="1" si="232"/>
        <v>#NAME?</v>
      </c>
      <c r="EW60" s="4" t="e">
        <f t="shared" ca="1" si="140"/>
        <v>#NAME?</v>
      </c>
      <c r="EX60" s="4" t="e">
        <f t="shared" ca="1" si="233"/>
        <v>#NAME?</v>
      </c>
      <c r="EY60" s="4">
        <v>0</v>
      </c>
      <c r="EZ60" s="4" t="e">
        <f t="shared" ca="1" si="141"/>
        <v>#NAME?</v>
      </c>
      <c r="FA60" s="4" t="e">
        <f t="shared" ca="1" si="269"/>
        <v>#NAME?</v>
      </c>
      <c r="FB60" s="1" t="e">
        <f t="shared" ca="1" si="74"/>
        <v>#NAME?</v>
      </c>
      <c r="FC60" s="4" t="e">
        <f t="shared" ca="1" si="143"/>
        <v>#NAME?</v>
      </c>
      <c r="FD60" s="4" t="e">
        <f t="shared" ca="1" si="144"/>
        <v>#NAME?</v>
      </c>
      <c r="FE60" s="4" t="e">
        <f t="shared" ca="1" si="234"/>
        <v>#NAME?</v>
      </c>
      <c r="FF60" s="4" t="e">
        <f t="shared" ca="1" si="235"/>
        <v>#NAME?</v>
      </c>
      <c r="FG60" s="4" t="e">
        <f t="shared" ca="1" si="236"/>
        <v>#NAME?</v>
      </c>
      <c r="FH60" s="17" t="e">
        <f t="shared" ca="1" si="237"/>
        <v>#NAME?</v>
      </c>
      <c r="FI60" s="4" t="e">
        <f t="shared" ca="1" si="238"/>
        <v>#NAME?</v>
      </c>
      <c r="FJ60" s="4"/>
      <c r="FK60" s="4" t="e">
        <f t="shared" ca="1" si="239"/>
        <v>#NAME?</v>
      </c>
      <c r="FL60" s="4"/>
      <c r="FM60" s="4">
        <v>0</v>
      </c>
      <c r="FN60" s="4">
        <v>0</v>
      </c>
      <c r="FO60" s="4">
        <v>0</v>
      </c>
      <c r="FP60" s="4">
        <v>0</v>
      </c>
      <c r="FQ60" s="4">
        <v>0</v>
      </c>
      <c r="FR60" s="4">
        <v>0</v>
      </c>
      <c r="FS60" s="4">
        <f t="shared" si="240"/>
        <v>0</v>
      </c>
      <c r="FT60" s="4">
        <f t="shared" si="241"/>
        <v>0</v>
      </c>
      <c r="FU60" s="4"/>
      <c r="FV60" s="3">
        <f t="shared" si="242"/>
        <v>0.35009902123519759</v>
      </c>
      <c r="FW60" s="3">
        <f t="shared" si="243"/>
        <v>0.35009902123519759</v>
      </c>
      <c r="FX60" s="4">
        <f t="shared" si="145"/>
        <v>2070</v>
      </c>
      <c r="FY60" s="4">
        <f t="shared" si="244"/>
        <v>0</v>
      </c>
      <c r="FZ60" s="4">
        <f t="shared" si="245"/>
        <v>8</v>
      </c>
      <c r="GA60" s="4" t="e">
        <f t="shared" ca="1" si="246"/>
        <v>#NAME?</v>
      </c>
      <c r="GB60" s="4">
        <f t="shared" si="247"/>
        <v>3.0055061121172146</v>
      </c>
      <c r="GC60" s="4" t="e">
        <f t="shared" ca="1" si="248"/>
        <v>#NAME?</v>
      </c>
      <c r="GD60" s="4" t="e">
        <f t="shared" ca="1" si="249"/>
        <v>#NAME?</v>
      </c>
      <c r="GE60" s="4" t="e">
        <f t="shared" ca="1" si="250"/>
        <v>#NAME?</v>
      </c>
      <c r="GF60" s="4" t="e">
        <f t="shared" ca="1" si="251"/>
        <v>#NAME?</v>
      </c>
      <c r="GG60" s="18" t="e">
        <f t="shared" ca="1" si="252"/>
        <v>#NAME?</v>
      </c>
      <c r="GH60" s="18" t="e">
        <f t="shared" ca="1" si="253"/>
        <v>#NAME?</v>
      </c>
      <c r="GI60" s="4"/>
      <c r="GJ60" s="4">
        <f t="shared" si="254"/>
        <v>2070</v>
      </c>
      <c r="GK60" s="4" t="e">
        <f t="shared" ca="1" si="255"/>
        <v>#NAME?</v>
      </c>
      <c r="GL60" s="4" t="e">
        <f t="shared" ca="1" si="256"/>
        <v>#NAME?</v>
      </c>
      <c r="GM60" s="4" t="e">
        <f t="shared" ca="1" si="257"/>
        <v>#NAME?</v>
      </c>
      <c r="GN60" s="4" t="e">
        <f t="shared" ca="1" si="258"/>
        <v>#NAME?</v>
      </c>
      <c r="GO60" s="4"/>
      <c r="GP60" s="3" t="e">
        <f t="shared" ca="1" si="146"/>
        <v>#NAME?</v>
      </c>
      <c r="GQ60" s="3" t="e">
        <f t="shared" ca="1" si="259"/>
        <v>#NAME?</v>
      </c>
      <c r="GR60" s="3" t="e">
        <f t="shared" ca="1" si="260"/>
        <v>#NAME?</v>
      </c>
      <c r="GS60" s="3" t="e">
        <f t="shared" ca="1" si="261"/>
        <v>#NAME?</v>
      </c>
      <c r="GT60" s="3" t="e">
        <f t="array" aca="1" ref="GT60" ca="1">SUM(GP60:GS60*$GU$6:$GX$6)</f>
        <v>#NAME?</v>
      </c>
      <c r="GU60" s="3" t="e">
        <f t="shared" ca="1" si="147"/>
        <v>#NAME?</v>
      </c>
      <c r="GV60" s="3" t="e">
        <f t="shared" ca="1" si="148"/>
        <v>#NAME?</v>
      </c>
      <c r="GW60" s="3" t="e">
        <f t="shared" ca="1" si="149"/>
        <v>#NAME?</v>
      </c>
      <c r="GX60" s="3" t="e">
        <f t="shared" ca="1" si="150"/>
        <v>#NAME?</v>
      </c>
      <c r="GY60" s="11"/>
      <c r="HG60" s="27">
        <v>100</v>
      </c>
      <c r="HH60" s="30">
        <v>0.2</v>
      </c>
      <c r="HJ60">
        <f t="shared" si="153"/>
        <v>2063</v>
      </c>
      <c r="HK60" s="28">
        <f t="shared" si="163"/>
        <v>64350</v>
      </c>
      <c r="HL60" s="27">
        <f t="shared" si="155"/>
        <v>14000</v>
      </c>
      <c r="HM60" s="28">
        <f t="shared" si="156"/>
        <v>13949.889333575358</v>
      </c>
      <c r="HO60" t="s">
        <v>274</v>
      </c>
      <c r="HQ60" s="27">
        <v>0.17</v>
      </c>
      <c r="HS60" t="s">
        <v>619</v>
      </c>
    </row>
    <row r="61" spans="1:241" x14ac:dyDescent="0.25">
      <c r="A61" t="s">
        <v>621</v>
      </c>
      <c r="B61" s="62">
        <f>Inputs_Summary!AK58</f>
        <v>0</v>
      </c>
      <c r="D61">
        <f t="shared" si="106"/>
        <v>2071</v>
      </c>
      <c r="E61">
        <f t="shared" si="106"/>
        <v>76</v>
      </c>
      <c r="F61" s="8"/>
      <c r="G61" s="8"/>
      <c r="H61" s="8"/>
      <c r="I61" s="8"/>
      <c r="J61" s="92"/>
      <c r="K61" s="91"/>
      <c r="L61" s="91"/>
      <c r="N61" s="93">
        <f t="shared" si="107"/>
        <v>0.05</v>
      </c>
      <c r="O61" s="23">
        <f t="shared" si="108"/>
        <v>0</v>
      </c>
      <c r="P61" s="23">
        <f t="shared" si="109"/>
        <v>0.4</v>
      </c>
      <c r="Q61" s="4">
        <f t="shared" si="164"/>
        <v>0</v>
      </c>
      <c r="R61" s="4">
        <f t="shared" si="263"/>
        <v>0</v>
      </c>
      <c r="S61" s="4">
        <f t="shared" si="165"/>
        <v>0</v>
      </c>
      <c r="T61" s="4">
        <f t="shared" ca="1" si="166"/>
        <v>0</v>
      </c>
      <c r="V61" s="18" t="e">
        <f t="shared" ca="1" si="167"/>
        <v>#NAME?</v>
      </c>
      <c r="W61" s="18" t="e">
        <f t="shared" ca="1" si="168"/>
        <v>#NAME?</v>
      </c>
      <c r="X61" s="18" t="e">
        <f t="shared" ca="1" si="169"/>
        <v>#NAME?</v>
      </c>
      <c r="Y61" s="18" t="e">
        <f t="shared" ca="1" si="170"/>
        <v>#NAME?</v>
      </c>
      <c r="Z61" s="18" t="e">
        <f t="shared" ca="1" si="171"/>
        <v>#NAME?</v>
      </c>
      <c r="AA61" s="18" t="e">
        <f t="shared" ca="1" si="172"/>
        <v>#NAME?</v>
      </c>
      <c r="AB61" s="18" t="e">
        <f t="shared" ca="1" si="173"/>
        <v>#NAME?</v>
      </c>
      <c r="AC61" s="18" t="e">
        <f t="shared" ca="1" si="174"/>
        <v>#NAME?</v>
      </c>
      <c r="AD61" s="18" t="e">
        <f t="shared" ca="1" si="175"/>
        <v>#NAME?</v>
      </c>
      <c r="AE61" s="18" t="e">
        <f t="shared" ca="1" si="176"/>
        <v>#NAME?</v>
      </c>
      <c r="AF61" s="18" t="e">
        <f t="shared" ca="1" si="177"/>
        <v>#NAME?</v>
      </c>
      <c r="AG61" s="18" t="e">
        <f t="shared" ca="1" si="178"/>
        <v>#NAME?</v>
      </c>
      <c r="AI61">
        <f>Person1!E61</f>
        <v>76</v>
      </c>
      <c r="AJ61">
        <f>Person1!AZ61</f>
        <v>2</v>
      </c>
      <c r="AK61">
        <f>IF(AZ61&lt;&gt;3,Person1!FM61,0)</f>
        <v>0</v>
      </c>
      <c r="AL61" s="4">
        <f>IF($AZ61&lt;&gt;3,Person1!FN61+Person1!FT61,0)</f>
        <v>0</v>
      </c>
      <c r="AM61">
        <f>IF($AZ61&lt;&gt;3,Person1!FO61,0)</f>
        <v>0</v>
      </c>
      <c r="AN61">
        <f>IF($AZ61&lt;&gt;3,Person1!FP61,0)</f>
        <v>0</v>
      </c>
      <c r="AO61">
        <f>IF($AZ61&lt;&gt;3,Person1!FQ61,0)</f>
        <v>0</v>
      </c>
      <c r="AP61">
        <f>IF($AZ61&lt;&gt;3,Person1!FR61,0)</f>
        <v>0</v>
      </c>
      <c r="AQ61" s="4">
        <f t="shared" si="179"/>
        <v>0</v>
      </c>
      <c r="AR61" s="4">
        <f>Person1!FS61</f>
        <v>8499.1201408667421</v>
      </c>
      <c r="AS61" s="4">
        <f>$B$41*MAX(0,CHOOSE($AZ61,0,IF(AND(Person1!AW61&gt;=Person1!$B$36,AV61&gt;=$B$93),Person1!$B$35*(1+Person1!$B$37)^(Person1!$B$36-Person1!$B$11)*(1+Person1!$B$38)^(Person1!AW61-Person1!$B$36)-CHOOSE(Person1!$B$39+1,0,BD61,BE61,BD61+BE61),0),0,0))</f>
        <v>0</v>
      </c>
      <c r="AT61" s="4">
        <f t="shared" si="180"/>
        <v>0</v>
      </c>
      <c r="AV61">
        <f t="shared" si="275"/>
        <v>2071</v>
      </c>
      <c r="AW61">
        <f t="shared" si="275"/>
        <v>76</v>
      </c>
      <c r="AX61">
        <f t="shared" si="112"/>
        <v>2.9134614441402875</v>
      </c>
      <c r="AY61">
        <f t="shared" si="113"/>
        <v>0.3432343345443114</v>
      </c>
      <c r="AZ61">
        <f t="shared" si="114"/>
        <v>2</v>
      </c>
      <c r="BB61" s="4">
        <f t="shared" si="181"/>
        <v>0</v>
      </c>
      <c r="BC61">
        <f t="shared" si="182"/>
        <v>0</v>
      </c>
      <c r="BD61" s="4">
        <f t="shared" si="183"/>
        <v>23307.691553122299</v>
      </c>
      <c r="BE61" s="4" t="e">
        <f t="shared" ca="1" si="115"/>
        <v>#NAME?</v>
      </c>
      <c r="BF61" s="4">
        <f t="shared" si="116"/>
        <v>0</v>
      </c>
      <c r="BG61" s="4">
        <f t="shared" si="117"/>
        <v>8499.1201408667421</v>
      </c>
      <c r="BH61" s="4">
        <f t="shared" si="184"/>
        <v>0</v>
      </c>
      <c r="BI61" s="4" t="e">
        <f t="shared" ca="1" si="118"/>
        <v>#NAME?</v>
      </c>
      <c r="BJ61" s="4"/>
      <c r="BK61" s="4">
        <f t="shared" si="185"/>
        <v>72836.536103507184</v>
      </c>
      <c r="BL61" s="4">
        <f t="shared" si="119"/>
        <v>0</v>
      </c>
      <c r="BM61" s="4">
        <f t="shared" si="120"/>
        <v>72836.536103507184</v>
      </c>
      <c r="BN61" s="4">
        <v>50516.41362199423</v>
      </c>
      <c r="BO61" s="4">
        <f t="shared" si="121"/>
        <v>123352.94972550141</v>
      </c>
      <c r="BP61" s="4" t="e">
        <f t="shared" ca="1" si="122"/>
        <v>#NAME?</v>
      </c>
      <c r="BQ61" s="4"/>
      <c r="BR61" s="4">
        <v>0</v>
      </c>
      <c r="BS61" s="4" t="e">
        <f t="shared" ca="1" si="186"/>
        <v>#NAME?</v>
      </c>
      <c r="BT61" s="4" t="e">
        <f t="shared" ca="1" si="187"/>
        <v>#NAME?</v>
      </c>
      <c r="BU61" s="4" t="e">
        <f t="shared" ca="1" si="188"/>
        <v>#NAME?</v>
      </c>
      <c r="BV61" s="4">
        <f t="shared" si="189"/>
        <v>1</v>
      </c>
      <c r="BW61" s="4" t="e">
        <f t="shared" ca="1" si="190"/>
        <v>#NAME?</v>
      </c>
      <c r="BX61" s="4" t="e">
        <f t="shared" ca="1" si="191"/>
        <v>#NAME?</v>
      </c>
      <c r="BY61" s="4" t="e">
        <f t="shared" ca="1" si="192"/>
        <v>#NAME?</v>
      </c>
      <c r="BZ61" s="4" t="e">
        <f t="shared" ca="1" si="193"/>
        <v>#NAME?</v>
      </c>
      <c r="CA61" s="4" t="e">
        <f t="shared" ca="1" si="30"/>
        <v>#NAME?</v>
      </c>
      <c r="CB61" s="4" t="e">
        <f t="shared" ca="1" si="154"/>
        <v>#NAME?</v>
      </c>
      <c r="CC61" s="4"/>
      <c r="CD61" s="4" t="e">
        <f t="shared" ca="1" si="194"/>
        <v>#NAME?</v>
      </c>
      <c r="CE61" s="4" t="e">
        <f t="shared" ca="1" si="123"/>
        <v>#NAME?</v>
      </c>
      <c r="CF61" s="16" t="e">
        <f t="shared" ca="1" si="195"/>
        <v>#NAME?</v>
      </c>
      <c r="CG61" s="4">
        <f t="shared" si="196"/>
        <v>0</v>
      </c>
      <c r="CH61" s="4" t="e">
        <f t="shared" ca="1" si="197"/>
        <v>#NAME?</v>
      </c>
      <c r="CI61" s="4" t="e">
        <f t="shared" ca="1" si="198"/>
        <v>#NAME?</v>
      </c>
      <c r="CJ61" s="4" t="e">
        <f t="shared" ca="1" si="124"/>
        <v>#NAME?</v>
      </c>
      <c r="CK61" s="4" t="e">
        <f t="shared" ca="1" si="199"/>
        <v>#NAME?</v>
      </c>
      <c r="CL61" s="4" t="e">
        <f t="shared" ca="1" si="200"/>
        <v>#NAME?</v>
      </c>
      <c r="CM61" s="16"/>
      <c r="CN61" s="4" t="e">
        <f t="shared" ca="1" si="201"/>
        <v>#NAME?</v>
      </c>
      <c r="CO61" s="4" t="e">
        <f t="shared" ca="1" si="202"/>
        <v>#NAME?</v>
      </c>
      <c r="CP61" s="4" t="e">
        <f t="shared" ca="1" si="271"/>
        <v>#NAME?</v>
      </c>
      <c r="CQ61" s="4"/>
      <c r="CR61" s="4" t="e">
        <f t="shared" ca="1" si="203"/>
        <v>#NAME?</v>
      </c>
      <c r="CS61" s="4">
        <f t="shared" ca="1" si="204"/>
        <v>75390</v>
      </c>
      <c r="CT61" s="4">
        <f t="shared" ca="1" si="205"/>
        <v>0</v>
      </c>
      <c r="CU61" s="4"/>
      <c r="CV61" s="4" t="e">
        <f t="shared" ca="1" si="126"/>
        <v>#NAME?</v>
      </c>
      <c r="CW61" s="4">
        <f t="shared" ca="1" si="206"/>
        <v>0</v>
      </c>
      <c r="CX61" s="4">
        <f t="shared" si="207"/>
        <v>0</v>
      </c>
      <c r="CY61" s="4" t="e">
        <f t="shared" ca="1" si="127"/>
        <v>#NAME?</v>
      </c>
      <c r="CZ61" s="4"/>
      <c r="DA61" s="4" t="e">
        <f t="shared" ca="1" si="208"/>
        <v>#NAME?</v>
      </c>
      <c r="DB61" s="4">
        <f t="shared" si="209"/>
        <v>0</v>
      </c>
      <c r="DC61" s="4">
        <f t="shared" si="128"/>
        <v>0</v>
      </c>
      <c r="DD61" s="4">
        <f t="shared" si="210"/>
        <v>0</v>
      </c>
      <c r="DE61" s="4" t="e">
        <f t="shared" ca="1" si="211"/>
        <v>#NAME?</v>
      </c>
      <c r="DF61" s="4" t="e">
        <f t="shared" ca="1" si="129"/>
        <v>#NAME?</v>
      </c>
      <c r="DG61" s="4" t="e">
        <f t="shared" ca="1" si="130"/>
        <v>#NAME?</v>
      </c>
      <c r="DH61" s="4">
        <f t="shared" si="212"/>
        <v>0</v>
      </c>
      <c r="DI61" s="4"/>
      <c r="DJ61" s="4" t="e">
        <f t="shared" ca="1" si="213"/>
        <v>#NAME?</v>
      </c>
      <c r="DK61" s="4">
        <f t="shared" ca="1" si="214"/>
        <v>16500</v>
      </c>
      <c r="DL61" s="4">
        <f t="shared" ca="1" si="215"/>
        <v>16500</v>
      </c>
      <c r="DM61" s="4" t="e">
        <f t="shared" ca="1" si="216"/>
        <v>#NAME?</v>
      </c>
      <c r="DN61" s="4" t="e">
        <f t="shared" ca="1" si="217"/>
        <v>#NAME?</v>
      </c>
      <c r="DO61" s="4" t="e">
        <f t="shared" ca="1" si="55"/>
        <v>#NAME?</v>
      </c>
      <c r="DP61" s="4"/>
      <c r="DQ61" s="4" t="e">
        <f t="shared" ca="1" si="56"/>
        <v>#NAME?</v>
      </c>
      <c r="DR61" s="4"/>
      <c r="DS61" s="4">
        <f t="shared" si="131"/>
        <v>0</v>
      </c>
      <c r="DT61" s="4" t="e">
        <f t="shared" ca="1" si="274"/>
        <v>#NAME?</v>
      </c>
      <c r="DU61" s="4">
        <f t="shared" si="218"/>
        <v>0</v>
      </c>
      <c r="DV61" s="4"/>
      <c r="DW61" s="4" t="e">
        <f t="shared" ca="1" si="265"/>
        <v>#NAME?</v>
      </c>
      <c r="DX61" s="4" t="e">
        <f t="shared" ca="1" si="219"/>
        <v>#NAME?</v>
      </c>
      <c r="DY61" s="4" t="e">
        <f t="shared" ca="1" si="133"/>
        <v>#NAME?</v>
      </c>
      <c r="DZ61" s="4" t="e">
        <f t="shared" ca="1" si="220"/>
        <v>#NAME?</v>
      </c>
      <c r="EA61" s="4" t="e">
        <f t="shared" ca="1" si="221"/>
        <v>#NAME?</v>
      </c>
      <c r="EB61" s="4" t="e">
        <f t="shared" ca="1" si="222"/>
        <v>#NAME?</v>
      </c>
      <c r="EC61" s="4">
        <f t="shared" si="223"/>
        <v>2</v>
      </c>
      <c r="ED61" s="4"/>
      <c r="EE61" s="4" t="e">
        <f t="shared" ca="1" si="266"/>
        <v>#NAME?</v>
      </c>
      <c r="EF61" s="4">
        <f t="shared" si="224"/>
        <v>0</v>
      </c>
      <c r="EG61" s="4" t="e">
        <f t="shared" ca="1" si="135"/>
        <v>#NAME?</v>
      </c>
      <c r="EH61" s="4" t="e">
        <f t="shared" ca="1" si="225"/>
        <v>#NAME?</v>
      </c>
      <c r="EI61" s="4" t="e">
        <f t="shared" ca="1" si="226"/>
        <v>#NAME?</v>
      </c>
      <c r="EJ61" s="4" t="e">
        <f t="shared" ca="1" si="227"/>
        <v>#NAME?</v>
      </c>
      <c r="EK61" s="4">
        <f t="shared" si="228"/>
        <v>2</v>
      </c>
      <c r="EL61" s="4">
        <f t="shared" si="229"/>
        <v>0</v>
      </c>
      <c r="EM61" s="4"/>
      <c r="EN61" s="4" t="e">
        <f t="shared" ca="1" si="267"/>
        <v>#NAME?</v>
      </c>
      <c r="EO61" s="4" t="e">
        <f t="shared" ca="1" si="230"/>
        <v>#NAME?</v>
      </c>
      <c r="EP61" s="4" t="e">
        <f t="shared" ca="1" si="137"/>
        <v>#NAME?</v>
      </c>
      <c r="EQ61" s="4" t="e">
        <f t="shared" ca="1" si="231"/>
        <v>#NAME?</v>
      </c>
      <c r="ER61" s="4">
        <v>0</v>
      </c>
      <c r="ES61" s="4" t="e">
        <f t="shared" ca="1" si="138"/>
        <v>#NAME?</v>
      </c>
      <c r="ET61" s="4"/>
      <c r="EU61" s="4" t="e">
        <f t="shared" ca="1" si="268"/>
        <v>#NAME?</v>
      </c>
      <c r="EV61" s="4" t="e">
        <f t="shared" ca="1" si="232"/>
        <v>#NAME?</v>
      </c>
      <c r="EW61" s="4" t="e">
        <f t="shared" ca="1" si="140"/>
        <v>#NAME?</v>
      </c>
      <c r="EX61" s="4" t="e">
        <f t="shared" ca="1" si="233"/>
        <v>#NAME?</v>
      </c>
      <c r="EY61" s="4">
        <v>0</v>
      </c>
      <c r="EZ61" s="4" t="e">
        <f t="shared" ca="1" si="141"/>
        <v>#NAME?</v>
      </c>
      <c r="FA61" s="4" t="e">
        <f t="shared" ca="1" si="269"/>
        <v>#NAME?</v>
      </c>
      <c r="FB61" s="1" t="e">
        <f t="shared" ca="1" si="74"/>
        <v>#NAME?</v>
      </c>
      <c r="FC61" s="4" t="e">
        <f t="shared" ca="1" si="143"/>
        <v>#NAME?</v>
      </c>
      <c r="FD61" s="4" t="e">
        <f t="shared" ca="1" si="144"/>
        <v>#NAME?</v>
      </c>
      <c r="FE61" s="4" t="e">
        <f t="shared" ca="1" si="234"/>
        <v>#NAME?</v>
      </c>
      <c r="FF61" s="4" t="e">
        <f t="shared" ca="1" si="235"/>
        <v>#NAME?</v>
      </c>
      <c r="FG61" s="4" t="e">
        <f t="shared" ca="1" si="236"/>
        <v>#NAME?</v>
      </c>
      <c r="FH61" s="17" t="e">
        <f t="shared" ca="1" si="237"/>
        <v>#NAME?</v>
      </c>
      <c r="FI61" s="4" t="e">
        <f t="shared" ca="1" si="238"/>
        <v>#NAME?</v>
      </c>
      <c r="FJ61" s="4"/>
      <c r="FK61" s="4" t="e">
        <f t="shared" ca="1" si="239"/>
        <v>#NAME?</v>
      </c>
      <c r="FL61" s="4"/>
      <c r="FM61" s="4">
        <v>0</v>
      </c>
      <c r="FN61" s="4">
        <v>0</v>
      </c>
      <c r="FO61" s="4">
        <v>0</v>
      </c>
      <c r="FP61" s="4">
        <v>0</v>
      </c>
      <c r="FQ61" s="4">
        <v>0</v>
      </c>
      <c r="FR61" s="4">
        <v>0</v>
      </c>
      <c r="FS61" s="4">
        <f t="shared" si="240"/>
        <v>0</v>
      </c>
      <c r="FT61" s="4">
        <f t="shared" si="241"/>
        <v>0</v>
      </c>
      <c r="FU61" s="4"/>
      <c r="FV61" s="3">
        <f t="shared" si="242"/>
        <v>0.3432343345443114</v>
      </c>
      <c r="FW61" s="3">
        <f t="shared" si="243"/>
        <v>0.3432343345443114</v>
      </c>
      <c r="FX61" s="4">
        <f t="shared" si="145"/>
        <v>2071</v>
      </c>
      <c r="FY61" s="4">
        <f t="shared" si="244"/>
        <v>0</v>
      </c>
      <c r="FZ61" s="4">
        <f t="shared" si="245"/>
        <v>8</v>
      </c>
      <c r="GA61" s="4" t="e">
        <f t="shared" ca="1" si="246"/>
        <v>#NAME?</v>
      </c>
      <c r="GB61" s="4">
        <f t="shared" si="247"/>
        <v>2.9171898457625502</v>
      </c>
      <c r="GC61" s="4" t="e">
        <f t="shared" ca="1" si="248"/>
        <v>#NAME?</v>
      </c>
      <c r="GD61" s="4" t="e">
        <f t="shared" ca="1" si="249"/>
        <v>#NAME?</v>
      </c>
      <c r="GE61" s="4" t="e">
        <f t="shared" ca="1" si="250"/>
        <v>#NAME?</v>
      </c>
      <c r="GF61" s="4" t="e">
        <f t="shared" ca="1" si="251"/>
        <v>#NAME?</v>
      </c>
      <c r="GG61" s="18" t="e">
        <f t="shared" ca="1" si="252"/>
        <v>#NAME?</v>
      </c>
      <c r="GH61" s="18" t="e">
        <f t="shared" ca="1" si="253"/>
        <v>#NAME?</v>
      </c>
      <c r="GI61" s="4"/>
      <c r="GJ61" s="4">
        <f t="shared" si="254"/>
        <v>2071</v>
      </c>
      <c r="GK61" s="4" t="e">
        <f t="shared" ca="1" si="255"/>
        <v>#NAME?</v>
      </c>
      <c r="GL61" s="4" t="e">
        <f t="shared" ca="1" si="256"/>
        <v>#NAME?</v>
      </c>
      <c r="GM61" s="4" t="e">
        <f t="shared" ca="1" si="257"/>
        <v>#NAME?</v>
      </c>
      <c r="GN61" s="4" t="e">
        <f t="shared" ca="1" si="258"/>
        <v>#NAME?</v>
      </c>
      <c r="GO61" s="4"/>
      <c r="GP61" s="3" t="e">
        <f t="shared" ca="1" si="146"/>
        <v>#NAME?</v>
      </c>
      <c r="GQ61" s="3" t="e">
        <f t="shared" ca="1" si="259"/>
        <v>#NAME?</v>
      </c>
      <c r="GR61" s="3" t="e">
        <f t="shared" ca="1" si="260"/>
        <v>#NAME?</v>
      </c>
      <c r="GS61" s="3" t="e">
        <f t="shared" ca="1" si="261"/>
        <v>#NAME?</v>
      </c>
      <c r="GT61" s="3" t="e">
        <f t="array" aca="1" ref="GT61" ca="1">SUM(GP61:GS61*$GU$6:$GX$6)</f>
        <v>#NAME?</v>
      </c>
      <c r="GU61" s="3" t="e">
        <f t="shared" ca="1" si="147"/>
        <v>#NAME?</v>
      </c>
      <c r="GV61" s="3" t="e">
        <f t="shared" ca="1" si="148"/>
        <v>#NAME?</v>
      </c>
      <c r="GW61" s="3" t="e">
        <f t="shared" ca="1" si="149"/>
        <v>#NAME?</v>
      </c>
      <c r="GX61" s="3" t="e">
        <f t="shared" ca="1" si="150"/>
        <v>#NAME?</v>
      </c>
      <c r="GY61" s="11"/>
      <c r="HJ61">
        <f t="shared" si="153"/>
        <v>2064</v>
      </c>
      <c r="HK61" s="28">
        <f t="shared" si="163"/>
        <v>65630</v>
      </c>
      <c r="HL61" s="27">
        <f t="shared" si="155"/>
        <v>14000</v>
      </c>
      <c r="HM61" s="28">
        <f t="shared" si="156"/>
        <v>14228.887120246865</v>
      </c>
      <c r="HO61" t="s">
        <v>245</v>
      </c>
      <c r="HQ61" s="27">
        <v>0.5</v>
      </c>
    </row>
    <row r="62" spans="1:241" x14ac:dyDescent="0.25">
      <c r="A62" t="s">
        <v>504</v>
      </c>
      <c r="B62" s="62">
        <f>Inputs_Summary!AK59</f>
        <v>1</v>
      </c>
      <c r="D62">
        <f t="shared" si="106"/>
        <v>2072</v>
      </c>
      <c r="E62">
        <f t="shared" si="106"/>
        <v>77</v>
      </c>
      <c r="F62" s="8"/>
      <c r="G62" s="8"/>
      <c r="H62" s="8"/>
      <c r="I62" s="8"/>
      <c r="J62" s="92"/>
      <c r="K62" s="91"/>
      <c r="L62" s="91"/>
      <c r="N62" s="93">
        <f t="shared" si="107"/>
        <v>0.05</v>
      </c>
      <c r="O62" s="23">
        <f t="shared" si="108"/>
        <v>0</v>
      </c>
      <c r="P62" s="23">
        <f t="shared" si="109"/>
        <v>0.4</v>
      </c>
      <c r="Q62" s="4">
        <f t="shared" si="164"/>
        <v>0</v>
      </c>
      <c r="R62" s="4">
        <f t="shared" si="263"/>
        <v>0</v>
      </c>
      <c r="S62" s="4">
        <f t="shared" si="165"/>
        <v>0</v>
      </c>
      <c r="T62" s="4">
        <f t="shared" ca="1" si="166"/>
        <v>0</v>
      </c>
      <c r="V62" s="18" t="e">
        <f t="shared" ca="1" si="167"/>
        <v>#NAME?</v>
      </c>
      <c r="W62" s="18" t="e">
        <f t="shared" ca="1" si="168"/>
        <v>#NAME?</v>
      </c>
      <c r="X62" s="18" t="e">
        <f t="shared" ca="1" si="169"/>
        <v>#NAME?</v>
      </c>
      <c r="Y62" s="18" t="e">
        <f t="shared" ca="1" si="170"/>
        <v>#NAME?</v>
      </c>
      <c r="Z62" s="18" t="e">
        <f t="shared" ca="1" si="171"/>
        <v>#NAME?</v>
      </c>
      <c r="AA62" s="18" t="e">
        <f t="shared" ca="1" si="172"/>
        <v>#NAME?</v>
      </c>
      <c r="AB62" s="18" t="e">
        <f t="shared" ca="1" si="173"/>
        <v>#NAME?</v>
      </c>
      <c r="AC62" s="18" t="e">
        <f t="shared" ca="1" si="174"/>
        <v>#NAME?</v>
      </c>
      <c r="AD62" s="18" t="e">
        <f t="shared" ca="1" si="175"/>
        <v>#NAME?</v>
      </c>
      <c r="AE62" s="18" t="e">
        <f t="shared" ca="1" si="176"/>
        <v>#NAME?</v>
      </c>
      <c r="AF62" s="18" t="e">
        <f t="shared" ca="1" si="177"/>
        <v>#NAME?</v>
      </c>
      <c r="AG62" s="18" t="e">
        <f t="shared" ca="1" si="178"/>
        <v>#NAME?</v>
      </c>
      <c r="AI62">
        <f>Person1!E62</f>
        <v>77</v>
      </c>
      <c r="AJ62">
        <f>Person1!AZ62</f>
        <v>2</v>
      </c>
      <c r="AK62">
        <f>IF(AZ62&lt;&gt;3,Person1!FM62,0)</f>
        <v>0</v>
      </c>
      <c r="AL62" s="4">
        <f>IF($AZ62&lt;&gt;3,Person1!FN62+Person1!FT62,0)</f>
        <v>0</v>
      </c>
      <c r="AM62">
        <f>IF($AZ62&lt;&gt;3,Person1!FO62,0)</f>
        <v>0</v>
      </c>
      <c r="AN62">
        <f>IF($AZ62&lt;&gt;3,Person1!FP62,0)</f>
        <v>0</v>
      </c>
      <c r="AO62">
        <f>IF($AZ62&lt;&gt;3,Person1!FQ62,0)</f>
        <v>0</v>
      </c>
      <c r="AP62">
        <f>IF($AZ62&lt;&gt;3,Person1!FR62,0)</f>
        <v>0</v>
      </c>
      <c r="AQ62" s="4">
        <f t="shared" si="179"/>
        <v>0</v>
      </c>
      <c r="AR62" s="4">
        <f>Person1!FS62</f>
        <v>8410.5099765847626</v>
      </c>
      <c r="AS62" s="4">
        <f>$B$41*MAX(0,CHOOSE($AZ62,0,IF(AND(Person1!AW62&gt;=Person1!$B$36,AV62&gt;=$B$93),Person1!$B$35*(1+Person1!$B$37)^(Person1!$B$36-Person1!$B$11)*(1+Person1!$B$38)^(Person1!AW62-Person1!$B$36)-CHOOSE(Person1!$B$39+1,0,BD62,BE62,BD62+BE62),0),0,0))</f>
        <v>0</v>
      </c>
      <c r="AT62" s="4">
        <f t="shared" si="180"/>
        <v>0</v>
      </c>
      <c r="AV62">
        <f t="shared" si="275"/>
        <v>2072</v>
      </c>
      <c r="AW62">
        <f t="shared" si="275"/>
        <v>77</v>
      </c>
      <c r="AX62">
        <f t="shared" si="112"/>
        <v>2.9717306730230932</v>
      </c>
      <c r="AY62">
        <f t="shared" si="113"/>
        <v>0.33650424955324643</v>
      </c>
      <c r="AZ62">
        <f t="shared" si="114"/>
        <v>2</v>
      </c>
      <c r="BB62" s="4">
        <f t="shared" si="181"/>
        <v>0</v>
      </c>
      <c r="BC62">
        <f t="shared" si="182"/>
        <v>0</v>
      </c>
      <c r="BD62" s="4">
        <f t="shared" si="183"/>
        <v>23773.845384184748</v>
      </c>
      <c r="BE62" s="4" t="e">
        <f t="shared" ca="1" si="115"/>
        <v>#NAME?</v>
      </c>
      <c r="BF62" s="4">
        <f t="shared" si="116"/>
        <v>0</v>
      </c>
      <c r="BG62" s="4">
        <f t="shared" si="117"/>
        <v>8410.5099765847626</v>
      </c>
      <c r="BH62" s="4">
        <f t="shared" si="184"/>
        <v>0</v>
      </c>
      <c r="BI62" s="4" t="e">
        <f t="shared" ca="1" si="118"/>
        <v>#NAME?</v>
      </c>
      <c r="BJ62" s="4"/>
      <c r="BK62" s="4">
        <f t="shared" si="185"/>
        <v>74293.266825577331</v>
      </c>
      <c r="BL62" s="4">
        <f t="shared" si="119"/>
        <v>0</v>
      </c>
      <c r="BM62" s="4">
        <f t="shared" si="120"/>
        <v>74293.266825577331</v>
      </c>
      <c r="BN62" s="4">
        <v>52265.377811024606</v>
      </c>
      <c r="BO62" s="4">
        <f t="shared" si="121"/>
        <v>126558.64463660194</v>
      </c>
      <c r="BP62" s="4" t="e">
        <f t="shared" ca="1" si="122"/>
        <v>#NAME?</v>
      </c>
      <c r="BQ62" s="4"/>
      <c r="BR62" s="4">
        <v>0</v>
      </c>
      <c r="BS62" s="4" t="e">
        <f t="shared" ca="1" si="186"/>
        <v>#NAME?</v>
      </c>
      <c r="BT62" s="4" t="e">
        <f t="shared" ca="1" si="187"/>
        <v>#NAME?</v>
      </c>
      <c r="BU62" s="4" t="e">
        <f t="shared" ca="1" si="188"/>
        <v>#NAME?</v>
      </c>
      <c r="BV62" s="4">
        <f t="shared" si="189"/>
        <v>1</v>
      </c>
      <c r="BW62" s="4" t="e">
        <f t="shared" ca="1" si="190"/>
        <v>#NAME?</v>
      </c>
      <c r="BX62" s="4" t="e">
        <f t="shared" ca="1" si="191"/>
        <v>#NAME?</v>
      </c>
      <c r="BY62" s="4" t="e">
        <f t="shared" ca="1" si="192"/>
        <v>#NAME?</v>
      </c>
      <c r="BZ62" s="4" t="e">
        <f t="shared" ca="1" si="193"/>
        <v>#NAME?</v>
      </c>
      <c r="CA62" s="4" t="e">
        <f t="shared" ca="1" si="30"/>
        <v>#NAME?</v>
      </c>
      <c r="CB62" s="4" t="e">
        <f t="shared" ca="1" si="154"/>
        <v>#NAME?</v>
      </c>
      <c r="CC62" s="4"/>
      <c r="CD62" s="4" t="e">
        <f t="shared" ca="1" si="194"/>
        <v>#NAME?</v>
      </c>
      <c r="CE62" s="4" t="e">
        <f t="shared" ca="1" si="123"/>
        <v>#NAME?</v>
      </c>
      <c r="CF62" s="16" t="e">
        <f t="shared" ca="1" si="195"/>
        <v>#NAME?</v>
      </c>
      <c r="CG62" s="4">
        <f t="shared" si="196"/>
        <v>0</v>
      </c>
      <c r="CH62" s="4" t="e">
        <f t="shared" ca="1" si="197"/>
        <v>#NAME?</v>
      </c>
      <c r="CI62" s="4" t="e">
        <f t="shared" ca="1" si="198"/>
        <v>#NAME?</v>
      </c>
      <c r="CJ62" s="4" t="e">
        <f t="shared" ca="1" si="124"/>
        <v>#NAME?</v>
      </c>
      <c r="CK62" s="4" t="e">
        <f t="shared" ca="1" si="199"/>
        <v>#NAME?</v>
      </c>
      <c r="CL62" s="4" t="e">
        <f t="shared" ca="1" si="200"/>
        <v>#NAME?</v>
      </c>
      <c r="CM62" s="16"/>
      <c r="CN62" s="4" t="e">
        <f t="shared" ca="1" si="201"/>
        <v>#NAME?</v>
      </c>
      <c r="CO62" s="4" t="e">
        <f t="shared" ca="1" si="202"/>
        <v>#NAME?</v>
      </c>
      <c r="CP62" s="4" t="e">
        <f t="shared" ca="1" si="271"/>
        <v>#NAME?</v>
      </c>
      <c r="CQ62" s="4"/>
      <c r="CR62" s="4" t="e">
        <f t="shared" ca="1" si="203"/>
        <v>#NAME?</v>
      </c>
      <c r="CS62" s="4">
        <f t="shared" ca="1" si="204"/>
        <v>76900</v>
      </c>
      <c r="CT62" s="4">
        <f t="shared" ca="1" si="205"/>
        <v>0</v>
      </c>
      <c r="CU62" s="4"/>
      <c r="CV62" s="4" t="e">
        <f t="shared" ca="1" si="126"/>
        <v>#NAME?</v>
      </c>
      <c r="CW62" s="4">
        <f t="shared" ca="1" si="206"/>
        <v>0</v>
      </c>
      <c r="CX62" s="4">
        <f t="shared" si="207"/>
        <v>0</v>
      </c>
      <c r="CY62" s="4" t="e">
        <f t="shared" ca="1" si="127"/>
        <v>#NAME?</v>
      </c>
      <c r="CZ62" s="4"/>
      <c r="DA62" s="4" t="e">
        <f t="shared" ca="1" si="208"/>
        <v>#NAME?</v>
      </c>
      <c r="DB62" s="4">
        <f t="shared" si="209"/>
        <v>0</v>
      </c>
      <c r="DC62" s="4">
        <f t="shared" si="128"/>
        <v>0</v>
      </c>
      <c r="DD62" s="4">
        <f t="shared" si="210"/>
        <v>0</v>
      </c>
      <c r="DE62" s="4" t="e">
        <f t="shared" ca="1" si="211"/>
        <v>#NAME?</v>
      </c>
      <c r="DF62" s="4" t="e">
        <f t="shared" ca="1" si="129"/>
        <v>#NAME?</v>
      </c>
      <c r="DG62" s="4" t="e">
        <f t="shared" ca="1" si="130"/>
        <v>#NAME?</v>
      </c>
      <c r="DH62" s="4">
        <f t="shared" si="212"/>
        <v>0</v>
      </c>
      <c r="DI62" s="4"/>
      <c r="DJ62" s="4" t="e">
        <f t="shared" ca="1" si="213"/>
        <v>#NAME?</v>
      </c>
      <c r="DK62" s="4">
        <f t="shared" ca="1" si="214"/>
        <v>16500</v>
      </c>
      <c r="DL62" s="4">
        <f t="shared" ca="1" si="215"/>
        <v>16500</v>
      </c>
      <c r="DM62" s="4" t="e">
        <f t="shared" ca="1" si="216"/>
        <v>#NAME?</v>
      </c>
      <c r="DN62" s="4" t="e">
        <f t="shared" ca="1" si="217"/>
        <v>#NAME?</v>
      </c>
      <c r="DO62" s="4" t="e">
        <f t="shared" ca="1" si="55"/>
        <v>#NAME?</v>
      </c>
      <c r="DP62" s="4"/>
      <c r="DQ62" s="4" t="e">
        <f t="shared" ca="1" si="56"/>
        <v>#NAME?</v>
      </c>
      <c r="DR62" s="4"/>
      <c r="DS62" s="4">
        <f t="shared" si="131"/>
        <v>0</v>
      </c>
      <c r="DT62" s="4" t="e">
        <f t="shared" ca="1" si="274"/>
        <v>#NAME?</v>
      </c>
      <c r="DU62" s="4">
        <f t="shared" si="218"/>
        <v>0</v>
      </c>
      <c r="DV62" s="4"/>
      <c r="DW62" s="4" t="e">
        <f t="shared" ca="1" si="265"/>
        <v>#NAME?</v>
      </c>
      <c r="DX62" s="4" t="e">
        <f t="shared" ca="1" si="219"/>
        <v>#NAME?</v>
      </c>
      <c r="DY62" s="4" t="e">
        <f t="shared" ca="1" si="133"/>
        <v>#NAME?</v>
      </c>
      <c r="DZ62" s="4" t="e">
        <f t="shared" ca="1" si="220"/>
        <v>#NAME?</v>
      </c>
      <c r="EA62" s="4" t="e">
        <f t="shared" ca="1" si="221"/>
        <v>#NAME?</v>
      </c>
      <c r="EB62" s="4" t="e">
        <f t="shared" ca="1" si="222"/>
        <v>#NAME?</v>
      </c>
      <c r="EC62" s="4">
        <f t="shared" si="223"/>
        <v>2</v>
      </c>
      <c r="ED62" s="4"/>
      <c r="EE62" s="4" t="e">
        <f t="shared" ca="1" si="266"/>
        <v>#NAME?</v>
      </c>
      <c r="EF62" s="4">
        <f t="shared" si="224"/>
        <v>0</v>
      </c>
      <c r="EG62" s="4" t="e">
        <f t="shared" ca="1" si="135"/>
        <v>#NAME?</v>
      </c>
      <c r="EH62" s="4" t="e">
        <f t="shared" ca="1" si="225"/>
        <v>#NAME?</v>
      </c>
      <c r="EI62" s="4" t="e">
        <f t="shared" ca="1" si="226"/>
        <v>#NAME?</v>
      </c>
      <c r="EJ62" s="4" t="e">
        <f t="shared" ca="1" si="227"/>
        <v>#NAME?</v>
      </c>
      <c r="EK62" s="4">
        <f t="shared" si="228"/>
        <v>2</v>
      </c>
      <c r="EL62" s="4">
        <f t="shared" si="229"/>
        <v>0</v>
      </c>
      <c r="EM62" s="4"/>
      <c r="EN62" s="4" t="e">
        <f t="shared" ca="1" si="267"/>
        <v>#NAME?</v>
      </c>
      <c r="EO62" s="4" t="e">
        <f t="shared" ca="1" si="230"/>
        <v>#NAME?</v>
      </c>
      <c r="EP62" s="4" t="e">
        <f t="shared" ca="1" si="137"/>
        <v>#NAME?</v>
      </c>
      <c r="EQ62" s="4" t="e">
        <f t="shared" ca="1" si="231"/>
        <v>#NAME?</v>
      </c>
      <c r="ER62" s="4">
        <v>0</v>
      </c>
      <c r="ES62" s="4" t="e">
        <f t="shared" ca="1" si="138"/>
        <v>#NAME?</v>
      </c>
      <c r="ET62" s="4"/>
      <c r="EU62" s="4" t="e">
        <f t="shared" ca="1" si="268"/>
        <v>#NAME?</v>
      </c>
      <c r="EV62" s="4" t="e">
        <f t="shared" ca="1" si="232"/>
        <v>#NAME?</v>
      </c>
      <c r="EW62" s="4" t="e">
        <f t="shared" ca="1" si="140"/>
        <v>#NAME?</v>
      </c>
      <c r="EX62" s="4" t="e">
        <f t="shared" ca="1" si="233"/>
        <v>#NAME?</v>
      </c>
      <c r="EY62" s="4">
        <v>0</v>
      </c>
      <c r="EZ62" s="4" t="e">
        <f t="shared" ca="1" si="141"/>
        <v>#NAME?</v>
      </c>
      <c r="FA62" s="4" t="e">
        <f t="shared" ca="1" si="269"/>
        <v>#NAME?</v>
      </c>
      <c r="FB62" s="1" t="e">
        <f t="shared" ca="1" si="74"/>
        <v>#NAME?</v>
      </c>
      <c r="FC62" s="4" t="e">
        <f t="shared" ca="1" si="143"/>
        <v>#NAME?</v>
      </c>
      <c r="FD62" s="4" t="e">
        <f t="shared" ca="1" si="144"/>
        <v>#NAME?</v>
      </c>
      <c r="FE62" s="4" t="e">
        <f t="shared" ca="1" si="234"/>
        <v>#NAME?</v>
      </c>
      <c r="FF62" s="4" t="e">
        <f t="shared" ca="1" si="235"/>
        <v>#NAME?</v>
      </c>
      <c r="FG62" s="4" t="e">
        <f t="shared" ca="1" si="236"/>
        <v>#NAME?</v>
      </c>
      <c r="FH62" s="17" t="e">
        <f t="shared" ca="1" si="237"/>
        <v>#NAME?</v>
      </c>
      <c r="FI62" s="4" t="e">
        <f t="shared" ca="1" si="238"/>
        <v>#NAME?</v>
      </c>
      <c r="FJ62" s="4"/>
      <c r="FK62" s="4" t="e">
        <f t="shared" ca="1" si="239"/>
        <v>#NAME?</v>
      </c>
      <c r="FL62" s="4"/>
      <c r="FM62" s="4">
        <v>0</v>
      </c>
      <c r="FN62" s="4">
        <v>0</v>
      </c>
      <c r="FO62" s="4">
        <v>0</v>
      </c>
      <c r="FP62" s="4">
        <v>0</v>
      </c>
      <c r="FQ62" s="4">
        <v>0</v>
      </c>
      <c r="FR62" s="4">
        <v>0</v>
      </c>
      <c r="FS62" s="4">
        <f t="shared" si="240"/>
        <v>0</v>
      </c>
      <c r="FT62" s="4">
        <f t="shared" si="241"/>
        <v>0</v>
      </c>
      <c r="FU62" s="4"/>
      <c r="FV62" s="3">
        <f t="shared" si="242"/>
        <v>0.33650424955324643</v>
      </c>
      <c r="FW62" s="3">
        <f t="shared" si="243"/>
        <v>0.33650424955324643</v>
      </c>
      <c r="FX62" s="4">
        <f t="shared" si="145"/>
        <v>2072</v>
      </c>
      <c r="FY62" s="4">
        <f t="shared" si="244"/>
        <v>0</v>
      </c>
      <c r="FZ62" s="4">
        <f t="shared" si="245"/>
        <v>8</v>
      </c>
      <c r="GA62" s="4" t="e">
        <f t="shared" ca="1" si="246"/>
        <v>#NAME?</v>
      </c>
      <c r="GB62" s="4">
        <f t="shared" si="247"/>
        <v>2.8301723480307479</v>
      </c>
      <c r="GC62" s="4" t="e">
        <f t="shared" ca="1" si="248"/>
        <v>#NAME?</v>
      </c>
      <c r="GD62" s="4" t="e">
        <f t="shared" ca="1" si="249"/>
        <v>#NAME?</v>
      </c>
      <c r="GE62" s="4" t="e">
        <f t="shared" ca="1" si="250"/>
        <v>#NAME?</v>
      </c>
      <c r="GF62" s="4" t="e">
        <f t="shared" ca="1" si="251"/>
        <v>#NAME?</v>
      </c>
      <c r="GG62" s="18" t="e">
        <f t="shared" ca="1" si="252"/>
        <v>#NAME?</v>
      </c>
      <c r="GH62" s="18" t="e">
        <f t="shared" ca="1" si="253"/>
        <v>#NAME?</v>
      </c>
      <c r="GI62" s="4"/>
      <c r="GJ62" s="4">
        <f t="shared" si="254"/>
        <v>2072</v>
      </c>
      <c r="GK62" s="4" t="e">
        <f t="shared" ca="1" si="255"/>
        <v>#NAME?</v>
      </c>
      <c r="GL62" s="4" t="e">
        <f t="shared" ca="1" si="256"/>
        <v>#NAME?</v>
      </c>
      <c r="GM62" s="4" t="e">
        <f t="shared" ca="1" si="257"/>
        <v>#NAME?</v>
      </c>
      <c r="GN62" s="4" t="e">
        <f t="shared" ca="1" si="258"/>
        <v>#NAME?</v>
      </c>
      <c r="GO62" s="4"/>
      <c r="GP62" s="3" t="e">
        <f t="shared" ca="1" si="146"/>
        <v>#NAME?</v>
      </c>
      <c r="GQ62" s="3" t="e">
        <f t="shared" ca="1" si="259"/>
        <v>#NAME?</v>
      </c>
      <c r="GR62" s="3" t="e">
        <f t="shared" ca="1" si="260"/>
        <v>#NAME?</v>
      </c>
      <c r="GS62" s="3" t="e">
        <f t="shared" ca="1" si="261"/>
        <v>#NAME?</v>
      </c>
      <c r="GT62" s="3" t="e">
        <f t="array" aca="1" ref="GT62" ca="1">SUM(GP62:GS62*$GU$6:$GX$6)</f>
        <v>#NAME?</v>
      </c>
      <c r="GU62" s="3" t="e">
        <f t="shared" ca="1" si="147"/>
        <v>#NAME?</v>
      </c>
      <c r="GV62" s="3" t="e">
        <f t="shared" ca="1" si="148"/>
        <v>#NAME?</v>
      </c>
      <c r="GW62" s="3" t="e">
        <f t="shared" ca="1" si="149"/>
        <v>#NAME?</v>
      </c>
      <c r="GX62" s="3" t="e">
        <f t="shared" ca="1" si="150"/>
        <v>#NAME?</v>
      </c>
      <c r="GY62" s="11"/>
      <c r="HJ62">
        <f t="shared" si="153"/>
        <v>2065</v>
      </c>
      <c r="HK62" s="28">
        <f t="shared" si="163"/>
        <v>66950</v>
      </c>
      <c r="HL62" s="27">
        <f t="shared" si="155"/>
        <v>14500</v>
      </c>
      <c r="HM62" s="28">
        <f t="shared" si="156"/>
        <v>14513.464862651803</v>
      </c>
      <c r="HO62" t="s">
        <v>275</v>
      </c>
    </row>
    <row r="63" spans="1:241" x14ac:dyDescent="0.25">
      <c r="A63" t="s">
        <v>562</v>
      </c>
      <c r="B63" s="62">
        <f>Inputs_Summary!AK60</f>
        <v>0</v>
      </c>
      <c r="D63">
        <f t="shared" si="106"/>
        <v>2073</v>
      </c>
      <c r="E63">
        <f t="shared" si="106"/>
        <v>78</v>
      </c>
      <c r="F63" s="8"/>
      <c r="G63" s="8"/>
      <c r="H63" s="8"/>
      <c r="I63" s="8"/>
      <c r="J63" s="92"/>
      <c r="K63" s="91"/>
      <c r="L63" s="91"/>
      <c r="N63" s="93">
        <f t="shared" si="107"/>
        <v>0.05</v>
      </c>
      <c r="O63" s="23">
        <f t="shared" si="108"/>
        <v>0</v>
      </c>
      <c r="P63" s="23">
        <f t="shared" si="109"/>
        <v>0.4</v>
      </c>
      <c r="Q63" s="4">
        <f t="shared" si="164"/>
        <v>0</v>
      </c>
      <c r="R63" s="4">
        <f t="shared" si="263"/>
        <v>0</v>
      </c>
      <c r="S63" s="4">
        <f t="shared" si="165"/>
        <v>0</v>
      </c>
      <c r="T63" s="4">
        <f t="shared" ca="1" si="166"/>
        <v>0</v>
      </c>
      <c r="V63" s="18" t="e">
        <f t="shared" ca="1" si="167"/>
        <v>#NAME?</v>
      </c>
      <c r="W63" s="18" t="e">
        <f t="shared" ca="1" si="168"/>
        <v>#NAME?</v>
      </c>
      <c r="X63" s="18" t="e">
        <f t="shared" ca="1" si="169"/>
        <v>#NAME?</v>
      </c>
      <c r="Y63" s="18" t="e">
        <f t="shared" ca="1" si="170"/>
        <v>#NAME?</v>
      </c>
      <c r="Z63" s="18" t="e">
        <f t="shared" ca="1" si="171"/>
        <v>#NAME?</v>
      </c>
      <c r="AA63" s="18" t="e">
        <f t="shared" ca="1" si="172"/>
        <v>#NAME?</v>
      </c>
      <c r="AB63" s="18" t="e">
        <f t="shared" ca="1" si="173"/>
        <v>#NAME?</v>
      </c>
      <c r="AC63" s="18" t="e">
        <f t="shared" ca="1" si="174"/>
        <v>#NAME?</v>
      </c>
      <c r="AD63" s="18" t="e">
        <f t="shared" ca="1" si="175"/>
        <v>#NAME?</v>
      </c>
      <c r="AE63" s="18" t="e">
        <f t="shared" ca="1" si="176"/>
        <v>#NAME?</v>
      </c>
      <c r="AF63" s="18" t="e">
        <f t="shared" ca="1" si="177"/>
        <v>#NAME?</v>
      </c>
      <c r="AG63" s="18" t="e">
        <f t="shared" ca="1" si="178"/>
        <v>#NAME?</v>
      </c>
      <c r="AI63">
        <f>Person1!E63</f>
        <v>78</v>
      </c>
      <c r="AJ63">
        <f>Person1!AZ63</f>
        <v>2</v>
      </c>
      <c r="AK63">
        <f>IF(AZ63&lt;&gt;3,Person1!FM63,0)</f>
        <v>0</v>
      </c>
      <c r="AL63" s="4">
        <f>IF($AZ63&lt;&gt;3,Person1!FN63+Person1!FT63,0)</f>
        <v>0</v>
      </c>
      <c r="AM63">
        <f>IF($AZ63&lt;&gt;3,Person1!FO63,0)</f>
        <v>0</v>
      </c>
      <c r="AN63">
        <f>IF($AZ63&lt;&gt;3,Person1!FP63,0)</f>
        <v>0</v>
      </c>
      <c r="AO63">
        <f>IF($AZ63&lt;&gt;3,Person1!FQ63,0)</f>
        <v>0</v>
      </c>
      <c r="AP63">
        <f>IF($AZ63&lt;&gt;3,Person1!FR63,0)</f>
        <v>0</v>
      </c>
      <c r="AQ63" s="4">
        <f t="shared" si="179"/>
        <v>0</v>
      </c>
      <c r="AR63" s="4">
        <f>Person1!FS63</f>
        <v>8318.8346461816363</v>
      </c>
      <c r="AS63" s="4">
        <f>$B$41*MAX(0,CHOOSE($AZ63,0,IF(AND(Person1!AW63&gt;=Person1!$B$36,AV63&gt;=$B$93),Person1!$B$35*(1+Person1!$B$37)^(Person1!$B$36-Person1!$B$11)*(1+Person1!$B$38)^(Person1!AW63-Person1!$B$36)-CHOOSE(Person1!$B$39+1,0,BD63,BE63,BD63+BE63),0),0,0))</f>
        <v>0</v>
      </c>
      <c r="AT63" s="4">
        <f t="shared" si="180"/>
        <v>0</v>
      </c>
      <c r="AV63">
        <f t="shared" si="275"/>
        <v>2073</v>
      </c>
      <c r="AW63">
        <f t="shared" si="275"/>
        <v>78</v>
      </c>
      <c r="AX63">
        <f t="shared" si="112"/>
        <v>3.0311652864835552</v>
      </c>
      <c r="AY63">
        <f t="shared" si="113"/>
        <v>0.32990612701298672</v>
      </c>
      <c r="AZ63">
        <f t="shared" si="114"/>
        <v>2</v>
      </c>
      <c r="BB63" s="4">
        <f t="shared" si="181"/>
        <v>0</v>
      </c>
      <c r="BC63">
        <f t="shared" si="182"/>
        <v>0</v>
      </c>
      <c r="BD63" s="4">
        <f t="shared" si="183"/>
        <v>24249.322291868441</v>
      </c>
      <c r="BE63" s="4" t="e">
        <f t="shared" ca="1" si="115"/>
        <v>#NAME?</v>
      </c>
      <c r="BF63" s="4">
        <f t="shared" si="116"/>
        <v>0</v>
      </c>
      <c r="BG63" s="4">
        <f t="shared" si="117"/>
        <v>8318.8346461816363</v>
      </c>
      <c r="BH63" s="4">
        <f t="shared" si="184"/>
        <v>0</v>
      </c>
      <c r="BI63" s="4" t="e">
        <f t="shared" ca="1" si="118"/>
        <v>#NAME?</v>
      </c>
      <c r="BJ63" s="4"/>
      <c r="BK63" s="4">
        <f t="shared" si="185"/>
        <v>75779.132162088878</v>
      </c>
      <c r="BL63" s="4">
        <f t="shared" si="119"/>
        <v>0</v>
      </c>
      <c r="BM63" s="4">
        <f t="shared" si="120"/>
        <v>75779.132162088878</v>
      </c>
      <c r="BN63" s="4">
        <v>53897.83401106199</v>
      </c>
      <c r="BO63" s="4">
        <f t="shared" si="121"/>
        <v>129676.96617315087</v>
      </c>
      <c r="BP63" s="4" t="e">
        <f t="shared" ca="1" si="122"/>
        <v>#NAME?</v>
      </c>
      <c r="BQ63" s="4"/>
      <c r="BR63" s="4">
        <v>0</v>
      </c>
      <c r="BS63" s="4" t="e">
        <f t="shared" ca="1" si="186"/>
        <v>#NAME?</v>
      </c>
      <c r="BT63" s="4" t="e">
        <f t="shared" ca="1" si="187"/>
        <v>#NAME?</v>
      </c>
      <c r="BU63" s="4" t="e">
        <f t="shared" ca="1" si="188"/>
        <v>#NAME?</v>
      </c>
      <c r="BV63" s="4">
        <f t="shared" si="189"/>
        <v>1</v>
      </c>
      <c r="BW63" s="4" t="e">
        <f t="shared" ca="1" si="190"/>
        <v>#NAME?</v>
      </c>
      <c r="BX63" s="4" t="e">
        <f t="shared" ca="1" si="191"/>
        <v>#NAME?</v>
      </c>
      <c r="BY63" s="4" t="e">
        <f t="shared" ca="1" si="192"/>
        <v>#NAME?</v>
      </c>
      <c r="BZ63" s="4" t="e">
        <f t="shared" ca="1" si="193"/>
        <v>#NAME?</v>
      </c>
      <c r="CA63" s="4" t="e">
        <f t="shared" ca="1" si="30"/>
        <v>#NAME?</v>
      </c>
      <c r="CB63" s="4" t="e">
        <f t="shared" ca="1" si="154"/>
        <v>#NAME?</v>
      </c>
      <c r="CC63" s="4"/>
      <c r="CD63" s="4" t="e">
        <f t="shared" ca="1" si="194"/>
        <v>#NAME?</v>
      </c>
      <c r="CE63" s="4" t="e">
        <f t="shared" ca="1" si="123"/>
        <v>#NAME?</v>
      </c>
      <c r="CF63" s="16" t="e">
        <f t="shared" ca="1" si="195"/>
        <v>#NAME?</v>
      </c>
      <c r="CG63" s="4">
        <f t="shared" si="196"/>
        <v>0</v>
      </c>
      <c r="CH63" s="4" t="e">
        <f t="shared" ca="1" si="197"/>
        <v>#NAME?</v>
      </c>
      <c r="CI63" s="4" t="e">
        <f t="shared" ca="1" si="198"/>
        <v>#NAME?</v>
      </c>
      <c r="CJ63" s="4" t="e">
        <f t="shared" ca="1" si="124"/>
        <v>#NAME?</v>
      </c>
      <c r="CK63" s="4" t="e">
        <f t="shared" ca="1" si="199"/>
        <v>#NAME?</v>
      </c>
      <c r="CL63" s="4" t="e">
        <f t="shared" ca="1" si="200"/>
        <v>#NAME?</v>
      </c>
      <c r="CM63" s="16"/>
      <c r="CN63" s="4" t="e">
        <f t="shared" ca="1" si="201"/>
        <v>#NAME?</v>
      </c>
      <c r="CO63" s="4" t="e">
        <f t="shared" ca="1" si="202"/>
        <v>#NAME?</v>
      </c>
      <c r="CP63" s="4" t="e">
        <f t="shared" ca="1" si="271"/>
        <v>#NAME?</v>
      </c>
      <c r="CQ63" s="4"/>
      <c r="CR63" s="4" t="e">
        <f t="shared" ca="1" si="203"/>
        <v>#NAME?</v>
      </c>
      <c r="CS63" s="4">
        <f t="shared" ca="1" si="204"/>
        <v>78440</v>
      </c>
      <c r="CT63" s="4">
        <f t="shared" ca="1" si="205"/>
        <v>0</v>
      </c>
      <c r="CU63" s="4"/>
      <c r="CV63" s="4" t="e">
        <f t="shared" ca="1" si="126"/>
        <v>#NAME?</v>
      </c>
      <c r="CW63" s="4">
        <f t="shared" ca="1" si="206"/>
        <v>0</v>
      </c>
      <c r="CX63" s="4">
        <f t="shared" si="207"/>
        <v>0</v>
      </c>
      <c r="CY63" s="4" t="e">
        <f t="shared" ca="1" si="127"/>
        <v>#NAME?</v>
      </c>
      <c r="CZ63" s="4"/>
      <c r="DA63" s="4" t="e">
        <f t="shared" ca="1" si="208"/>
        <v>#NAME?</v>
      </c>
      <c r="DB63" s="4">
        <f t="shared" si="209"/>
        <v>0</v>
      </c>
      <c r="DC63" s="4">
        <f t="shared" si="128"/>
        <v>0</v>
      </c>
      <c r="DD63" s="4">
        <f t="shared" si="210"/>
        <v>0</v>
      </c>
      <c r="DE63" s="4" t="e">
        <f t="shared" ca="1" si="211"/>
        <v>#NAME?</v>
      </c>
      <c r="DF63" s="4" t="e">
        <f t="shared" ca="1" si="129"/>
        <v>#NAME?</v>
      </c>
      <c r="DG63" s="4" t="e">
        <f t="shared" ca="1" si="130"/>
        <v>#NAME?</v>
      </c>
      <c r="DH63" s="4">
        <f t="shared" si="212"/>
        <v>0</v>
      </c>
      <c r="DI63" s="4"/>
      <c r="DJ63" s="4" t="e">
        <f t="shared" ca="1" si="213"/>
        <v>#NAME?</v>
      </c>
      <c r="DK63" s="4">
        <f t="shared" ca="1" si="214"/>
        <v>17000</v>
      </c>
      <c r="DL63" s="4">
        <f t="shared" ca="1" si="215"/>
        <v>17000</v>
      </c>
      <c r="DM63" s="4" t="e">
        <f t="shared" ca="1" si="216"/>
        <v>#NAME?</v>
      </c>
      <c r="DN63" s="4" t="e">
        <f t="shared" ca="1" si="217"/>
        <v>#NAME?</v>
      </c>
      <c r="DO63" s="4" t="e">
        <f t="shared" ca="1" si="55"/>
        <v>#NAME?</v>
      </c>
      <c r="DP63" s="4"/>
      <c r="DQ63" s="4" t="e">
        <f t="shared" ca="1" si="56"/>
        <v>#NAME?</v>
      </c>
      <c r="DR63" s="4"/>
      <c r="DS63" s="4">
        <f t="shared" si="131"/>
        <v>0</v>
      </c>
      <c r="DT63" s="4" t="e">
        <f t="shared" ca="1" si="274"/>
        <v>#NAME?</v>
      </c>
      <c r="DU63" s="4">
        <f t="shared" si="218"/>
        <v>0</v>
      </c>
      <c r="DV63" s="4"/>
      <c r="DW63" s="4" t="e">
        <f t="shared" ca="1" si="265"/>
        <v>#NAME?</v>
      </c>
      <c r="DX63" s="4" t="e">
        <f t="shared" ca="1" si="219"/>
        <v>#NAME?</v>
      </c>
      <c r="DY63" s="4" t="e">
        <f t="shared" ca="1" si="133"/>
        <v>#NAME?</v>
      </c>
      <c r="DZ63" s="4" t="e">
        <f t="shared" ca="1" si="220"/>
        <v>#NAME?</v>
      </c>
      <c r="EA63" s="4" t="e">
        <f t="shared" ca="1" si="221"/>
        <v>#NAME?</v>
      </c>
      <c r="EB63" s="4" t="e">
        <f t="shared" ca="1" si="222"/>
        <v>#NAME?</v>
      </c>
      <c r="EC63" s="4">
        <f t="shared" si="223"/>
        <v>2</v>
      </c>
      <c r="ED63" s="4"/>
      <c r="EE63" s="4" t="e">
        <f t="shared" ca="1" si="266"/>
        <v>#NAME?</v>
      </c>
      <c r="EF63" s="4">
        <f t="shared" si="224"/>
        <v>0</v>
      </c>
      <c r="EG63" s="4" t="e">
        <f t="shared" ca="1" si="135"/>
        <v>#NAME?</v>
      </c>
      <c r="EH63" s="4" t="e">
        <f t="shared" ca="1" si="225"/>
        <v>#NAME?</v>
      </c>
      <c r="EI63" s="4" t="e">
        <f t="shared" ca="1" si="226"/>
        <v>#NAME?</v>
      </c>
      <c r="EJ63" s="4" t="e">
        <f t="shared" ca="1" si="227"/>
        <v>#NAME?</v>
      </c>
      <c r="EK63" s="4">
        <f t="shared" si="228"/>
        <v>2</v>
      </c>
      <c r="EL63" s="4">
        <f t="shared" si="229"/>
        <v>0</v>
      </c>
      <c r="EM63" s="4"/>
      <c r="EN63" s="4" t="e">
        <f t="shared" ca="1" si="267"/>
        <v>#NAME?</v>
      </c>
      <c r="EO63" s="4" t="e">
        <f t="shared" ca="1" si="230"/>
        <v>#NAME?</v>
      </c>
      <c r="EP63" s="4" t="e">
        <f t="shared" ca="1" si="137"/>
        <v>#NAME?</v>
      </c>
      <c r="EQ63" s="4" t="e">
        <f t="shared" ca="1" si="231"/>
        <v>#NAME?</v>
      </c>
      <c r="ER63" s="4">
        <v>0</v>
      </c>
      <c r="ES63" s="4" t="e">
        <f t="shared" ca="1" si="138"/>
        <v>#NAME?</v>
      </c>
      <c r="ET63" s="4"/>
      <c r="EU63" s="4" t="e">
        <f t="shared" ca="1" si="268"/>
        <v>#NAME?</v>
      </c>
      <c r="EV63" s="4" t="e">
        <f t="shared" ca="1" si="232"/>
        <v>#NAME?</v>
      </c>
      <c r="EW63" s="4" t="e">
        <f t="shared" ca="1" si="140"/>
        <v>#NAME?</v>
      </c>
      <c r="EX63" s="4" t="e">
        <f t="shared" ca="1" si="233"/>
        <v>#NAME?</v>
      </c>
      <c r="EY63" s="4">
        <v>0</v>
      </c>
      <c r="EZ63" s="4" t="e">
        <f t="shared" ca="1" si="141"/>
        <v>#NAME?</v>
      </c>
      <c r="FA63" s="4" t="e">
        <f t="shared" ca="1" si="269"/>
        <v>#NAME?</v>
      </c>
      <c r="FB63" s="1" t="e">
        <f t="shared" ca="1" si="74"/>
        <v>#NAME?</v>
      </c>
      <c r="FC63" s="4" t="e">
        <f t="shared" ca="1" si="143"/>
        <v>#NAME?</v>
      </c>
      <c r="FD63" s="4" t="e">
        <f t="shared" ca="1" si="144"/>
        <v>#NAME?</v>
      </c>
      <c r="FE63" s="4" t="e">
        <f t="shared" ca="1" si="234"/>
        <v>#NAME?</v>
      </c>
      <c r="FF63" s="4" t="e">
        <f t="shared" ca="1" si="235"/>
        <v>#NAME?</v>
      </c>
      <c r="FG63" s="4" t="e">
        <f t="shared" ca="1" si="236"/>
        <v>#NAME?</v>
      </c>
      <c r="FH63" s="17" t="e">
        <f t="shared" ca="1" si="237"/>
        <v>#NAME?</v>
      </c>
      <c r="FI63" s="4" t="e">
        <f t="shared" ca="1" si="238"/>
        <v>#NAME?</v>
      </c>
      <c r="FJ63" s="4"/>
      <c r="FK63" s="4" t="e">
        <f t="shared" ca="1" si="239"/>
        <v>#NAME?</v>
      </c>
      <c r="FL63" s="4"/>
      <c r="FM63" s="4">
        <v>0</v>
      </c>
      <c r="FN63" s="4">
        <v>0</v>
      </c>
      <c r="FO63" s="4">
        <v>0</v>
      </c>
      <c r="FP63" s="4">
        <v>0</v>
      </c>
      <c r="FQ63" s="4">
        <v>0</v>
      </c>
      <c r="FR63" s="4">
        <v>0</v>
      </c>
      <c r="FS63" s="4">
        <f t="shared" si="240"/>
        <v>0</v>
      </c>
      <c r="FT63" s="4">
        <f t="shared" si="241"/>
        <v>0</v>
      </c>
      <c r="FU63" s="4"/>
      <c r="FV63" s="3">
        <f t="shared" si="242"/>
        <v>0.32990612701298672</v>
      </c>
      <c r="FW63" s="3">
        <f t="shared" si="243"/>
        <v>0.32990612701298672</v>
      </c>
      <c r="FX63" s="4">
        <f t="shared" si="145"/>
        <v>2073</v>
      </c>
      <c r="FY63" s="4">
        <f t="shared" si="244"/>
        <v>0</v>
      </c>
      <c r="FZ63" s="4">
        <f t="shared" si="245"/>
        <v>8</v>
      </c>
      <c r="GA63" s="4" t="e">
        <f t="shared" ca="1" si="246"/>
        <v>#NAME?</v>
      </c>
      <c r="GB63" s="4">
        <f t="shared" si="247"/>
        <v>2.7444345193832334</v>
      </c>
      <c r="GC63" s="4" t="e">
        <f t="shared" ca="1" si="248"/>
        <v>#NAME?</v>
      </c>
      <c r="GD63" s="4" t="e">
        <f t="shared" ca="1" si="249"/>
        <v>#NAME?</v>
      </c>
      <c r="GE63" s="4" t="e">
        <f t="shared" ca="1" si="250"/>
        <v>#NAME?</v>
      </c>
      <c r="GF63" s="4" t="e">
        <f t="shared" ca="1" si="251"/>
        <v>#NAME?</v>
      </c>
      <c r="GG63" s="18" t="e">
        <f t="shared" ca="1" si="252"/>
        <v>#NAME?</v>
      </c>
      <c r="GH63" s="18" t="e">
        <f t="shared" ca="1" si="253"/>
        <v>#NAME?</v>
      </c>
      <c r="GI63" s="4"/>
      <c r="GJ63" s="4">
        <f t="shared" si="254"/>
        <v>2073</v>
      </c>
      <c r="GK63" s="4" t="e">
        <f t="shared" ca="1" si="255"/>
        <v>#NAME?</v>
      </c>
      <c r="GL63" s="4" t="e">
        <f t="shared" ca="1" si="256"/>
        <v>#NAME?</v>
      </c>
      <c r="GM63" s="4" t="e">
        <f t="shared" ca="1" si="257"/>
        <v>#NAME?</v>
      </c>
      <c r="GN63" s="4" t="e">
        <f t="shared" ca="1" si="258"/>
        <v>#NAME?</v>
      </c>
      <c r="GO63" s="4"/>
      <c r="GP63" s="3" t="e">
        <f t="shared" ca="1" si="146"/>
        <v>#NAME?</v>
      </c>
      <c r="GQ63" s="3" t="e">
        <f t="shared" ca="1" si="259"/>
        <v>#NAME?</v>
      </c>
      <c r="GR63" s="3" t="e">
        <f t="shared" ca="1" si="260"/>
        <v>#NAME?</v>
      </c>
      <c r="GS63" s="3" t="e">
        <f t="shared" ca="1" si="261"/>
        <v>#NAME?</v>
      </c>
      <c r="GT63" s="3" t="e">
        <f t="array" aca="1" ref="GT63" ca="1">SUM(GP63:GS63*$GU$6:$GX$6)</f>
        <v>#NAME?</v>
      </c>
      <c r="GU63" s="3" t="e">
        <f t="shared" ca="1" si="147"/>
        <v>#NAME?</v>
      </c>
      <c r="GV63" s="3" t="e">
        <f t="shared" ca="1" si="148"/>
        <v>#NAME?</v>
      </c>
      <c r="GW63" s="3" t="e">
        <f t="shared" ca="1" si="149"/>
        <v>#NAME?</v>
      </c>
      <c r="GX63" s="3" t="e">
        <f t="shared" ca="1" si="150"/>
        <v>#NAME?</v>
      </c>
      <c r="GY63" s="11"/>
      <c r="HJ63">
        <f t="shared" si="153"/>
        <v>2066</v>
      </c>
      <c r="HK63" s="28">
        <f t="shared" si="163"/>
        <v>68290</v>
      </c>
      <c r="HL63" s="27">
        <f t="shared" si="155"/>
        <v>15000</v>
      </c>
      <c r="HM63" s="28">
        <f t="shared" si="156"/>
        <v>14803.73415990484</v>
      </c>
      <c r="HO63" t="s">
        <v>276</v>
      </c>
      <c r="HQ63" s="27">
        <v>74789</v>
      </c>
      <c r="HR63" s="4">
        <f>HQ63*(1+$B$15)^($B$7-$HP$26)</f>
        <v>74789</v>
      </c>
    </row>
    <row r="64" spans="1:241" x14ac:dyDescent="0.25">
      <c r="A64" s="15" t="s">
        <v>81</v>
      </c>
      <c r="D64">
        <f t="shared" si="106"/>
        <v>2074</v>
      </c>
      <c r="E64">
        <f t="shared" si="106"/>
        <v>79</v>
      </c>
      <c r="F64" s="8"/>
      <c r="G64" s="8"/>
      <c r="H64" s="8"/>
      <c r="I64" s="8"/>
      <c r="J64" s="92"/>
      <c r="K64" s="91"/>
      <c r="L64" s="91"/>
      <c r="N64" s="93">
        <f t="shared" si="107"/>
        <v>0.05</v>
      </c>
      <c r="O64" s="23">
        <f t="shared" si="108"/>
        <v>0</v>
      </c>
      <c r="P64" s="23">
        <f t="shared" si="109"/>
        <v>0.4</v>
      </c>
      <c r="Q64" s="4">
        <f t="shared" si="164"/>
        <v>0</v>
      </c>
      <c r="R64" s="4">
        <f t="shared" si="263"/>
        <v>0</v>
      </c>
      <c r="S64" s="4">
        <f t="shared" si="165"/>
        <v>0</v>
      </c>
      <c r="T64" s="4">
        <f t="shared" ca="1" si="166"/>
        <v>0</v>
      </c>
      <c r="V64" s="18" t="e">
        <f t="shared" ca="1" si="167"/>
        <v>#NAME?</v>
      </c>
      <c r="W64" s="18" t="e">
        <f t="shared" ca="1" si="168"/>
        <v>#NAME?</v>
      </c>
      <c r="X64" s="18" t="e">
        <f t="shared" ca="1" si="169"/>
        <v>#NAME?</v>
      </c>
      <c r="Y64" s="18" t="e">
        <f t="shared" ca="1" si="170"/>
        <v>#NAME?</v>
      </c>
      <c r="Z64" s="18" t="e">
        <f t="shared" ca="1" si="171"/>
        <v>#NAME?</v>
      </c>
      <c r="AA64" s="18" t="e">
        <f t="shared" ca="1" si="172"/>
        <v>#NAME?</v>
      </c>
      <c r="AB64" s="18" t="e">
        <f t="shared" ca="1" si="173"/>
        <v>#NAME?</v>
      </c>
      <c r="AC64" s="18" t="e">
        <f t="shared" ca="1" si="174"/>
        <v>#NAME?</v>
      </c>
      <c r="AD64" s="18" t="e">
        <f t="shared" ca="1" si="175"/>
        <v>#NAME?</v>
      </c>
      <c r="AE64" s="18" t="e">
        <f t="shared" ca="1" si="176"/>
        <v>#NAME?</v>
      </c>
      <c r="AF64" s="18" t="e">
        <f t="shared" ca="1" si="177"/>
        <v>#NAME?</v>
      </c>
      <c r="AG64" s="18" t="e">
        <f t="shared" ca="1" si="178"/>
        <v>#NAME?</v>
      </c>
      <c r="AI64">
        <f>Person1!E64</f>
        <v>79</v>
      </c>
      <c r="AJ64">
        <f>Person1!AZ64</f>
        <v>2</v>
      </c>
      <c r="AK64">
        <f>IF(AZ64&lt;&gt;3,Person1!FM64,0)</f>
        <v>0</v>
      </c>
      <c r="AL64" s="4">
        <f>IF($AZ64&lt;&gt;3,Person1!FN64+Person1!FT64,0)</f>
        <v>0</v>
      </c>
      <c r="AM64">
        <f>IF($AZ64&lt;&gt;3,Person1!FO64,0)</f>
        <v>0</v>
      </c>
      <c r="AN64">
        <f>IF($AZ64&lt;&gt;3,Person1!FP64,0)</f>
        <v>0</v>
      </c>
      <c r="AO64">
        <f>IF($AZ64&lt;&gt;3,Person1!FQ64,0)</f>
        <v>0</v>
      </c>
      <c r="AP64">
        <f>IF($AZ64&lt;&gt;3,Person1!FR64,0)</f>
        <v>0</v>
      </c>
      <c r="AQ64" s="4">
        <f t="shared" si="179"/>
        <v>0</v>
      </c>
      <c r="AR64" s="4">
        <f>Person1!FS64</f>
        <v>8224.0263815207873</v>
      </c>
      <c r="AS64" s="4">
        <f>$B$41*MAX(0,CHOOSE($AZ64,0,IF(AND(Person1!AW64&gt;=Person1!$B$36,AV64&gt;=$B$93),Person1!$B$35*(1+Person1!$B$37)^(Person1!$B$36-Person1!$B$11)*(1+Person1!$B$38)^(Person1!AW64-Person1!$B$36)-CHOOSE(Person1!$B$39+1,0,BD64,BE64,BD64+BE64),0),0,0))</f>
        <v>0</v>
      </c>
      <c r="AT64" s="4">
        <f t="shared" si="180"/>
        <v>0</v>
      </c>
      <c r="AV64">
        <f t="shared" si="275"/>
        <v>2074</v>
      </c>
      <c r="AW64">
        <f t="shared" si="275"/>
        <v>79</v>
      </c>
      <c r="AX64">
        <f t="shared" si="112"/>
        <v>3.0917885922132262</v>
      </c>
      <c r="AY64">
        <f t="shared" si="113"/>
        <v>0.3234373794244968</v>
      </c>
      <c r="AZ64">
        <f t="shared" si="114"/>
        <v>2</v>
      </c>
      <c r="BB64" s="4">
        <f t="shared" si="181"/>
        <v>0</v>
      </c>
      <c r="BC64">
        <f t="shared" si="182"/>
        <v>0</v>
      </c>
      <c r="BD64" s="4">
        <f t="shared" si="183"/>
        <v>24734.308737705811</v>
      </c>
      <c r="BE64" s="4" t="e">
        <f t="shared" ca="1" si="115"/>
        <v>#NAME?</v>
      </c>
      <c r="BF64" s="4">
        <f t="shared" si="116"/>
        <v>0</v>
      </c>
      <c r="BG64" s="4">
        <f t="shared" si="117"/>
        <v>8224.0263815207873</v>
      </c>
      <c r="BH64" s="4">
        <f t="shared" si="184"/>
        <v>0</v>
      </c>
      <c r="BI64" s="4" t="e">
        <f t="shared" ca="1" si="118"/>
        <v>#NAME?</v>
      </c>
      <c r="BJ64" s="4"/>
      <c r="BK64" s="4">
        <f t="shared" si="185"/>
        <v>77294.714805330659</v>
      </c>
      <c r="BL64" s="4">
        <f t="shared" si="119"/>
        <v>0</v>
      </c>
      <c r="BM64" s="4">
        <f t="shared" si="120"/>
        <v>77294.714805330659</v>
      </c>
      <c r="BN64" s="4">
        <v>55703.547816570979</v>
      </c>
      <c r="BO64" s="4">
        <f t="shared" si="121"/>
        <v>132998.26262190164</v>
      </c>
      <c r="BP64" s="4" t="e">
        <f t="shared" ca="1" si="122"/>
        <v>#NAME?</v>
      </c>
      <c r="BQ64" s="4"/>
      <c r="BR64" s="4">
        <v>0</v>
      </c>
      <c r="BS64" s="4" t="e">
        <f t="shared" ca="1" si="186"/>
        <v>#NAME?</v>
      </c>
      <c r="BT64" s="4" t="e">
        <f t="shared" ca="1" si="187"/>
        <v>#NAME?</v>
      </c>
      <c r="BU64" s="4" t="e">
        <f t="shared" ca="1" si="188"/>
        <v>#NAME?</v>
      </c>
      <c r="BV64" s="4">
        <f t="shared" si="189"/>
        <v>1</v>
      </c>
      <c r="BW64" s="4" t="e">
        <f t="shared" ca="1" si="190"/>
        <v>#NAME?</v>
      </c>
      <c r="BX64" s="4" t="e">
        <f t="shared" ca="1" si="191"/>
        <v>#NAME?</v>
      </c>
      <c r="BY64" s="4" t="e">
        <f t="shared" ca="1" si="192"/>
        <v>#NAME?</v>
      </c>
      <c r="BZ64" s="4" t="e">
        <f t="shared" ca="1" si="193"/>
        <v>#NAME?</v>
      </c>
      <c r="CA64" s="4" t="e">
        <f t="shared" ca="1" si="30"/>
        <v>#NAME?</v>
      </c>
      <c r="CB64" s="4" t="e">
        <f t="shared" ca="1" si="154"/>
        <v>#NAME?</v>
      </c>
      <c r="CC64" s="4"/>
      <c r="CD64" s="4" t="e">
        <f t="shared" ca="1" si="194"/>
        <v>#NAME?</v>
      </c>
      <c r="CE64" s="4" t="e">
        <f t="shared" ca="1" si="123"/>
        <v>#NAME?</v>
      </c>
      <c r="CF64" s="16" t="e">
        <f t="shared" ca="1" si="195"/>
        <v>#NAME?</v>
      </c>
      <c r="CG64" s="4">
        <f t="shared" si="196"/>
        <v>0</v>
      </c>
      <c r="CH64" s="4" t="e">
        <f t="shared" ca="1" si="197"/>
        <v>#NAME?</v>
      </c>
      <c r="CI64" s="4" t="e">
        <f t="shared" ca="1" si="198"/>
        <v>#NAME?</v>
      </c>
      <c r="CJ64" s="4" t="e">
        <f t="shared" ca="1" si="124"/>
        <v>#NAME?</v>
      </c>
      <c r="CK64" s="4" t="e">
        <f t="shared" ca="1" si="199"/>
        <v>#NAME?</v>
      </c>
      <c r="CL64" s="4" t="e">
        <f t="shared" ca="1" si="200"/>
        <v>#NAME?</v>
      </c>
      <c r="CM64" s="16"/>
      <c r="CN64" s="4" t="e">
        <f t="shared" ca="1" si="201"/>
        <v>#NAME?</v>
      </c>
      <c r="CO64" s="4" t="e">
        <f t="shared" ca="1" si="202"/>
        <v>#NAME?</v>
      </c>
      <c r="CP64" s="4" t="e">
        <f t="shared" ca="1" si="271"/>
        <v>#NAME?</v>
      </c>
      <c r="CQ64" s="4"/>
      <c r="CR64" s="4" t="e">
        <f t="shared" ca="1" si="203"/>
        <v>#NAME?</v>
      </c>
      <c r="CS64" s="4">
        <f t="shared" ca="1" si="204"/>
        <v>80010</v>
      </c>
      <c r="CT64" s="4">
        <f t="shared" ca="1" si="205"/>
        <v>0</v>
      </c>
      <c r="CU64" s="4"/>
      <c r="CV64" s="4" t="e">
        <f t="shared" ca="1" si="126"/>
        <v>#NAME?</v>
      </c>
      <c r="CW64" s="4">
        <f t="shared" ca="1" si="206"/>
        <v>0</v>
      </c>
      <c r="CX64" s="4">
        <f t="shared" si="207"/>
        <v>0</v>
      </c>
      <c r="CY64" s="4" t="e">
        <f t="shared" ca="1" si="127"/>
        <v>#NAME?</v>
      </c>
      <c r="CZ64" s="4"/>
      <c r="DA64" s="4" t="e">
        <f t="shared" ca="1" si="208"/>
        <v>#NAME?</v>
      </c>
      <c r="DB64" s="4">
        <f t="shared" si="209"/>
        <v>0</v>
      </c>
      <c r="DC64" s="4">
        <f t="shared" si="128"/>
        <v>0</v>
      </c>
      <c r="DD64" s="4">
        <f t="shared" si="210"/>
        <v>0</v>
      </c>
      <c r="DE64" s="4" t="e">
        <f t="shared" ca="1" si="211"/>
        <v>#NAME?</v>
      </c>
      <c r="DF64" s="4" t="e">
        <f t="shared" ca="1" si="129"/>
        <v>#NAME?</v>
      </c>
      <c r="DG64" s="4" t="e">
        <f t="shared" ca="1" si="130"/>
        <v>#NAME?</v>
      </c>
      <c r="DH64" s="4">
        <f t="shared" si="212"/>
        <v>0</v>
      </c>
      <c r="DI64" s="4"/>
      <c r="DJ64" s="4" t="e">
        <f t="shared" ca="1" si="213"/>
        <v>#NAME?</v>
      </c>
      <c r="DK64" s="4">
        <f t="shared" ca="1" si="214"/>
        <v>17500</v>
      </c>
      <c r="DL64" s="4">
        <f t="shared" ca="1" si="215"/>
        <v>17500</v>
      </c>
      <c r="DM64" s="4" t="e">
        <f t="shared" ca="1" si="216"/>
        <v>#NAME?</v>
      </c>
      <c r="DN64" s="4" t="e">
        <f t="shared" ca="1" si="217"/>
        <v>#NAME?</v>
      </c>
      <c r="DO64" s="4" t="e">
        <f t="shared" ca="1" si="55"/>
        <v>#NAME?</v>
      </c>
      <c r="DP64" s="4"/>
      <c r="DQ64" s="4" t="e">
        <f t="shared" ca="1" si="56"/>
        <v>#NAME?</v>
      </c>
      <c r="DR64" s="4"/>
      <c r="DS64" s="4">
        <f t="shared" si="131"/>
        <v>0</v>
      </c>
      <c r="DT64" s="4" t="e">
        <f t="shared" ca="1" si="274"/>
        <v>#NAME?</v>
      </c>
      <c r="DU64" s="4">
        <f t="shared" si="218"/>
        <v>0</v>
      </c>
      <c r="DV64" s="4"/>
      <c r="DW64" s="4" t="e">
        <f t="shared" ca="1" si="265"/>
        <v>#NAME?</v>
      </c>
      <c r="DX64" s="4" t="e">
        <f t="shared" ca="1" si="219"/>
        <v>#NAME?</v>
      </c>
      <c r="DY64" s="4" t="e">
        <f t="shared" ca="1" si="133"/>
        <v>#NAME?</v>
      </c>
      <c r="DZ64" s="4" t="e">
        <f t="shared" ca="1" si="220"/>
        <v>#NAME?</v>
      </c>
      <c r="EA64" s="4" t="e">
        <f t="shared" ca="1" si="221"/>
        <v>#NAME?</v>
      </c>
      <c r="EB64" s="4" t="e">
        <f t="shared" ca="1" si="222"/>
        <v>#NAME?</v>
      </c>
      <c r="EC64" s="4">
        <f t="shared" si="223"/>
        <v>2</v>
      </c>
      <c r="ED64" s="4"/>
      <c r="EE64" s="4" t="e">
        <f t="shared" ca="1" si="266"/>
        <v>#NAME?</v>
      </c>
      <c r="EF64" s="4">
        <f t="shared" si="224"/>
        <v>0</v>
      </c>
      <c r="EG64" s="4" t="e">
        <f t="shared" ca="1" si="135"/>
        <v>#NAME?</v>
      </c>
      <c r="EH64" s="4" t="e">
        <f t="shared" ca="1" si="225"/>
        <v>#NAME?</v>
      </c>
      <c r="EI64" s="4" t="e">
        <f t="shared" ca="1" si="226"/>
        <v>#NAME?</v>
      </c>
      <c r="EJ64" s="4" t="e">
        <f t="shared" ca="1" si="227"/>
        <v>#NAME?</v>
      </c>
      <c r="EK64" s="4">
        <f t="shared" si="228"/>
        <v>2</v>
      </c>
      <c r="EL64" s="4">
        <f t="shared" si="229"/>
        <v>0</v>
      </c>
      <c r="EM64" s="4"/>
      <c r="EN64" s="4" t="e">
        <f t="shared" ca="1" si="267"/>
        <v>#NAME?</v>
      </c>
      <c r="EO64" s="4" t="e">
        <f t="shared" ca="1" si="230"/>
        <v>#NAME?</v>
      </c>
      <c r="EP64" s="4" t="e">
        <f t="shared" ca="1" si="137"/>
        <v>#NAME?</v>
      </c>
      <c r="EQ64" s="4" t="e">
        <f t="shared" ca="1" si="231"/>
        <v>#NAME?</v>
      </c>
      <c r="ER64" s="4">
        <v>0</v>
      </c>
      <c r="ES64" s="4" t="e">
        <f t="shared" ca="1" si="138"/>
        <v>#NAME?</v>
      </c>
      <c r="ET64" s="4"/>
      <c r="EU64" s="4" t="e">
        <f t="shared" ca="1" si="268"/>
        <v>#NAME?</v>
      </c>
      <c r="EV64" s="4" t="e">
        <f t="shared" ca="1" si="232"/>
        <v>#NAME?</v>
      </c>
      <c r="EW64" s="4" t="e">
        <f t="shared" ca="1" si="140"/>
        <v>#NAME?</v>
      </c>
      <c r="EX64" s="4" t="e">
        <f t="shared" ca="1" si="233"/>
        <v>#NAME?</v>
      </c>
      <c r="EY64" s="4">
        <v>0</v>
      </c>
      <c r="EZ64" s="4" t="e">
        <f t="shared" ca="1" si="141"/>
        <v>#NAME?</v>
      </c>
      <c r="FA64" s="4" t="e">
        <f t="shared" ca="1" si="269"/>
        <v>#NAME?</v>
      </c>
      <c r="FB64" s="1" t="e">
        <f t="shared" ca="1" si="74"/>
        <v>#NAME?</v>
      </c>
      <c r="FC64" s="4" t="e">
        <f t="shared" ca="1" si="143"/>
        <v>#NAME?</v>
      </c>
      <c r="FD64" s="4" t="e">
        <f t="shared" ca="1" si="144"/>
        <v>#NAME?</v>
      </c>
      <c r="FE64" s="4" t="e">
        <f t="shared" ca="1" si="234"/>
        <v>#NAME?</v>
      </c>
      <c r="FF64" s="4" t="e">
        <f t="shared" ca="1" si="235"/>
        <v>#NAME?</v>
      </c>
      <c r="FG64" s="4" t="e">
        <f t="shared" ca="1" si="236"/>
        <v>#NAME?</v>
      </c>
      <c r="FH64" s="17" t="e">
        <f t="shared" ca="1" si="237"/>
        <v>#NAME?</v>
      </c>
      <c r="FI64" s="4" t="e">
        <f t="shared" ca="1" si="238"/>
        <v>#NAME?</v>
      </c>
      <c r="FJ64" s="4"/>
      <c r="FK64" s="4" t="e">
        <f t="shared" ca="1" si="239"/>
        <v>#NAME?</v>
      </c>
      <c r="FL64" s="4"/>
      <c r="FM64" s="4">
        <v>0</v>
      </c>
      <c r="FN64" s="4">
        <v>0</v>
      </c>
      <c r="FO64" s="4">
        <v>0</v>
      </c>
      <c r="FP64" s="4">
        <v>0</v>
      </c>
      <c r="FQ64" s="4">
        <v>0</v>
      </c>
      <c r="FR64" s="4">
        <v>0</v>
      </c>
      <c r="FS64" s="4">
        <f t="shared" si="240"/>
        <v>0</v>
      </c>
      <c r="FT64" s="4">
        <f t="shared" si="241"/>
        <v>0</v>
      </c>
      <c r="FU64" s="4"/>
      <c r="FV64" s="3">
        <f t="shared" si="242"/>
        <v>0.3234373794244968</v>
      </c>
      <c r="FW64" s="3">
        <f t="shared" si="243"/>
        <v>0.3234373794244968</v>
      </c>
      <c r="FX64" s="4">
        <f t="shared" si="145"/>
        <v>2074</v>
      </c>
      <c r="FY64" s="4">
        <f t="shared" si="244"/>
        <v>0</v>
      </c>
      <c r="FZ64" s="4">
        <f t="shared" si="245"/>
        <v>8.0000000000000018</v>
      </c>
      <c r="GA64" s="4" t="e">
        <f t="shared" ca="1" si="246"/>
        <v>#NAME?</v>
      </c>
      <c r="GB64" s="4">
        <f t="shared" si="247"/>
        <v>2.6599575411570102</v>
      </c>
      <c r="GC64" s="4" t="e">
        <f t="shared" ca="1" si="248"/>
        <v>#NAME?</v>
      </c>
      <c r="GD64" s="4" t="e">
        <f t="shared" ca="1" si="249"/>
        <v>#NAME?</v>
      </c>
      <c r="GE64" s="4" t="e">
        <f t="shared" ca="1" si="250"/>
        <v>#NAME?</v>
      </c>
      <c r="GF64" s="4" t="e">
        <f t="shared" ca="1" si="251"/>
        <v>#NAME?</v>
      </c>
      <c r="GG64" s="18" t="e">
        <f t="shared" ca="1" si="252"/>
        <v>#NAME?</v>
      </c>
      <c r="GH64" s="18" t="e">
        <f t="shared" ca="1" si="253"/>
        <v>#NAME?</v>
      </c>
      <c r="GI64" s="4"/>
      <c r="GJ64" s="4">
        <f t="shared" si="254"/>
        <v>2074</v>
      </c>
      <c r="GK64" s="4" t="e">
        <f t="shared" ca="1" si="255"/>
        <v>#NAME?</v>
      </c>
      <c r="GL64" s="4" t="e">
        <f t="shared" ca="1" si="256"/>
        <v>#NAME?</v>
      </c>
      <c r="GM64" s="4" t="e">
        <f t="shared" ca="1" si="257"/>
        <v>#NAME?</v>
      </c>
      <c r="GN64" s="4" t="e">
        <f t="shared" ca="1" si="258"/>
        <v>#NAME?</v>
      </c>
      <c r="GO64" s="4"/>
      <c r="GP64" s="3" t="e">
        <f t="shared" ca="1" si="146"/>
        <v>#NAME?</v>
      </c>
      <c r="GQ64" s="3" t="e">
        <f t="shared" ca="1" si="259"/>
        <v>#NAME?</v>
      </c>
      <c r="GR64" s="3" t="e">
        <f t="shared" ca="1" si="260"/>
        <v>#NAME?</v>
      </c>
      <c r="GS64" s="3" t="e">
        <f t="shared" ca="1" si="261"/>
        <v>#NAME?</v>
      </c>
      <c r="GT64" s="3" t="e">
        <f t="array" aca="1" ref="GT64" ca="1">SUM(GP64:GS64*$GU$6:$GX$6)</f>
        <v>#NAME?</v>
      </c>
      <c r="GU64" s="3" t="e">
        <f t="shared" ca="1" si="147"/>
        <v>#NAME?</v>
      </c>
      <c r="GV64" s="3" t="e">
        <f t="shared" ca="1" si="148"/>
        <v>#NAME?</v>
      </c>
      <c r="GW64" s="3" t="e">
        <f t="shared" ca="1" si="149"/>
        <v>#NAME?</v>
      </c>
      <c r="GX64" s="3" t="e">
        <f t="shared" ca="1" si="150"/>
        <v>#NAME?</v>
      </c>
      <c r="GY64" s="11"/>
      <c r="HJ64">
        <f t="shared" si="153"/>
        <v>2067</v>
      </c>
      <c r="HK64" s="28">
        <f t="shared" si="163"/>
        <v>69650</v>
      </c>
      <c r="HL64" s="27">
        <f t="shared" si="155"/>
        <v>15000</v>
      </c>
      <c r="HM64" s="28">
        <f t="shared" si="156"/>
        <v>15099.808843102937</v>
      </c>
      <c r="HO64" t="s">
        <v>277</v>
      </c>
      <c r="HQ64" s="27">
        <v>0.15</v>
      </c>
    </row>
    <row r="65" spans="1:226" x14ac:dyDescent="0.25">
      <c r="A65" t="s">
        <v>8</v>
      </c>
      <c r="B65" s="62">
        <f>Inputs_Summary!AK62</f>
        <v>1</v>
      </c>
      <c r="D65">
        <f t="shared" si="106"/>
        <v>2075</v>
      </c>
      <c r="E65">
        <f t="shared" si="106"/>
        <v>80</v>
      </c>
      <c r="F65" s="8"/>
      <c r="G65" s="8"/>
      <c r="H65" s="8"/>
      <c r="I65" s="8"/>
      <c r="J65" s="92"/>
      <c r="K65" s="91"/>
      <c r="L65" s="91"/>
      <c r="N65" s="93">
        <f t="shared" si="107"/>
        <v>0.05</v>
      </c>
      <c r="O65" s="23">
        <f t="shared" si="108"/>
        <v>0</v>
      </c>
      <c r="P65" s="23">
        <f t="shared" si="109"/>
        <v>0.4</v>
      </c>
      <c r="Q65" s="4">
        <f t="shared" si="164"/>
        <v>0</v>
      </c>
      <c r="R65" s="4">
        <f t="shared" si="263"/>
        <v>0</v>
      </c>
      <c r="S65" s="4">
        <f t="shared" si="165"/>
        <v>0</v>
      </c>
      <c r="T65" s="4">
        <f t="shared" ca="1" si="166"/>
        <v>0</v>
      </c>
      <c r="V65" s="18" t="e">
        <f t="shared" ca="1" si="167"/>
        <v>#NAME?</v>
      </c>
      <c r="W65" s="18" t="e">
        <f t="shared" ca="1" si="168"/>
        <v>#NAME?</v>
      </c>
      <c r="X65" s="18" t="e">
        <f t="shared" ca="1" si="169"/>
        <v>#NAME?</v>
      </c>
      <c r="Y65" s="18" t="e">
        <f t="shared" ca="1" si="170"/>
        <v>#NAME?</v>
      </c>
      <c r="Z65" s="18" t="e">
        <f t="shared" ca="1" si="171"/>
        <v>#NAME?</v>
      </c>
      <c r="AA65" s="18" t="e">
        <f t="shared" ca="1" si="172"/>
        <v>#NAME?</v>
      </c>
      <c r="AB65" s="18" t="e">
        <f t="shared" ca="1" si="173"/>
        <v>#NAME?</v>
      </c>
      <c r="AC65" s="18" t="e">
        <f t="shared" ca="1" si="174"/>
        <v>#NAME?</v>
      </c>
      <c r="AD65" s="18" t="e">
        <f t="shared" ca="1" si="175"/>
        <v>#NAME?</v>
      </c>
      <c r="AE65" s="18" t="e">
        <f t="shared" ca="1" si="176"/>
        <v>#NAME?</v>
      </c>
      <c r="AF65" s="18" t="e">
        <f t="shared" ca="1" si="177"/>
        <v>#NAME?</v>
      </c>
      <c r="AG65" s="18" t="e">
        <f t="shared" ca="1" si="178"/>
        <v>#NAME?</v>
      </c>
      <c r="AI65">
        <f>Person1!E65</f>
        <v>80</v>
      </c>
      <c r="AJ65">
        <f>Person1!AZ65</f>
        <v>4</v>
      </c>
      <c r="AK65">
        <f>IF(AZ65&lt;&gt;3,Person1!FM65,0)</f>
        <v>0</v>
      </c>
      <c r="AL65" s="4" t="e">
        <f ca="1">IF($AZ65&lt;&gt;3,Person1!FN65+Person1!FT65,0)</f>
        <v>#NAME?</v>
      </c>
      <c r="AM65" t="e">
        <f ca="1">IF($AZ65&lt;&gt;3,Person1!FO65,0)</f>
        <v>#NAME?</v>
      </c>
      <c r="AN65" t="e">
        <f ca="1">IF($AZ65&lt;&gt;3,Person1!FP65,0)</f>
        <v>#NAME?</v>
      </c>
      <c r="AO65" t="e">
        <f ca="1">IF($AZ65&lt;&gt;3,Person1!FQ65,0)</f>
        <v>#NAME?</v>
      </c>
      <c r="AP65" t="e">
        <f ca="1">IF($AZ65&lt;&gt;3,Person1!FR65,0)</f>
        <v>#NAME?</v>
      </c>
      <c r="AQ65" s="4">
        <f t="shared" si="179"/>
        <v>126144.97456229963</v>
      </c>
      <c r="AR65" s="4">
        <f>Person1!FS65</f>
        <v>0</v>
      </c>
      <c r="AS65" s="4">
        <f>$B$41*MAX(0,CHOOSE($AZ65,0,IF(AND(Person1!AW65&gt;=Person1!$B$36,AV65&gt;=$B$93),Person1!$B$35*(1+Person1!$B$37)^(Person1!$B$36-Person1!$B$11)*(1+Person1!$B$38)^(Person1!AW65-Person1!$B$36)-CHOOSE(Person1!$B$39+1,0,BD65,BE65,BD65+BE65),0),0,0))</f>
        <v>21777.722951767166</v>
      </c>
      <c r="AT65" s="4">
        <f t="shared" si="180"/>
        <v>12614.497456229963</v>
      </c>
      <c r="AV65">
        <f t="shared" si="275"/>
        <v>2075</v>
      </c>
      <c r="AW65">
        <f t="shared" si="275"/>
        <v>80</v>
      </c>
      <c r="AX65">
        <f t="shared" si="112"/>
        <v>3.1536243640574906</v>
      </c>
      <c r="AY65">
        <f t="shared" si="113"/>
        <v>0.31709547002401645</v>
      </c>
      <c r="AZ65">
        <f t="shared" si="114"/>
        <v>2</v>
      </c>
      <c r="BB65" s="4">
        <f t="shared" si="181"/>
        <v>0</v>
      </c>
      <c r="BC65">
        <f t="shared" si="182"/>
        <v>0</v>
      </c>
      <c r="BD65" s="4">
        <f t="shared" si="183"/>
        <v>37843.492368689891</v>
      </c>
      <c r="BE65" s="4" t="e">
        <f t="shared" ca="1" si="115"/>
        <v>#NAME?</v>
      </c>
      <c r="BF65" s="4">
        <f t="shared" si="116"/>
        <v>0</v>
      </c>
      <c r="BG65" s="4">
        <f t="shared" si="117"/>
        <v>21777.722951767166</v>
      </c>
      <c r="BH65" s="4">
        <f t="shared" si="184"/>
        <v>0</v>
      </c>
      <c r="BI65" s="4" t="e">
        <f t="shared" ca="1" si="118"/>
        <v>#NAME?</v>
      </c>
      <c r="BJ65" s="4"/>
      <c r="BK65" s="4">
        <f t="shared" si="185"/>
        <v>78840.609101437265</v>
      </c>
      <c r="BL65" s="4">
        <f t="shared" si="119"/>
        <v>0</v>
      </c>
      <c r="BM65" s="4">
        <f t="shared" si="120"/>
        <v>204985.58366373688</v>
      </c>
      <c r="BN65" s="4">
        <v>65540.168548517962</v>
      </c>
      <c r="BO65" s="4">
        <f t="shared" si="121"/>
        <v>270525.75221225485</v>
      </c>
      <c r="BP65" s="4" t="e">
        <f t="shared" ca="1" si="122"/>
        <v>#NAME?</v>
      </c>
      <c r="BQ65" s="4"/>
      <c r="BR65" s="4">
        <v>0</v>
      </c>
      <c r="BS65" s="4" t="e">
        <f t="shared" ca="1" si="186"/>
        <v>#NAME?</v>
      </c>
      <c r="BT65" s="4" t="e">
        <f t="shared" ca="1" si="187"/>
        <v>#NAME?</v>
      </c>
      <c r="BU65" s="4" t="e">
        <f t="shared" ca="1" si="188"/>
        <v>#NAME?</v>
      </c>
      <c r="BV65" s="4">
        <f t="shared" si="189"/>
        <v>1</v>
      </c>
      <c r="BW65" s="4" t="e">
        <f t="shared" ca="1" si="190"/>
        <v>#NAME?</v>
      </c>
      <c r="BX65" s="4" t="e">
        <f t="shared" ca="1" si="191"/>
        <v>#NAME?</v>
      </c>
      <c r="BY65" s="4" t="e">
        <f t="shared" ca="1" si="192"/>
        <v>#NAME?</v>
      </c>
      <c r="BZ65" s="4" t="e">
        <f t="shared" ca="1" si="193"/>
        <v>#NAME?</v>
      </c>
      <c r="CA65" s="4" t="e">
        <f t="shared" ca="1" si="30"/>
        <v>#NAME?</v>
      </c>
      <c r="CB65" s="4" t="e">
        <f t="shared" ca="1" si="154"/>
        <v>#NAME?</v>
      </c>
      <c r="CC65" s="4"/>
      <c r="CD65" s="4" t="e">
        <f t="shared" ca="1" si="194"/>
        <v>#NAME?</v>
      </c>
      <c r="CE65" s="4" t="e">
        <f t="shared" ca="1" si="123"/>
        <v>#NAME?</v>
      </c>
      <c r="CF65" s="16" t="e">
        <f t="shared" ca="1" si="195"/>
        <v>#NAME?</v>
      </c>
      <c r="CG65" s="4">
        <f t="shared" si="196"/>
        <v>0</v>
      </c>
      <c r="CH65" s="4" t="e">
        <f t="shared" ca="1" si="197"/>
        <v>#NAME?</v>
      </c>
      <c r="CI65" s="4" t="e">
        <f t="shared" ca="1" si="198"/>
        <v>#NAME?</v>
      </c>
      <c r="CJ65" s="4" t="e">
        <f t="shared" ca="1" si="124"/>
        <v>#NAME?</v>
      </c>
      <c r="CK65" s="4" t="e">
        <f t="shared" ca="1" si="199"/>
        <v>#NAME?</v>
      </c>
      <c r="CL65" s="4" t="e">
        <f t="shared" ca="1" si="200"/>
        <v>#NAME?</v>
      </c>
      <c r="CM65" s="16"/>
      <c r="CN65" s="4" t="e">
        <f t="shared" ca="1" si="201"/>
        <v>#NAME?</v>
      </c>
      <c r="CO65" s="4" t="e">
        <f t="shared" ca="1" si="202"/>
        <v>#NAME?</v>
      </c>
      <c r="CP65" s="4" t="e">
        <f t="shared" ca="1" si="271"/>
        <v>#NAME?</v>
      </c>
      <c r="CQ65" s="4"/>
      <c r="CR65" s="4" t="e">
        <f t="shared" ca="1" si="203"/>
        <v>#NAME?</v>
      </c>
      <c r="CS65" s="4">
        <f t="shared" ca="1" si="204"/>
        <v>81610</v>
      </c>
      <c r="CT65" s="4">
        <f t="shared" ca="1" si="205"/>
        <v>0</v>
      </c>
      <c r="CU65" s="4"/>
      <c r="CV65" s="4" t="e">
        <f t="shared" ca="1" si="126"/>
        <v>#NAME?</v>
      </c>
      <c r="CW65" s="4">
        <f t="shared" ca="1" si="206"/>
        <v>0</v>
      </c>
      <c r="CX65" s="4">
        <f t="shared" si="207"/>
        <v>0</v>
      </c>
      <c r="CY65" s="4" t="e">
        <f t="shared" ca="1" si="127"/>
        <v>#NAME?</v>
      </c>
      <c r="CZ65" s="4"/>
      <c r="DA65" s="4" t="e">
        <f t="shared" ca="1" si="208"/>
        <v>#NAME?</v>
      </c>
      <c r="DB65" s="4">
        <f t="shared" si="209"/>
        <v>0</v>
      </c>
      <c r="DC65" s="4">
        <f t="shared" si="128"/>
        <v>0</v>
      </c>
      <c r="DD65" s="4">
        <f t="shared" si="210"/>
        <v>0</v>
      </c>
      <c r="DE65" s="4" t="e">
        <f t="shared" ca="1" si="211"/>
        <v>#NAME?</v>
      </c>
      <c r="DF65" s="4" t="e">
        <f t="shared" ca="1" si="129"/>
        <v>#NAME?</v>
      </c>
      <c r="DG65" s="4" t="e">
        <f t="shared" ca="1" si="130"/>
        <v>#NAME?</v>
      </c>
      <c r="DH65" s="4">
        <f t="shared" si="212"/>
        <v>0</v>
      </c>
      <c r="DI65" s="4"/>
      <c r="DJ65" s="4" t="e">
        <f t="shared" ca="1" si="213"/>
        <v>#NAME?</v>
      </c>
      <c r="DK65" s="4">
        <f t="shared" ca="1" si="214"/>
        <v>17500</v>
      </c>
      <c r="DL65" s="4">
        <f t="shared" ca="1" si="215"/>
        <v>17500</v>
      </c>
      <c r="DM65" s="4" t="e">
        <f t="shared" ca="1" si="216"/>
        <v>#NAME?</v>
      </c>
      <c r="DN65" s="4" t="e">
        <f t="shared" ca="1" si="217"/>
        <v>#NAME?</v>
      </c>
      <c r="DO65" s="4" t="e">
        <f t="shared" ca="1" si="55"/>
        <v>#NAME?</v>
      </c>
      <c r="DP65" s="4"/>
      <c r="DQ65" s="4" t="e">
        <f t="shared" ca="1" si="56"/>
        <v>#NAME?</v>
      </c>
      <c r="DR65" s="4"/>
      <c r="DS65" s="4">
        <f t="shared" si="131"/>
        <v>0</v>
      </c>
      <c r="DT65" s="4" t="e">
        <f t="shared" ca="1" si="274"/>
        <v>#NAME?</v>
      </c>
      <c r="DU65" s="4">
        <f t="shared" si="218"/>
        <v>0</v>
      </c>
      <c r="DV65" s="4"/>
      <c r="DW65" s="4" t="e">
        <f t="shared" ca="1" si="265"/>
        <v>#NAME?</v>
      </c>
      <c r="DX65" s="4" t="e">
        <f t="shared" ca="1" si="219"/>
        <v>#NAME?</v>
      </c>
      <c r="DY65" s="4" t="e">
        <f t="shared" ca="1" si="133"/>
        <v>#NAME?</v>
      </c>
      <c r="DZ65" s="4" t="e">
        <f t="shared" ca="1" si="220"/>
        <v>#NAME?</v>
      </c>
      <c r="EA65" s="4" t="e">
        <f t="shared" ca="1" si="221"/>
        <v>#NAME?</v>
      </c>
      <c r="EB65" s="4" t="e">
        <f t="shared" ca="1" si="222"/>
        <v>#NAME?</v>
      </c>
      <c r="EC65" s="4">
        <f t="shared" si="223"/>
        <v>2</v>
      </c>
      <c r="ED65" s="4"/>
      <c r="EE65" s="4" t="e">
        <f t="shared" ca="1" si="266"/>
        <v>#NAME?</v>
      </c>
      <c r="EF65" s="4" t="e">
        <f t="shared" ca="1" si="224"/>
        <v>#NAME?</v>
      </c>
      <c r="EG65" s="4" t="e">
        <f t="shared" ca="1" si="135"/>
        <v>#NAME?</v>
      </c>
      <c r="EH65" s="4" t="e">
        <f t="shared" ca="1" si="225"/>
        <v>#NAME?</v>
      </c>
      <c r="EI65" s="4" t="e">
        <f t="shared" ca="1" si="226"/>
        <v>#NAME?</v>
      </c>
      <c r="EJ65" s="4" t="e">
        <f t="shared" ca="1" si="227"/>
        <v>#NAME?</v>
      </c>
      <c r="EK65" s="4">
        <f t="shared" si="228"/>
        <v>2</v>
      </c>
      <c r="EL65" s="4">
        <f t="shared" si="229"/>
        <v>0</v>
      </c>
      <c r="EM65" s="4"/>
      <c r="EN65" s="4" t="e">
        <f t="shared" ca="1" si="267"/>
        <v>#NAME?</v>
      </c>
      <c r="EO65" s="4" t="e">
        <f t="shared" ca="1" si="230"/>
        <v>#NAME?</v>
      </c>
      <c r="EP65" s="4" t="e">
        <f t="shared" ca="1" si="137"/>
        <v>#NAME?</v>
      </c>
      <c r="EQ65" s="4" t="e">
        <f t="shared" ca="1" si="231"/>
        <v>#NAME?</v>
      </c>
      <c r="ER65" s="4">
        <v>0</v>
      </c>
      <c r="ES65" s="4" t="e">
        <f t="shared" ca="1" si="138"/>
        <v>#NAME?</v>
      </c>
      <c r="ET65" s="4"/>
      <c r="EU65" s="4" t="e">
        <f t="shared" ca="1" si="268"/>
        <v>#NAME?</v>
      </c>
      <c r="EV65" s="4" t="e">
        <f t="shared" ca="1" si="232"/>
        <v>#NAME?</v>
      </c>
      <c r="EW65" s="4" t="e">
        <f t="shared" ca="1" si="140"/>
        <v>#NAME?</v>
      </c>
      <c r="EX65" s="4" t="e">
        <f t="shared" ca="1" si="233"/>
        <v>#NAME?</v>
      </c>
      <c r="EY65" s="4">
        <v>0</v>
      </c>
      <c r="EZ65" s="4" t="e">
        <f t="shared" ca="1" si="141"/>
        <v>#NAME?</v>
      </c>
      <c r="FA65" s="4" t="e">
        <f t="shared" ca="1" si="269"/>
        <v>#NAME?</v>
      </c>
      <c r="FB65" s="1" t="e">
        <f t="shared" ca="1" si="74"/>
        <v>#NAME?</v>
      </c>
      <c r="FC65" s="4" t="e">
        <f t="shared" ca="1" si="143"/>
        <v>#NAME?</v>
      </c>
      <c r="FD65" s="4" t="e">
        <f t="shared" ca="1" si="144"/>
        <v>#NAME?</v>
      </c>
      <c r="FE65" s="4" t="e">
        <f t="shared" ca="1" si="234"/>
        <v>#NAME?</v>
      </c>
      <c r="FF65" s="4" t="e">
        <f t="shared" ca="1" si="235"/>
        <v>#NAME?</v>
      </c>
      <c r="FG65" s="4" t="e">
        <f t="shared" ca="1" si="236"/>
        <v>#NAME?</v>
      </c>
      <c r="FH65" s="17" t="e">
        <f t="shared" ca="1" si="237"/>
        <v>#NAME?</v>
      </c>
      <c r="FI65" s="4" t="e">
        <f t="shared" ca="1" si="238"/>
        <v>#NAME?</v>
      </c>
      <c r="FJ65" s="4"/>
      <c r="FK65" s="4" t="e">
        <f t="shared" ca="1" si="239"/>
        <v>#NAME?</v>
      </c>
      <c r="FL65" s="4"/>
      <c r="FM65" s="4">
        <v>0</v>
      </c>
      <c r="FN65" s="4">
        <v>0</v>
      </c>
      <c r="FO65" s="4">
        <v>0</v>
      </c>
      <c r="FP65" s="4">
        <v>0</v>
      </c>
      <c r="FQ65" s="4">
        <v>0</v>
      </c>
      <c r="FR65" s="4">
        <v>0</v>
      </c>
      <c r="FS65" s="4">
        <f t="shared" si="240"/>
        <v>0</v>
      </c>
      <c r="FT65" s="4">
        <f t="shared" si="241"/>
        <v>0</v>
      </c>
      <c r="FU65" s="4"/>
      <c r="FV65" s="3">
        <f t="shared" si="242"/>
        <v>0.31709547002401645</v>
      </c>
      <c r="FW65" s="3">
        <f t="shared" si="243"/>
        <v>0.31709547002401645</v>
      </c>
      <c r="FX65" s="4">
        <f t="shared" si="145"/>
        <v>2075</v>
      </c>
      <c r="FY65" s="4">
        <f t="shared" si="244"/>
        <v>0</v>
      </c>
      <c r="FZ65" s="4">
        <f t="shared" si="245"/>
        <v>12</v>
      </c>
      <c r="GA65" s="4" t="e">
        <f t="shared" ca="1" si="246"/>
        <v>#NAME?</v>
      </c>
      <c r="GB65" s="4">
        <f t="shared" si="247"/>
        <v>6.9056172954434203</v>
      </c>
      <c r="GC65" s="4" t="e">
        <f t="shared" ca="1" si="248"/>
        <v>#NAME?</v>
      </c>
      <c r="GD65" s="4" t="e">
        <f t="shared" ca="1" si="249"/>
        <v>#NAME?</v>
      </c>
      <c r="GE65" s="4" t="e">
        <f t="shared" ca="1" si="250"/>
        <v>#NAME?</v>
      </c>
      <c r="GF65" s="4" t="e">
        <f t="shared" ca="1" si="251"/>
        <v>#NAME?</v>
      </c>
      <c r="GG65" s="18" t="e">
        <f t="shared" ca="1" si="252"/>
        <v>#NAME?</v>
      </c>
      <c r="GH65" s="18" t="e">
        <f t="shared" ca="1" si="253"/>
        <v>#NAME?</v>
      </c>
      <c r="GI65" s="4"/>
      <c r="GJ65" s="4">
        <f t="shared" si="254"/>
        <v>2075</v>
      </c>
      <c r="GK65" s="4" t="e">
        <f t="shared" ca="1" si="255"/>
        <v>#NAME?</v>
      </c>
      <c r="GL65" s="4" t="e">
        <f t="shared" ca="1" si="256"/>
        <v>#NAME?</v>
      </c>
      <c r="GM65" s="4" t="e">
        <f t="shared" ca="1" si="257"/>
        <v>#NAME?</v>
      </c>
      <c r="GN65" s="4" t="e">
        <f t="shared" ca="1" si="258"/>
        <v>#NAME?</v>
      </c>
      <c r="GO65" s="4"/>
      <c r="GP65" s="3" t="e">
        <f t="shared" ca="1" si="146"/>
        <v>#NAME?</v>
      </c>
      <c r="GQ65" s="3" t="e">
        <f t="shared" ca="1" si="259"/>
        <v>#NAME?</v>
      </c>
      <c r="GR65" s="3" t="e">
        <f t="shared" ca="1" si="260"/>
        <v>#NAME?</v>
      </c>
      <c r="GS65" s="3" t="e">
        <f t="shared" ca="1" si="261"/>
        <v>#NAME?</v>
      </c>
      <c r="GT65" s="3" t="e">
        <f t="array" aca="1" ref="GT65" ca="1">SUM(GP65:GS65*$GU$6:$GX$6)</f>
        <v>#NAME?</v>
      </c>
      <c r="GU65" s="3" t="e">
        <f t="shared" ca="1" si="147"/>
        <v>#NAME?</v>
      </c>
      <c r="GV65" s="3" t="e">
        <f t="shared" ca="1" si="148"/>
        <v>#NAME?</v>
      </c>
      <c r="GW65" s="3" t="e">
        <f t="shared" ca="1" si="149"/>
        <v>#NAME?</v>
      </c>
      <c r="GX65" s="3" t="e">
        <f t="shared" ca="1" si="150"/>
        <v>#NAME?</v>
      </c>
      <c r="GY65" s="11"/>
      <c r="HJ65">
        <f t="shared" si="153"/>
        <v>2068</v>
      </c>
      <c r="HK65" s="28">
        <f t="shared" si="163"/>
        <v>71040</v>
      </c>
      <c r="HL65" s="27">
        <f t="shared" si="155"/>
        <v>15500</v>
      </c>
      <c r="HM65" s="28">
        <f t="shared" si="156"/>
        <v>15401.805019964997</v>
      </c>
    </row>
    <row r="66" spans="1:226" x14ac:dyDescent="0.25">
      <c r="A66" t="s">
        <v>61</v>
      </c>
      <c r="B66" s="62">
        <f>Inputs_Summary!AK63</f>
        <v>1</v>
      </c>
      <c r="D66">
        <f t="shared" si="106"/>
        <v>2076</v>
      </c>
      <c r="E66">
        <f t="shared" si="106"/>
        <v>81</v>
      </c>
      <c r="F66" s="8"/>
      <c r="G66" s="8"/>
      <c r="H66" s="8"/>
      <c r="I66" s="8"/>
      <c r="J66" s="92"/>
      <c r="K66" s="91"/>
      <c r="L66" s="91"/>
      <c r="N66" s="93">
        <f t="shared" si="107"/>
        <v>0.05</v>
      </c>
      <c r="O66" s="23">
        <f t="shared" si="108"/>
        <v>0</v>
      </c>
      <c r="P66" s="23">
        <f t="shared" si="109"/>
        <v>0.4</v>
      </c>
      <c r="Q66" s="4">
        <f t="shared" si="164"/>
        <v>0</v>
      </c>
      <c r="R66" s="4">
        <f t="shared" si="263"/>
        <v>0</v>
      </c>
      <c r="S66" s="4">
        <f t="shared" si="165"/>
        <v>0</v>
      </c>
      <c r="T66" s="4">
        <f t="shared" ca="1" si="166"/>
        <v>0</v>
      </c>
      <c r="V66" s="18" t="e">
        <f t="shared" ca="1" si="167"/>
        <v>#NAME?</v>
      </c>
      <c r="W66" s="18" t="e">
        <f t="shared" ca="1" si="168"/>
        <v>#NAME?</v>
      </c>
      <c r="X66" s="18" t="e">
        <f t="shared" ca="1" si="169"/>
        <v>#NAME?</v>
      </c>
      <c r="Y66" s="18" t="e">
        <f t="shared" ca="1" si="170"/>
        <v>#NAME?</v>
      </c>
      <c r="Z66" s="18" t="e">
        <f t="shared" ca="1" si="171"/>
        <v>#NAME?</v>
      </c>
      <c r="AA66" s="18" t="e">
        <f t="shared" ca="1" si="172"/>
        <v>#NAME?</v>
      </c>
      <c r="AB66" s="18" t="e">
        <f t="shared" ca="1" si="173"/>
        <v>#NAME?</v>
      </c>
      <c r="AC66" s="18" t="e">
        <f t="shared" ca="1" si="174"/>
        <v>#NAME?</v>
      </c>
      <c r="AD66" s="18" t="e">
        <f t="shared" ca="1" si="175"/>
        <v>#NAME?</v>
      </c>
      <c r="AE66" s="18" t="e">
        <f t="shared" ca="1" si="176"/>
        <v>#NAME?</v>
      </c>
      <c r="AF66" s="18" t="e">
        <f t="shared" ca="1" si="177"/>
        <v>#NAME?</v>
      </c>
      <c r="AG66" s="18" t="e">
        <f t="shared" ca="1" si="178"/>
        <v>#NAME?</v>
      </c>
      <c r="AI66">
        <f>Person1!E66</f>
        <v>81</v>
      </c>
      <c r="AJ66">
        <f>Person1!AZ66</f>
        <v>3</v>
      </c>
      <c r="AK66">
        <f>IF(AZ66&lt;&gt;3,Person1!FM66,0)</f>
        <v>0</v>
      </c>
      <c r="AL66" s="4">
        <f>IF($AZ66&lt;&gt;3,Person1!FN66+Person1!FT66,0)</f>
        <v>0</v>
      </c>
      <c r="AM66">
        <f>IF($AZ66&lt;&gt;3,Person1!FO66,0)</f>
        <v>0</v>
      </c>
      <c r="AN66">
        <f>IF($AZ66&lt;&gt;3,Person1!FP66,0)</f>
        <v>0</v>
      </c>
      <c r="AO66">
        <f>IF($AZ66&lt;&gt;3,Person1!FQ66,0)</f>
        <v>0</v>
      </c>
      <c r="AP66">
        <f>IF($AZ66&lt;&gt;3,Person1!FR66,0)</f>
        <v>0</v>
      </c>
      <c r="AQ66" s="4">
        <f t="shared" si="179"/>
        <v>128667.87405354562</v>
      </c>
      <c r="AR66" s="4">
        <f>Person1!FS66</f>
        <v>0</v>
      </c>
      <c r="AS66" s="4">
        <f>$B$41*MAX(0,CHOOSE($AZ66,0,IF(AND(Person1!AW66&gt;=Person1!$B$36,AV66&gt;=$B$93),Person1!$B$35*(1+Person1!$B$37)^(Person1!$B$36-Person1!$B$11)*(1+Person1!$B$38)^(Person1!AW66-Person1!$B$36)-CHOOSE(Person1!$B$39+1,0,BD66,BE66,BD66+BE66),0),0,0))</f>
        <v>21506.284468220667</v>
      </c>
      <c r="AT66" s="4">
        <f t="shared" si="180"/>
        <v>12866.78740535456</v>
      </c>
      <c r="AV66">
        <f t="shared" si="275"/>
        <v>2076</v>
      </c>
      <c r="AW66">
        <f t="shared" si="275"/>
        <v>81</v>
      </c>
      <c r="AX66">
        <f t="shared" si="112"/>
        <v>3.2166968513386403</v>
      </c>
      <c r="AY66">
        <f t="shared" si="113"/>
        <v>0.31087791178825147</v>
      </c>
      <c r="AZ66">
        <f t="shared" si="114"/>
        <v>2</v>
      </c>
      <c r="BB66" s="4">
        <f t="shared" si="181"/>
        <v>0</v>
      </c>
      <c r="BC66">
        <f t="shared" si="182"/>
        <v>0</v>
      </c>
      <c r="BD66" s="4">
        <f t="shared" si="183"/>
        <v>38600.362216063681</v>
      </c>
      <c r="BE66" s="4" t="e">
        <f t="shared" ca="1" si="115"/>
        <v>#NAME?</v>
      </c>
      <c r="BF66" s="4">
        <f t="shared" si="116"/>
        <v>0</v>
      </c>
      <c r="BG66" s="4">
        <f t="shared" si="117"/>
        <v>21506.284468220667</v>
      </c>
      <c r="BH66" s="4">
        <f t="shared" si="184"/>
        <v>0</v>
      </c>
      <c r="BI66" s="4" t="e">
        <f t="shared" ca="1" si="118"/>
        <v>#NAME?</v>
      </c>
      <c r="BJ66" s="4"/>
      <c r="BK66" s="4">
        <f t="shared" si="185"/>
        <v>80417.421283465999</v>
      </c>
      <c r="BL66" s="4">
        <f t="shared" si="119"/>
        <v>0</v>
      </c>
      <c r="BM66" s="4">
        <f t="shared" si="120"/>
        <v>209085.29533701163</v>
      </c>
      <c r="BN66" s="4">
        <v>88374.076938833605</v>
      </c>
      <c r="BO66" s="4">
        <f t="shared" si="121"/>
        <v>297459.37227584526</v>
      </c>
      <c r="BP66" s="4" t="e">
        <f t="shared" ca="1" si="122"/>
        <v>#NAME?</v>
      </c>
      <c r="BQ66" s="4"/>
      <c r="BR66" s="4">
        <v>0</v>
      </c>
      <c r="BS66" s="4" t="e">
        <f t="shared" ca="1" si="186"/>
        <v>#NAME?</v>
      </c>
      <c r="BT66" s="4" t="e">
        <f t="shared" ca="1" si="187"/>
        <v>#NAME?</v>
      </c>
      <c r="BU66" s="4" t="e">
        <f t="shared" ca="1" si="188"/>
        <v>#NAME?</v>
      </c>
      <c r="BV66" s="4">
        <f t="shared" si="189"/>
        <v>1</v>
      </c>
      <c r="BW66" s="4" t="e">
        <f t="shared" ca="1" si="190"/>
        <v>#NAME?</v>
      </c>
      <c r="BX66" s="4" t="e">
        <f t="shared" ca="1" si="191"/>
        <v>#NAME?</v>
      </c>
      <c r="BY66" s="4" t="e">
        <f t="shared" ca="1" si="192"/>
        <v>#NAME?</v>
      </c>
      <c r="BZ66" s="4" t="e">
        <f t="shared" ca="1" si="193"/>
        <v>#NAME?</v>
      </c>
      <c r="CA66" s="4" t="e">
        <f t="shared" ca="1" si="30"/>
        <v>#NAME?</v>
      </c>
      <c r="CB66" s="4" t="e">
        <f t="shared" ca="1" si="154"/>
        <v>#NAME?</v>
      </c>
      <c r="CC66" s="4"/>
      <c r="CD66" s="4" t="e">
        <f t="shared" ca="1" si="194"/>
        <v>#NAME?</v>
      </c>
      <c r="CE66" s="4" t="e">
        <f t="shared" ca="1" si="123"/>
        <v>#NAME?</v>
      </c>
      <c r="CF66" s="16" t="e">
        <f t="shared" ca="1" si="195"/>
        <v>#NAME?</v>
      </c>
      <c r="CG66" s="4">
        <f t="shared" si="196"/>
        <v>0</v>
      </c>
      <c r="CH66" s="4" t="e">
        <f t="shared" ca="1" si="197"/>
        <v>#NAME?</v>
      </c>
      <c r="CI66" s="4" t="e">
        <f t="shared" ca="1" si="198"/>
        <v>#NAME?</v>
      </c>
      <c r="CJ66" s="4" t="e">
        <f t="shared" ca="1" si="124"/>
        <v>#NAME?</v>
      </c>
      <c r="CK66" s="4" t="e">
        <f t="shared" ca="1" si="199"/>
        <v>#NAME?</v>
      </c>
      <c r="CL66" s="4" t="e">
        <f t="shared" ca="1" si="200"/>
        <v>#NAME?</v>
      </c>
      <c r="CM66" s="16"/>
      <c r="CN66" s="4" t="e">
        <f t="shared" ca="1" si="201"/>
        <v>#NAME?</v>
      </c>
      <c r="CO66" s="4" t="e">
        <f t="shared" ca="1" si="202"/>
        <v>#NAME?</v>
      </c>
      <c r="CP66" s="4" t="e">
        <f t="shared" ca="1" si="271"/>
        <v>#NAME?</v>
      </c>
      <c r="CQ66" s="4"/>
      <c r="CR66" s="4" t="e">
        <f t="shared" ca="1" si="203"/>
        <v>#NAME?</v>
      </c>
      <c r="CS66" s="4">
        <f t="shared" ca="1" si="204"/>
        <v>83240</v>
      </c>
      <c r="CT66" s="4">
        <f t="shared" ca="1" si="205"/>
        <v>0</v>
      </c>
      <c r="CU66" s="4"/>
      <c r="CV66" s="4" t="e">
        <f t="shared" ca="1" si="126"/>
        <v>#NAME?</v>
      </c>
      <c r="CW66" s="4">
        <f t="shared" ca="1" si="206"/>
        <v>0</v>
      </c>
      <c r="CX66" s="4">
        <f t="shared" si="207"/>
        <v>0</v>
      </c>
      <c r="CY66" s="4" t="e">
        <f t="shared" ca="1" si="127"/>
        <v>#NAME?</v>
      </c>
      <c r="CZ66" s="4"/>
      <c r="DA66" s="4" t="e">
        <f t="shared" ca="1" si="208"/>
        <v>#NAME?</v>
      </c>
      <c r="DB66" s="4">
        <f t="shared" si="209"/>
        <v>0</v>
      </c>
      <c r="DC66" s="4">
        <f t="shared" si="128"/>
        <v>0</v>
      </c>
      <c r="DD66" s="4">
        <f t="shared" si="210"/>
        <v>0</v>
      </c>
      <c r="DE66" s="4" t="e">
        <f t="shared" ca="1" si="211"/>
        <v>#NAME?</v>
      </c>
      <c r="DF66" s="4" t="e">
        <f t="shared" ca="1" si="129"/>
        <v>#NAME?</v>
      </c>
      <c r="DG66" s="4" t="e">
        <f t="shared" ca="1" si="130"/>
        <v>#NAME?</v>
      </c>
      <c r="DH66" s="4">
        <f t="shared" si="212"/>
        <v>0</v>
      </c>
      <c r="DI66" s="4"/>
      <c r="DJ66" s="4" t="e">
        <f t="shared" ca="1" si="213"/>
        <v>#NAME?</v>
      </c>
      <c r="DK66" s="4">
        <f t="shared" ca="1" si="214"/>
        <v>18000</v>
      </c>
      <c r="DL66" s="4">
        <f t="shared" ca="1" si="215"/>
        <v>18000</v>
      </c>
      <c r="DM66" s="4" t="e">
        <f t="shared" ca="1" si="216"/>
        <v>#NAME?</v>
      </c>
      <c r="DN66" s="4" t="e">
        <f t="shared" ca="1" si="217"/>
        <v>#NAME?</v>
      </c>
      <c r="DO66" s="4" t="e">
        <f t="shared" ca="1" si="55"/>
        <v>#NAME?</v>
      </c>
      <c r="DP66" s="4"/>
      <c r="DQ66" s="4" t="e">
        <f t="shared" ca="1" si="56"/>
        <v>#NAME?</v>
      </c>
      <c r="DR66" s="4"/>
      <c r="DS66" s="4">
        <f t="shared" si="131"/>
        <v>0</v>
      </c>
      <c r="DT66" s="4" t="e">
        <f t="shared" ca="1" si="274"/>
        <v>#NAME?</v>
      </c>
      <c r="DU66" s="4">
        <f t="shared" si="218"/>
        <v>0</v>
      </c>
      <c r="DV66" s="4"/>
      <c r="DW66" s="4" t="e">
        <f t="shared" ca="1" si="265"/>
        <v>#NAME?</v>
      </c>
      <c r="DX66" s="4" t="e">
        <f t="shared" ca="1" si="219"/>
        <v>#NAME?</v>
      </c>
      <c r="DY66" s="4" t="e">
        <f t="shared" ca="1" si="133"/>
        <v>#NAME?</v>
      </c>
      <c r="DZ66" s="4" t="e">
        <f t="shared" ca="1" si="220"/>
        <v>#NAME?</v>
      </c>
      <c r="EA66" s="4" t="e">
        <f t="shared" ca="1" si="221"/>
        <v>#NAME?</v>
      </c>
      <c r="EB66" s="4" t="e">
        <f t="shared" ca="1" si="222"/>
        <v>#NAME?</v>
      </c>
      <c r="EC66" s="4">
        <f t="shared" si="223"/>
        <v>2</v>
      </c>
      <c r="ED66" s="4"/>
      <c r="EE66" s="4" t="e">
        <f t="shared" ca="1" si="266"/>
        <v>#NAME?</v>
      </c>
      <c r="EF66" s="4">
        <f t="shared" si="224"/>
        <v>0</v>
      </c>
      <c r="EG66" s="4" t="e">
        <f t="shared" ca="1" si="135"/>
        <v>#NAME?</v>
      </c>
      <c r="EH66" s="4" t="e">
        <f t="shared" ca="1" si="225"/>
        <v>#NAME?</v>
      </c>
      <c r="EI66" s="4" t="e">
        <f t="shared" ca="1" si="226"/>
        <v>#NAME?</v>
      </c>
      <c r="EJ66" s="4" t="e">
        <f t="shared" ca="1" si="227"/>
        <v>#NAME?</v>
      </c>
      <c r="EK66" s="4">
        <f t="shared" si="228"/>
        <v>2</v>
      </c>
      <c r="EL66" s="4">
        <f t="shared" si="229"/>
        <v>0</v>
      </c>
      <c r="EM66" s="4"/>
      <c r="EN66" s="4" t="e">
        <f t="shared" ca="1" si="267"/>
        <v>#NAME?</v>
      </c>
      <c r="EO66" s="4" t="e">
        <f t="shared" ca="1" si="230"/>
        <v>#NAME?</v>
      </c>
      <c r="EP66" s="4" t="e">
        <f t="shared" ca="1" si="137"/>
        <v>#NAME?</v>
      </c>
      <c r="EQ66" s="4" t="e">
        <f t="shared" ca="1" si="231"/>
        <v>#NAME?</v>
      </c>
      <c r="ER66" s="4">
        <v>0</v>
      </c>
      <c r="ES66" s="4" t="e">
        <f t="shared" ca="1" si="138"/>
        <v>#NAME?</v>
      </c>
      <c r="ET66" s="4"/>
      <c r="EU66" s="4" t="e">
        <f t="shared" ca="1" si="268"/>
        <v>#NAME?</v>
      </c>
      <c r="EV66" s="4" t="e">
        <f t="shared" ca="1" si="232"/>
        <v>#NAME?</v>
      </c>
      <c r="EW66" s="4" t="e">
        <f t="shared" ca="1" si="140"/>
        <v>#NAME?</v>
      </c>
      <c r="EX66" s="4" t="e">
        <f t="shared" ca="1" si="233"/>
        <v>#NAME?</v>
      </c>
      <c r="EY66" s="4">
        <v>0</v>
      </c>
      <c r="EZ66" s="4" t="e">
        <f t="shared" ca="1" si="141"/>
        <v>#NAME?</v>
      </c>
      <c r="FA66" s="4" t="e">
        <f t="shared" ca="1" si="269"/>
        <v>#NAME?</v>
      </c>
      <c r="FB66" s="1" t="e">
        <f t="shared" ca="1" si="74"/>
        <v>#NAME?</v>
      </c>
      <c r="FC66" s="4" t="e">
        <f t="shared" ca="1" si="143"/>
        <v>#NAME?</v>
      </c>
      <c r="FD66" s="4" t="e">
        <f t="shared" ca="1" si="144"/>
        <v>#NAME?</v>
      </c>
      <c r="FE66" s="4" t="e">
        <f t="shared" ca="1" si="234"/>
        <v>#NAME?</v>
      </c>
      <c r="FF66" s="4" t="e">
        <f t="shared" ca="1" si="235"/>
        <v>#NAME?</v>
      </c>
      <c r="FG66" s="4" t="e">
        <f t="shared" ca="1" si="236"/>
        <v>#NAME?</v>
      </c>
      <c r="FH66" s="17" t="e">
        <f t="shared" ca="1" si="237"/>
        <v>#NAME?</v>
      </c>
      <c r="FI66" s="4" t="e">
        <f t="shared" ca="1" si="238"/>
        <v>#NAME?</v>
      </c>
      <c r="FJ66" s="4"/>
      <c r="FK66" s="4" t="e">
        <f t="shared" ca="1" si="239"/>
        <v>#NAME?</v>
      </c>
      <c r="FL66" s="4"/>
      <c r="FM66" s="4">
        <v>0</v>
      </c>
      <c r="FN66" s="4">
        <v>0</v>
      </c>
      <c r="FO66" s="4">
        <v>0</v>
      </c>
      <c r="FP66" s="4">
        <v>0</v>
      </c>
      <c r="FQ66" s="4">
        <v>0</v>
      </c>
      <c r="FR66" s="4">
        <v>0</v>
      </c>
      <c r="FS66" s="4">
        <f t="shared" si="240"/>
        <v>0</v>
      </c>
      <c r="FT66" s="4">
        <f t="shared" si="241"/>
        <v>0</v>
      </c>
      <c r="FU66" s="4"/>
      <c r="FV66" s="3">
        <f t="shared" si="242"/>
        <v>0.31087791178825147</v>
      </c>
      <c r="FW66" s="3">
        <f t="shared" si="243"/>
        <v>0.31087791178825147</v>
      </c>
      <c r="FX66" s="4">
        <f t="shared" si="145"/>
        <v>2076</v>
      </c>
      <c r="FY66" s="4">
        <f t="shared" si="244"/>
        <v>0</v>
      </c>
      <c r="FZ66" s="4">
        <f t="shared" si="245"/>
        <v>12</v>
      </c>
      <c r="GA66" s="4" t="e">
        <f t="shared" ca="1" si="246"/>
        <v>#NAME?</v>
      </c>
      <c r="GB66" s="4">
        <f t="shared" si="247"/>
        <v>6.6858288058045474</v>
      </c>
      <c r="GC66" s="4" t="e">
        <f t="shared" ca="1" si="248"/>
        <v>#NAME?</v>
      </c>
      <c r="GD66" s="4" t="e">
        <f t="shared" ca="1" si="249"/>
        <v>#NAME?</v>
      </c>
      <c r="GE66" s="4" t="e">
        <f t="shared" ca="1" si="250"/>
        <v>#NAME?</v>
      </c>
      <c r="GF66" s="4" t="e">
        <f t="shared" ca="1" si="251"/>
        <v>#NAME?</v>
      </c>
      <c r="GG66" s="18" t="e">
        <f t="shared" ca="1" si="252"/>
        <v>#NAME?</v>
      </c>
      <c r="GH66" s="18" t="e">
        <f t="shared" ca="1" si="253"/>
        <v>#NAME?</v>
      </c>
      <c r="GI66" s="4"/>
      <c r="GJ66" s="4">
        <f t="shared" si="254"/>
        <v>2076</v>
      </c>
      <c r="GK66" s="4" t="e">
        <f t="shared" ca="1" si="255"/>
        <v>#NAME?</v>
      </c>
      <c r="GL66" s="4" t="e">
        <f t="shared" ca="1" si="256"/>
        <v>#NAME?</v>
      </c>
      <c r="GM66" s="4" t="e">
        <f t="shared" ca="1" si="257"/>
        <v>#NAME?</v>
      </c>
      <c r="GN66" s="4" t="e">
        <f t="shared" ca="1" si="258"/>
        <v>#NAME?</v>
      </c>
      <c r="GO66" s="4"/>
      <c r="GP66" s="3" t="e">
        <f t="shared" ca="1" si="146"/>
        <v>#NAME?</v>
      </c>
      <c r="GQ66" s="3" t="e">
        <f t="shared" ca="1" si="259"/>
        <v>#NAME?</v>
      </c>
      <c r="GR66" s="3" t="e">
        <f t="shared" ca="1" si="260"/>
        <v>#NAME?</v>
      </c>
      <c r="GS66" s="3" t="e">
        <f t="shared" ca="1" si="261"/>
        <v>#NAME?</v>
      </c>
      <c r="GT66" s="3" t="e">
        <f t="array" aca="1" ref="GT66" ca="1">SUM(GP66:GS66*$GU$6:$GX$6)</f>
        <v>#NAME?</v>
      </c>
      <c r="GU66" s="3" t="e">
        <f t="shared" ca="1" si="147"/>
        <v>#NAME?</v>
      </c>
      <c r="GV66" s="3" t="e">
        <f t="shared" ca="1" si="148"/>
        <v>#NAME?</v>
      </c>
      <c r="GW66" s="3" t="e">
        <f t="shared" ca="1" si="149"/>
        <v>#NAME?</v>
      </c>
      <c r="GX66" s="3" t="e">
        <f t="shared" ca="1" si="150"/>
        <v>#NAME?</v>
      </c>
      <c r="GY66" s="11"/>
      <c r="HJ66">
        <f t="shared" si="153"/>
        <v>2069</v>
      </c>
      <c r="HK66" s="28">
        <f t="shared" si="163"/>
        <v>72470</v>
      </c>
      <c r="HL66" s="27">
        <f t="shared" si="155"/>
        <v>15500</v>
      </c>
      <c r="HM66" s="28">
        <f t="shared" si="156"/>
        <v>15709.841120364297</v>
      </c>
      <c r="HO66" t="s">
        <v>301</v>
      </c>
      <c r="HQ66" s="66">
        <v>0.18</v>
      </c>
    </row>
    <row r="67" spans="1:226" x14ac:dyDescent="0.25">
      <c r="A67" t="s">
        <v>29</v>
      </c>
      <c r="B67" s="62">
        <f>Inputs_Summary!AK64</f>
        <v>1</v>
      </c>
      <c r="D67">
        <f t="shared" si="106"/>
        <v>2077</v>
      </c>
      <c r="E67">
        <f t="shared" si="106"/>
        <v>82</v>
      </c>
      <c r="F67" s="8"/>
      <c r="G67" s="8"/>
      <c r="H67" s="8"/>
      <c r="I67" s="8"/>
      <c r="J67" s="92"/>
      <c r="K67" s="91"/>
      <c r="L67" s="91"/>
      <c r="N67" s="93">
        <f t="shared" si="107"/>
        <v>0.05</v>
      </c>
      <c r="O67" s="23">
        <f t="shared" si="108"/>
        <v>0</v>
      </c>
      <c r="P67" s="23">
        <f t="shared" si="109"/>
        <v>0.4</v>
      </c>
      <c r="Q67" s="4">
        <f t="shared" si="164"/>
        <v>0</v>
      </c>
      <c r="R67" s="4">
        <f t="shared" si="263"/>
        <v>0</v>
      </c>
      <c r="S67" s="4">
        <f t="shared" si="165"/>
        <v>0</v>
      </c>
      <c r="T67" s="4">
        <f t="shared" ca="1" si="166"/>
        <v>0</v>
      </c>
      <c r="V67" s="18" t="e">
        <f t="shared" ca="1" si="167"/>
        <v>#NAME?</v>
      </c>
      <c r="W67" s="18" t="e">
        <f t="shared" ca="1" si="168"/>
        <v>#NAME?</v>
      </c>
      <c r="X67" s="18" t="e">
        <f t="shared" ca="1" si="169"/>
        <v>#NAME?</v>
      </c>
      <c r="Y67" s="18" t="e">
        <f t="shared" ca="1" si="170"/>
        <v>#NAME?</v>
      </c>
      <c r="Z67" s="18" t="e">
        <f t="shared" ca="1" si="171"/>
        <v>#NAME?</v>
      </c>
      <c r="AA67" s="18" t="e">
        <f t="shared" ca="1" si="172"/>
        <v>#NAME?</v>
      </c>
      <c r="AB67" s="18" t="e">
        <f t="shared" ca="1" si="173"/>
        <v>#NAME?</v>
      </c>
      <c r="AC67" s="18" t="e">
        <f t="shared" ca="1" si="174"/>
        <v>#NAME?</v>
      </c>
      <c r="AD67" s="18" t="e">
        <f t="shared" ca="1" si="175"/>
        <v>#NAME?</v>
      </c>
      <c r="AE67" s="18" t="e">
        <f t="shared" ca="1" si="176"/>
        <v>#NAME?</v>
      </c>
      <c r="AF67" s="18" t="e">
        <f t="shared" ca="1" si="177"/>
        <v>#NAME?</v>
      </c>
      <c r="AG67" s="18" t="e">
        <f t="shared" ca="1" si="178"/>
        <v>#NAME?</v>
      </c>
      <c r="AI67">
        <f>Person1!E67</f>
        <v>82</v>
      </c>
      <c r="AJ67">
        <f>Person1!AZ67</f>
        <v>3</v>
      </c>
      <c r="AK67">
        <f>IF(AZ67&lt;&gt;3,Person1!FM67,0)</f>
        <v>0</v>
      </c>
      <c r="AL67" s="4">
        <f>IF($AZ67&lt;&gt;3,Person1!FN67+Person1!FT67,0)</f>
        <v>0</v>
      </c>
      <c r="AM67">
        <f>IF($AZ67&lt;&gt;3,Person1!FO67,0)</f>
        <v>0</v>
      </c>
      <c r="AN67">
        <f>IF($AZ67&lt;&gt;3,Person1!FP67,0)</f>
        <v>0</v>
      </c>
      <c r="AO67">
        <f>IF($AZ67&lt;&gt;3,Person1!FQ67,0)</f>
        <v>0</v>
      </c>
      <c r="AP67">
        <f>IF($AZ67&lt;&gt;3,Person1!FR67,0)</f>
        <v>0</v>
      </c>
      <c r="AQ67" s="4">
        <f t="shared" si="179"/>
        <v>131241.23153461653</v>
      </c>
      <c r="AR67" s="4">
        <f>Person1!FS67</f>
        <v>0</v>
      </c>
      <c r="AS67" s="4">
        <f>$B$41*MAX(0,CHOOSE($AZ67,0,IF(AND(Person1!AW67&gt;=Person1!$B$36,AV67&gt;=$B$93),Person1!$B$35*(1+Person1!$B$37)^(Person1!$B$36-Person1!$B$11)*(1+Person1!$B$38)^(Person1!AW67-Person1!$B$36)-CHOOSE(Person1!$B$39+1,0,BD67,BE67,BD67+BE67),0),0,0))</f>
        <v>21225.882250290313</v>
      </c>
      <c r="AT67" s="4">
        <f t="shared" si="180"/>
        <v>13124.123153461653</v>
      </c>
      <c r="AV67">
        <f t="shared" si="275"/>
        <v>2077</v>
      </c>
      <c r="AW67">
        <f t="shared" si="275"/>
        <v>82</v>
      </c>
      <c r="AX67">
        <f t="shared" si="112"/>
        <v>3.2810307883654133</v>
      </c>
      <c r="AY67">
        <f t="shared" si="113"/>
        <v>0.30478226645907003</v>
      </c>
      <c r="AZ67">
        <f t="shared" si="114"/>
        <v>2</v>
      </c>
      <c r="BB67" s="4">
        <f t="shared" si="181"/>
        <v>0</v>
      </c>
      <c r="BC67">
        <f t="shared" si="182"/>
        <v>0</v>
      </c>
      <c r="BD67" s="4">
        <f t="shared" si="183"/>
        <v>39372.369460384958</v>
      </c>
      <c r="BE67" s="4" t="e">
        <f t="shared" ca="1" si="115"/>
        <v>#NAME?</v>
      </c>
      <c r="BF67" s="4">
        <f t="shared" si="116"/>
        <v>0</v>
      </c>
      <c r="BG67" s="4">
        <f t="shared" si="117"/>
        <v>21225.882250290313</v>
      </c>
      <c r="BH67" s="4">
        <f t="shared" si="184"/>
        <v>0</v>
      </c>
      <c r="BI67" s="4" t="e">
        <f t="shared" ca="1" si="118"/>
        <v>#NAME?</v>
      </c>
      <c r="BJ67" s="4"/>
      <c r="BK67" s="4">
        <f t="shared" si="185"/>
        <v>82025.769709135333</v>
      </c>
      <c r="BL67" s="4">
        <f t="shared" si="119"/>
        <v>0</v>
      </c>
      <c r="BM67" s="4">
        <f t="shared" si="120"/>
        <v>213267.00124375185</v>
      </c>
      <c r="BN67" s="4">
        <v>87086.276468612166</v>
      </c>
      <c r="BO67" s="4">
        <f t="shared" si="121"/>
        <v>300353.27771236398</v>
      </c>
      <c r="BP67" s="4" t="e">
        <f t="shared" ca="1" si="122"/>
        <v>#NAME?</v>
      </c>
      <c r="BQ67" s="4"/>
      <c r="BR67" s="4">
        <v>0</v>
      </c>
      <c r="BS67" s="4" t="e">
        <f t="shared" ca="1" si="186"/>
        <v>#NAME?</v>
      </c>
      <c r="BT67" s="4" t="e">
        <f t="shared" ca="1" si="187"/>
        <v>#NAME?</v>
      </c>
      <c r="BU67" s="4" t="e">
        <f t="shared" ca="1" si="188"/>
        <v>#NAME?</v>
      </c>
      <c r="BV67" s="4">
        <f t="shared" si="189"/>
        <v>1</v>
      </c>
      <c r="BW67" s="4" t="e">
        <f t="shared" ca="1" si="190"/>
        <v>#NAME?</v>
      </c>
      <c r="BX67" s="4" t="e">
        <f t="shared" ca="1" si="191"/>
        <v>#NAME?</v>
      </c>
      <c r="BY67" s="4" t="e">
        <f t="shared" ca="1" si="192"/>
        <v>#NAME?</v>
      </c>
      <c r="BZ67" s="4" t="e">
        <f t="shared" ca="1" si="193"/>
        <v>#NAME?</v>
      </c>
      <c r="CA67" s="4" t="e">
        <f t="shared" ca="1" si="30"/>
        <v>#NAME?</v>
      </c>
      <c r="CB67" s="4" t="e">
        <f t="shared" ca="1" si="154"/>
        <v>#NAME?</v>
      </c>
      <c r="CC67" s="4"/>
      <c r="CD67" s="4" t="e">
        <f t="shared" ca="1" si="194"/>
        <v>#NAME?</v>
      </c>
      <c r="CE67" s="4" t="e">
        <f t="shared" ca="1" si="123"/>
        <v>#NAME?</v>
      </c>
      <c r="CF67" s="16" t="e">
        <f t="shared" ca="1" si="195"/>
        <v>#NAME?</v>
      </c>
      <c r="CG67" s="4">
        <f t="shared" si="196"/>
        <v>0</v>
      </c>
      <c r="CH67" s="4" t="e">
        <f t="shared" ca="1" si="197"/>
        <v>#NAME?</v>
      </c>
      <c r="CI67" s="4" t="e">
        <f t="shared" ca="1" si="198"/>
        <v>#NAME?</v>
      </c>
      <c r="CJ67" s="4" t="e">
        <f t="shared" ca="1" si="124"/>
        <v>#NAME?</v>
      </c>
      <c r="CK67" s="4" t="e">
        <f t="shared" ca="1" si="199"/>
        <v>#NAME?</v>
      </c>
      <c r="CL67" s="4" t="e">
        <f t="shared" ca="1" si="200"/>
        <v>#NAME?</v>
      </c>
      <c r="CM67" s="16"/>
      <c r="CN67" s="4" t="e">
        <f t="shared" ca="1" si="201"/>
        <v>#NAME?</v>
      </c>
      <c r="CO67" s="4" t="e">
        <f t="shared" ca="1" si="202"/>
        <v>#NAME?</v>
      </c>
      <c r="CP67" s="4" t="e">
        <f t="shared" ca="1" si="271"/>
        <v>#NAME?</v>
      </c>
      <c r="CQ67" s="4"/>
      <c r="CR67" s="4" t="e">
        <f t="shared" ca="1" si="203"/>
        <v>#NAME?</v>
      </c>
      <c r="CS67" s="4">
        <f t="shared" ca="1" si="204"/>
        <v>84900</v>
      </c>
      <c r="CT67" s="4">
        <f t="shared" ca="1" si="205"/>
        <v>0</v>
      </c>
      <c r="CU67" s="4"/>
      <c r="CV67" s="4" t="e">
        <f t="shared" ca="1" si="126"/>
        <v>#NAME?</v>
      </c>
      <c r="CW67" s="4">
        <f t="shared" ca="1" si="206"/>
        <v>0</v>
      </c>
      <c r="CX67" s="4">
        <f t="shared" si="207"/>
        <v>0</v>
      </c>
      <c r="CY67" s="4" t="e">
        <f t="shared" ca="1" si="127"/>
        <v>#NAME?</v>
      </c>
      <c r="CZ67" s="4"/>
      <c r="DA67" s="4" t="e">
        <f t="shared" ca="1" si="208"/>
        <v>#NAME?</v>
      </c>
      <c r="DB67" s="4">
        <f t="shared" si="209"/>
        <v>0</v>
      </c>
      <c r="DC67" s="4">
        <f t="shared" si="128"/>
        <v>0</v>
      </c>
      <c r="DD67" s="4">
        <f t="shared" si="210"/>
        <v>0</v>
      </c>
      <c r="DE67" s="4" t="e">
        <f t="shared" ca="1" si="211"/>
        <v>#NAME?</v>
      </c>
      <c r="DF67" s="4" t="e">
        <f t="shared" ca="1" si="129"/>
        <v>#NAME?</v>
      </c>
      <c r="DG67" s="4" t="e">
        <f t="shared" ca="1" si="130"/>
        <v>#NAME?</v>
      </c>
      <c r="DH67" s="4">
        <f t="shared" si="212"/>
        <v>0</v>
      </c>
      <c r="DI67" s="4"/>
      <c r="DJ67" s="4" t="e">
        <f t="shared" ca="1" si="213"/>
        <v>#NAME?</v>
      </c>
      <c r="DK67" s="4">
        <f t="shared" ca="1" si="214"/>
        <v>18500</v>
      </c>
      <c r="DL67" s="4">
        <f t="shared" ca="1" si="215"/>
        <v>18500</v>
      </c>
      <c r="DM67" s="4" t="e">
        <f t="shared" ca="1" si="216"/>
        <v>#NAME?</v>
      </c>
      <c r="DN67" s="4" t="e">
        <f t="shared" ca="1" si="217"/>
        <v>#NAME?</v>
      </c>
      <c r="DO67" s="4" t="e">
        <f t="shared" ca="1" si="55"/>
        <v>#NAME?</v>
      </c>
      <c r="DP67" s="4"/>
      <c r="DQ67" s="4" t="e">
        <f t="shared" ca="1" si="56"/>
        <v>#NAME?</v>
      </c>
      <c r="DR67" s="4"/>
      <c r="DS67" s="4">
        <f t="shared" si="131"/>
        <v>0</v>
      </c>
      <c r="DT67" s="4" t="e">
        <f t="shared" ca="1" si="274"/>
        <v>#NAME?</v>
      </c>
      <c r="DU67" s="4">
        <f t="shared" si="218"/>
        <v>0</v>
      </c>
      <c r="DV67" s="4"/>
      <c r="DW67" s="4" t="e">
        <f t="shared" ca="1" si="265"/>
        <v>#NAME?</v>
      </c>
      <c r="DX67" s="4" t="e">
        <f t="shared" ca="1" si="219"/>
        <v>#NAME?</v>
      </c>
      <c r="DY67" s="4" t="e">
        <f t="shared" ca="1" si="133"/>
        <v>#NAME?</v>
      </c>
      <c r="DZ67" s="4" t="e">
        <f t="shared" ca="1" si="220"/>
        <v>#NAME?</v>
      </c>
      <c r="EA67" s="4" t="e">
        <f t="shared" ca="1" si="221"/>
        <v>#NAME?</v>
      </c>
      <c r="EB67" s="4" t="e">
        <f t="shared" ca="1" si="222"/>
        <v>#NAME?</v>
      </c>
      <c r="EC67" s="4">
        <f t="shared" si="223"/>
        <v>2</v>
      </c>
      <c r="ED67" s="4"/>
      <c r="EE67" s="4" t="e">
        <f t="shared" ca="1" si="266"/>
        <v>#NAME?</v>
      </c>
      <c r="EF67" s="4">
        <f t="shared" si="224"/>
        <v>0</v>
      </c>
      <c r="EG67" s="4" t="e">
        <f t="shared" ca="1" si="135"/>
        <v>#NAME?</v>
      </c>
      <c r="EH67" s="4" t="e">
        <f t="shared" ca="1" si="225"/>
        <v>#NAME?</v>
      </c>
      <c r="EI67" s="4" t="e">
        <f t="shared" ca="1" si="226"/>
        <v>#NAME?</v>
      </c>
      <c r="EJ67" s="4" t="e">
        <f t="shared" ca="1" si="227"/>
        <v>#NAME?</v>
      </c>
      <c r="EK67" s="4">
        <f t="shared" si="228"/>
        <v>2</v>
      </c>
      <c r="EL67" s="4">
        <f t="shared" si="229"/>
        <v>0</v>
      </c>
      <c r="EM67" s="4"/>
      <c r="EN67" s="4" t="e">
        <f t="shared" ca="1" si="267"/>
        <v>#NAME?</v>
      </c>
      <c r="EO67" s="4" t="e">
        <f t="shared" ca="1" si="230"/>
        <v>#NAME?</v>
      </c>
      <c r="EP67" s="4" t="e">
        <f t="shared" ca="1" si="137"/>
        <v>#NAME?</v>
      </c>
      <c r="EQ67" s="4" t="e">
        <f t="shared" ca="1" si="231"/>
        <v>#NAME?</v>
      </c>
      <c r="ER67" s="4">
        <v>0</v>
      </c>
      <c r="ES67" s="4" t="e">
        <f t="shared" ca="1" si="138"/>
        <v>#NAME?</v>
      </c>
      <c r="ET67" s="4"/>
      <c r="EU67" s="4" t="e">
        <f t="shared" ca="1" si="268"/>
        <v>#NAME?</v>
      </c>
      <c r="EV67" s="4" t="e">
        <f t="shared" ca="1" si="232"/>
        <v>#NAME?</v>
      </c>
      <c r="EW67" s="4" t="e">
        <f t="shared" ca="1" si="140"/>
        <v>#NAME?</v>
      </c>
      <c r="EX67" s="4" t="e">
        <f t="shared" ca="1" si="233"/>
        <v>#NAME?</v>
      </c>
      <c r="EY67" s="4">
        <v>0</v>
      </c>
      <c r="EZ67" s="4" t="e">
        <f t="shared" ca="1" si="141"/>
        <v>#NAME?</v>
      </c>
      <c r="FA67" s="4" t="e">
        <f t="shared" ca="1" si="269"/>
        <v>#NAME?</v>
      </c>
      <c r="FB67" s="1" t="e">
        <f t="shared" ca="1" si="74"/>
        <v>#NAME?</v>
      </c>
      <c r="FC67" s="4" t="e">
        <f t="shared" ca="1" si="143"/>
        <v>#NAME?</v>
      </c>
      <c r="FD67" s="4" t="e">
        <f t="shared" ca="1" si="144"/>
        <v>#NAME?</v>
      </c>
      <c r="FE67" s="4" t="e">
        <f t="shared" ca="1" si="234"/>
        <v>#NAME?</v>
      </c>
      <c r="FF67" s="4" t="e">
        <f t="shared" ca="1" si="235"/>
        <v>#NAME?</v>
      </c>
      <c r="FG67" s="4" t="e">
        <f t="shared" ca="1" si="236"/>
        <v>#NAME?</v>
      </c>
      <c r="FH67" s="17" t="e">
        <f t="shared" ca="1" si="237"/>
        <v>#NAME?</v>
      </c>
      <c r="FI67" s="4" t="e">
        <f t="shared" ca="1" si="238"/>
        <v>#NAME?</v>
      </c>
      <c r="FJ67" s="4"/>
      <c r="FK67" s="4" t="e">
        <f t="shared" ca="1" si="239"/>
        <v>#NAME?</v>
      </c>
      <c r="FL67" s="4"/>
      <c r="FM67" s="4">
        <v>0</v>
      </c>
      <c r="FN67" s="4">
        <v>0</v>
      </c>
      <c r="FO67" s="4">
        <v>0</v>
      </c>
      <c r="FP67" s="4">
        <v>0</v>
      </c>
      <c r="FQ67" s="4">
        <v>0</v>
      </c>
      <c r="FR67" s="4">
        <v>0</v>
      </c>
      <c r="FS67" s="4">
        <f t="shared" si="240"/>
        <v>0</v>
      </c>
      <c r="FT67" s="4">
        <f t="shared" si="241"/>
        <v>0</v>
      </c>
      <c r="FU67" s="4"/>
      <c r="FV67" s="3">
        <f t="shared" si="242"/>
        <v>0.30478226645907003</v>
      </c>
      <c r="FW67" s="3">
        <f t="shared" si="243"/>
        <v>0.30478226645907003</v>
      </c>
      <c r="FX67" s="4">
        <f t="shared" si="145"/>
        <v>2077</v>
      </c>
      <c r="FY67" s="4">
        <f t="shared" si="244"/>
        <v>0</v>
      </c>
      <c r="FZ67" s="4">
        <f t="shared" si="245"/>
        <v>12</v>
      </c>
      <c r="GA67" s="4" t="e">
        <f t="shared" ca="1" si="246"/>
        <v>#NAME?</v>
      </c>
      <c r="GB67" s="4">
        <f t="shared" si="247"/>
        <v>6.4692724998368272</v>
      </c>
      <c r="GC67" s="4" t="e">
        <f t="shared" ca="1" si="248"/>
        <v>#NAME?</v>
      </c>
      <c r="GD67" s="4" t="e">
        <f t="shared" ca="1" si="249"/>
        <v>#NAME?</v>
      </c>
      <c r="GE67" s="4" t="e">
        <f t="shared" ca="1" si="250"/>
        <v>#NAME?</v>
      </c>
      <c r="GF67" s="4" t="e">
        <f t="shared" ca="1" si="251"/>
        <v>#NAME?</v>
      </c>
      <c r="GG67" s="18" t="e">
        <f t="shared" ca="1" si="252"/>
        <v>#NAME?</v>
      </c>
      <c r="GH67" s="18" t="e">
        <f t="shared" ca="1" si="253"/>
        <v>#NAME?</v>
      </c>
      <c r="GI67" s="4"/>
      <c r="GJ67" s="4">
        <f t="shared" si="254"/>
        <v>2077</v>
      </c>
      <c r="GK67" s="4" t="e">
        <f t="shared" ca="1" si="255"/>
        <v>#NAME?</v>
      </c>
      <c r="GL67" s="4" t="e">
        <f t="shared" ca="1" si="256"/>
        <v>#NAME?</v>
      </c>
      <c r="GM67" s="4" t="e">
        <f t="shared" ca="1" si="257"/>
        <v>#NAME?</v>
      </c>
      <c r="GN67" s="4" t="e">
        <f t="shared" ca="1" si="258"/>
        <v>#NAME?</v>
      </c>
      <c r="GO67" s="4"/>
      <c r="GP67" s="3" t="e">
        <f t="shared" ca="1" si="146"/>
        <v>#NAME?</v>
      </c>
      <c r="GQ67" s="3" t="e">
        <f t="shared" ca="1" si="259"/>
        <v>#NAME?</v>
      </c>
      <c r="GR67" s="3" t="e">
        <f t="shared" ca="1" si="260"/>
        <v>#NAME?</v>
      </c>
      <c r="GS67" s="3" t="e">
        <f t="shared" ca="1" si="261"/>
        <v>#NAME?</v>
      </c>
      <c r="GT67" s="3" t="e">
        <f t="array" aca="1" ref="GT67" ca="1">SUM(GP67:GS67*$GU$6:$GX$6)</f>
        <v>#NAME?</v>
      </c>
      <c r="GU67" s="3" t="e">
        <f t="shared" ca="1" si="147"/>
        <v>#NAME?</v>
      </c>
      <c r="GV67" s="3" t="e">
        <f t="shared" ca="1" si="148"/>
        <v>#NAME?</v>
      </c>
      <c r="GW67" s="3" t="e">
        <f t="shared" ca="1" si="149"/>
        <v>#NAME?</v>
      </c>
      <c r="GX67" s="3" t="e">
        <f t="shared" ca="1" si="150"/>
        <v>#NAME?</v>
      </c>
      <c r="GY67" s="11"/>
      <c r="HJ67">
        <f t="shared" si="153"/>
        <v>2070</v>
      </c>
      <c r="HK67" s="28">
        <f t="shared" si="163"/>
        <v>73910</v>
      </c>
      <c r="HL67" s="27">
        <f t="shared" si="155"/>
        <v>16000</v>
      </c>
      <c r="HM67" s="28">
        <f t="shared" si="156"/>
        <v>16024.037942771583</v>
      </c>
    </row>
    <row r="68" spans="1:226" x14ac:dyDescent="0.25">
      <c r="A68" t="s">
        <v>39</v>
      </c>
      <c r="B68" s="62">
        <f>Inputs_Summary!AK65</f>
        <v>1</v>
      </c>
      <c r="D68">
        <f t="shared" si="106"/>
        <v>2078</v>
      </c>
      <c r="E68">
        <f t="shared" si="106"/>
        <v>83</v>
      </c>
      <c r="F68" s="8"/>
      <c r="G68" s="8"/>
      <c r="H68" s="8"/>
      <c r="I68" s="8"/>
      <c r="J68" s="92"/>
      <c r="K68" s="91"/>
      <c r="L68" s="91"/>
      <c r="N68" s="93">
        <f t="shared" si="107"/>
        <v>0.05</v>
      </c>
      <c r="O68" s="23">
        <f t="shared" si="108"/>
        <v>0</v>
      </c>
      <c r="P68" s="23">
        <f t="shared" si="109"/>
        <v>0.4</v>
      </c>
      <c r="Q68" s="4">
        <f t="shared" si="164"/>
        <v>0</v>
      </c>
      <c r="R68" s="4">
        <f t="shared" si="263"/>
        <v>0</v>
      </c>
      <c r="S68" s="4">
        <f t="shared" si="165"/>
        <v>0</v>
      </c>
      <c r="T68" s="4">
        <f t="shared" ca="1" si="166"/>
        <v>0</v>
      </c>
      <c r="V68" s="18" t="e">
        <f t="shared" ca="1" si="167"/>
        <v>#NAME?</v>
      </c>
      <c r="W68" s="18" t="e">
        <f t="shared" ca="1" si="168"/>
        <v>#NAME?</v>
      </c>
      <c r="X68" s="18" t="e">
        <f t="shared" ca="1" si="169"/>
        <v>#NAME?</v>
      </c>
      <c r="Y68" s="18" t="e">
        <f t="shared" ca="1" si="170"/>
        <v>#NAME?</v>
      </c>
      <c r="Z68" s="18" t="e">
        <f t="shared" ca="1" si="171"/>
        <v>#NAME?</v>
      </c>
      <c r="AA68" s="18" t="e">
        <f t="shared" ca="1" si="172"/>
        <v>#NAME?</v>
      </c>
      <c r="AB68" s="18" t="e">
        <f t="shared" ca="1" si="173"/>
        <v>#NAME?</v>
      </c>
      <c r="AC68" s="18" t="e">
        <f t="shared" ca="1" si="174"/>
        <v>#NAME?</v>
      </c>
      <c r="AD68" s="18" t="e">
        <f t="shared" ca="1" si="175"/>
        <v>#NAME?</v>
      </c>
      <c r="AE68" s="18" t="e">
        <f t="shared" ca="1" si="176"/>
        <v>#NAME?</v>
      </c>
      <c r="AF68" s="18" t="e">
        <f t="shared" ca="1" si="177"/>
        <v>#NAME?</v>
      </c>
      <c r="AG68" s="18" t="e">
        <f t="shared" ca="1" si="178"/>
        <v>#NAME?</v>
      </c>
      <c r="AI68">
        <f>Person1!E68</f>
        <v>83</v>
      </c>
      <c r="AJ68">
        <f>Person1!AZ68</f>
        <v>3</v>
      </c>
      <c r="AK68">
        <f>IF(AZ68&lt;&gt;3,Person1!FM68,0)</f>
        <v>0</v>
      </c>
      <c r="AL68" s="4">
        <f>IF($AZ68&lt;&gt;3,Person1!FN68+Person1!FT68,0)</f>
        <v>0</v>
      </c>
      <c r="AM68">
        <f>IF($AZ68&lt;&gt;3,Person1!FO68,0)</f>
        <v>0</v>
      </c>
      <c r="AN68">
        <f>IF($AZ68&lt;&gt;3,Person1!FP68,0)</f>
        <v>0</v>
      </c>
      <c r="AO68">
        <f>IF($AZ68&lt;&gt;3,Person1!FQ68,0)</f>
        <v>0</v>
      </c>
      <c r="AP68">
        <f>IF($AZ68&lt;&gt;3,Person1!FR68,0)</f>
        <v>0</v>
      </c>
      <c r="AQ68" s="4">
        <f t="shared" si="179"/>
        <v>133866.05616530887</v>
      </c>
      <c r="AR68" s="4">
        <f>Person1!FS68</f>
        <v>0</v>
      </c>
      <c r="AS68" s="4">
        <f>$B$41*MAX(0,CHOOSE($AZ68,0,IF(AND(Person1!AW68&gt;=Person1!$B$36,AV68&gt;=$B$93),Person1!$B$35*(1+Person1!$B$37)^(Person1!$B$36-Person1!$B$11)*(1+Person1!$B$38)^(Person1!AW68-Person1!$B$36)-CHOOSE(Person1!$B$39+1,0,BD68,BE68,BD68+BE68),0),0,0))</f>
        <v>20936.319348464884</v>
      </c>
      <c r="AT68" s="4">
        <f t="shared" si="180"/>
        <v>13386.605616530886</v>
      </c>
      <c r="AV68">
        <f t="shared" si="275"/>
        <v>2078</v>
      </c>
      <c r="AW68">
        <f t="shared" si="275"/>
        <v>83</v>
      </c>
      <c r="AX68">
        <f t="shared" si="112"/>
        <v>3.3466514041327216</v>
      </c>
      <c r="AY68">
        <f t="shared" si="113"/>
        <v>0.29880614358732355</v>
      </c>
      <c r="AZ68">
        <f t="shared" si="114"/>
        <v>2</v>
      </c>
      <c r="BB68" s="4">
        <f t="shared" si="181"/>
        <v>0</v>
      </c>
      <c r="BC68">
        <f t="shared" si="182"/>
        <v>0</v>
      </c>
      <c r="BD68" s="4">
        <f t="shared" si="183"/>
        <v>40159.816849592658</v>
      </c>
      <c r="BE68" s="4" t="e">
        <f t="shared" ca="1" si="115"/>
        <v>#NAME?</v>
      </c>
      <c r="BF68" s="4">
        <f t="shared" si="116"/>
        <v>0</v>
      </c>
      <c r="BG68" s="4">
        <f t="shared" si="117"/>
        <v>20936.319348464884</v>
      </c>
      <c r="BH68" s="4">
        <f t="shared" si="184"/>
        <v>0</v>
      </c>
      <c r="BI68" s="4" t="e">
        <f t="shared" ca="1" si="118"/>
        <v>#NAME?</v>
      </c>
      <c r="BJ68" s="4"/>
      <c r="BK68" s="4">
        <f t="shared" si="185"/>
        <v>83666.285103318034</v>
      </c>
      <c r="BL68" s="4">
        <f t="shared" si="119"/>
        <v>0</v>
      </c>
      <c r="BM68" s="4">
        <f t="shared" si="120"/>
        <v>217532.34126862691</v>
      </c>
      <c r="BN68" s="4">
        <v>89279.427289563799</v>
      </c>
      <c r="BO68" s="4">
        <f t="shared" si="121"/>
        <v>306811.76855819073</v>
      </c>
      <c r="BP68" s="4" t="e">
        <f t="shared" ca="1" si="122"/>
        <v>#NAME?</v>
      </c>
      <c r="BQ68" s="4"/>
      <c r="BR68" s="4">
        <v>0</v>
      </c>
      <c r="BS68" s="4" t="e">
        <f t="shared" ca="1" si="186"/>
        <v>#NAME?</v>
      </c>
      <c r="BT68" s="4" t="e">
        <f t="shared" ca="1" si="187"/>
        <v>#NAME?</v>
      </c>
      <c r="BU68" s="4" t="e">
        <f t="shared" ca="1" si="188"/>
        <v>#NAME?</v>
      </c>
      <c r="BV68" s="4">
        <f t="shared" si="189"/>
        <v>1</v>
      </c>
      <c r="BW68" s="4" t="e">
        <f t="shared" ca="1" si="190"/>
        <v>#NAME?</v>
      </c>
      <c r="BX68" s="4" t="e">
        <f t="shared" ca="1" si="191"/>
        <v>#NAME?</v>
      </c>
      <c r="BY68" s="4" t="e">
        <f t="shared" ca="1" si="192"/>
        <v>#NAME?</v>
      </c>
      <c r="BZ68" s="4" t="e">
        <f t="shared" ca="1" si="193"/>
        <v>#NAME?</v>
      </c>
      <c r="CA68" s="4" t="e">
        <f t="shared" ca="1" si="30"/>
        <v>#NAME?</v>
      </c>
      <c r="CB68" s="4" t="e">
        <f t="shared" ca="1" si="154"/>
        <v>#NAME?</v>
      </c>
      <c r="CC68" s="4"/>
      <c r="CD68" s="4" t="e">
        <f t="shared" ca="1" si="194"/>
        <v>#NAME?</v>
      </c>
      <c r="CE68" s="4" t="e">
        <f t="shared" ca="1" si="123"/>
        <v>#NAME?</v>
      </c>
      <c r="CF68" s="16" t="e">
        <f t="shared" ca="1" si="195"/>
        <v>#NAME?</v>
      </c>
      <c r="CG68" s="4">
        <f t="shared" si="196"/>
        <v>0</v>
      </c>
      <c r="CH68" s="4" t="e">
        <f t="shared" ca="1" si="197"/>
        <v>#NAME?</v>
      </c>
      <c r="CI68" s="4" t="e">
        <f t="shared" ca="1" si="198"/>
        <v>#NAME?</v>
      </c>
      <c r="CJ68" s="4" t="e">
        <f t="shared" ca="1" si="124"/>
        <v>#NAME?</v>
      </c>
      <c r="CK68" s="4" t="e">
        <f t="shared" ca="1" si="199"/>
        <v>#NAME?</v>
      </c>
      <c r="CL68" s="4" t="e">
        <f t="shared" ca="1" si="200"/>
        <v>#NAME?</v>
      </c>
      <c r="CM68" s="16"/>
      <c r="CN68" s="4" t="e">
        <f t="shared" ca="1" si="201"/>
        <v>#NAME?</v>
      </c>
      <c r="CO68" s="4" t="e">
        <f t="shared" ca="1" si="202"/>
        <v>#NAME?</v>
      </c>
      <c r="CP68" s="4" t="e">
        <f t="shared" ca="1" si="271"/>
        <v>#NAME?</v>
      </c>
      <c r="CQ68" s="4"/>
      <c r="CR68" s="4" t="e">
        <f t="shared" ca="1" si="203"/>
        <v>#NAME?</v>
      </c>
      <c r="CS68" s="4">
        <f t="shared" ca="1" si="204"/>
        <v>86600</v>
      </c>
      <c r="CT68" s="4">
        <f t="shared" ca="1" si="205"/>
        <v>0</v>
      </c>
      <c r="CU68" s="4"/>
      <c r="CV68" s="4" t="e">
        <f t="shared" ca="1" si="126"/>
        <v>#NAME?</v>
      </c>
      <c r="CW68" s="4">
        <f t="shared" ca="1" si="206"/>
        <v>0</v>
      </c>
      <c r="CX68" s="4">
        <f t="shared" si="207"/>
        <v>0</v>
      </c>
      <c r="CY68" s="4" t="e">
        <f t="shared" ca="1" si="127"/>
        <v>#NAME?</v>
      </c>
      <c r="CZ68" s="4"/>
      <c r="DA68" s="4" t="e">
        <f t="shared" ca="1" si="208"/>
        <v>#NAME?</v>
      </c>
      <c r="DB68" s="4">
        <f t="shared" si="209"/>
        <v>0</v>
      </c>
      <c r="DC68" s="4">
        <f t="shared" si="128"/>
        <v>0</v>
      </c>
      <c r="DD68" s="4">
        <f t="shared" si="210"/>
        <v>0</v>
      </c>
      <c r="DE68" s="4" t="e">
        <f t="shared" ca="1" si="211"/>
        <v>#NAME?</v>
      </c>
      <c r="DF68" s="4" t="e">
        <f t="shared" ca="1" si="129"/>
        <v>#NAME?</v>
      </c>
      <c r="DG68" s="4" t="e">
        <f t="shared" ca="1" si="130"/>
        <v>#NAME?</v>
      </c>
      <c r="DH68" s="4">
        <f t="shared" si="212"/>
        <v>0</v>
      </c>
      <c r="DI68" s="4"/>
      <c r="DJ68" s="4" t="e">
        <f t="shared" ca="1" si="213"/>
        <v>#NAME?</v>
      </c>
      <c r="DK68" s="4">
        <f t="shared" ca="1" si="214"/>
        <v>19000</v>
      </c>
      <c r="DL68" s="4">
        <f t="shared" ca="1" si="215"/>
        <v>19000</v>
      </c>
      <c r="DM68" s="4" t="e">
        <f t="shared" ca="1" si="216"/>
        <v>#NAME?</v>
      </c>
      <c r="DN68" s="4" t="e">
        <f t="shared" ca="1" si="217"/>
        <v>#NAME?</v>
      </c>
      <c r="DO68" s="4" t="e">
        <f t="shared" ca="1" si="55"/>
        <v>#NAME?</v>
      </c>
      <c r="DP68" s="4"/>
      <c r="DQ68" s="4" t="e">
        <f t="shared" ca="1" si="56"/>
        <v>#NAME?</v>
      </c>
      <c r="DR68" s="4"/>
      <c r="DS68" s="4">
        <f t="shared" si="131"/>
        <v>0</v>
      </c>
      <c r="DT68" s="4" t="e">
        <f t="shared" ca="1" si="274"/>
        <v>#NAME?</v>
      </c>
      <c r="DU68" s="4">
        <f t="shared" si="218"/>
        <v>0</v>
      </c>
      <c r="DV68" s="4"/>
      <c r="DW68" s="4" t="e">
        <f t="shared" ca="1" si="265"/>
        <v>#NAME?</v>
      </c>
      <c r="DX68" s="4" t="e">
        <f t="shared" ca="1" si="219"/>
        <v>#NAME?</v>
      </c>
      <c r="DY68" s="4" t="e">
        <f t="shared" ca="1" si="133"/>
        <v>#NAME?</v>
      </c>
      <c r="DZ68" s="4" t="e">
        <f t="shared" ca="1" si="220"/>
        <v>#NAME?</v>
      </c>
      <c r="EA68" s="4" t="e">
        <f t="shared" ca="1" si="221"/>
        <v>#NAME?</v>
      </c>
      <c r="EB68" s="4" t="e">
        <f t="shared" ca="1" si="222"/>
        <v>#NAME?</v>
      </c>
      <c r="EC68" s="4">
        <f t="shared" si="223"/>
        <v>2</v>
      </c>
      <c r="ED68" s="4"/>
      <c r="EE68" s="4" t="e">
        <f t="shared" ca="1" si="266"/>
        <v>#NAME?</v>
      </c>
      <c r="EF68" s="4">
        <f t="shared" si="224"/>
        <v>0</v>
      </c>
      <c r="EG68" s="4" t="e">
        <f t="shared" ca="1" si="135"/>
        <v>#NAME?</v>
      </c>
      <c r="EH68" s="4" t="e">
        <f t="shared" ca="1" si="225"/>
        <v>#NAME?</v>
      </c>
      <c r="EI68" s="4" t="e">
        <f t="shared" ca="1" si="226"/>
        <v>#NAME?</v>
      </c>
      <c r="EJ68" s="4" t="e">
        <f t="shared" ca="1" si="227"/>
        <v>#NAME?</v>
      </c>
      <c r="EK68" s="4">
        <f t="shared" si="228"/>
        <v>2</v>
      </c>
      <c r="EL68" s="4">
        <f t="shared" si="229"/>
        <v>0</v>
      </c>
      <c r="EM68" s="4"/>
      <c r="EN68" s="4" t="e">
        <f t="shared" ca="1" si="267"/>
        <v>#NAME?</v>
      </c>
      <c r="EO68" s="4" t="e">
        <f t="shared" ca="1" si="230"/>
        <v>#NAME?</v>
      </c>
      <c r="EP68" s="4" t="e">
        <f t="shared" ca="1" si="137"/>
        <v>#NAME?</v>
      </c>
      <c r="EQ68" s="4" t="e">
        <f t="shared" ca="1" si="231"/>
        <v>#NAME?</v>
      </c>
      <c r="ER68" s="4">
        <v>0</v>
      </c>
      <c r="ES68" s="4" t="e">
        <f t="shared" ca="1" si="138"/>
        <v>#NAME?</v>
      </c>
      <c r="ET68" s="4"/>
      <c r="EU68" s="4" t="e">
        <f t="shared" ca="1" si="268"/>
        <v>#NAME?</v>
      </c>
      <c r="EV68" s="4" t="e">
        <f t="shared" ca="1" si="232"/>
        <v>#NAME?</v>
      </c>
      <c r="EW68" s="4" t="e">
        <f t="shared" ca="1" si="140"/>
        <v>#NAME?</v>
      </c>
      <c r="EX68" s="4" t="e">
        <f t="shared" ca="1" si="233"/>
        <v>#NAME?</v>
      </c>
      <c r="EY68" s="4">
        <v>0</v>
      </c>
      <c r="EZ68" s="4" t="e">
        <f t="shared" ca="1" si="141"/>
        <v>#NAME?</v>
      </c>
      <c r="FA68" s="4" t="e">
        <f t="shared" ca="1" si="269"/>
        <v>#NAME?</v>
      </c>
      <c r="FB68" s="1" t="e">
        <f t="shared" ca="1" si="74"/>
        <v>#NAME?</v>
      </c>
      <c r="FC68" s="4" t="e">
        <f t="shared" ca="1" si="143"/>
        <v>#NAME?</v>
      </c>
      <c r="FD68" s="4" t="e">
        <f t="shared" ca="1" si="144"/>
        <v>#NAME?</v>
      </c>
      <c r="FE68" s="4" t="e">
        <f t="shared" ca="1" si="234"/>
        <v>#NAME?</v>
      </c>
      <c r="FF68" s="4" t="e">
        <f t="shared" ca="1" si="235"/>
        <v>#NAME?</v>
      </c>
      <c r="FG68" s="4" t="e">
        <f t="shared" ca="1" si="236"/>
        <v>#NAME?</v>
      </c>
      <c r="FH68" s="17" t="e">
        <f t="shared" ca="1" si="237"/>
        <v>#NAME?</v>
      </c>
      <c r="FI68" s="4" t="e">
        <f t="shared" ca="1" si="238"/>
        <v>#NAME?</v>
      </c>
      <c r="FJ68" s="4"/>
      <c r="FK68" s="4" t="e">
        <f t="shared" ca="1" si="239"/>
        <v>#NAME?</v>
      </c>
      <c r="FL68" s="4"/>
      <c r="FM68" s="4">
        <v>0</v>
      </c>
      <c r="FN68" s="4">
        <v>0</v>
      </c>
      <c r="FO68" s="4">
        <v>0</v>
      </c>
      <c r="FP68" s="4">
        <v>0</v>
      </c>
      <c r="FQ68" s="4">
        <v>0</v>
      </c>
      <c r="FR68" s="4">
        <v>0</v>
      </c>
      <c r="FS68" s="4">
        <f t="shared" si="240"/>
        <v>0</v>
      </c>
      <c r="FT68" s="4">
        <f t="shared" si="241"/>
        <v>0</v>
      </c>
      <c r="FU68" s="4"/>
      <c r="FV68" s="3">
        <f t="shared" si="242"/>
        <v>0.29880614358732355</v>
      </c>
      <c r="FW68" s="3">
        <f t="shared" si="243"/>
        <v>0.29880614358732355</v>
      </c>
      <c r="FX68" s="4">
        <f t="shared" si="145"/>
        <v>2078</v>
      </c>
      <c r="FY68" s="4">
        <f t="shared" si="244"/>
        <v>0</v>
      </c>
      <c r="FZ68" s="4">
        <f t="shared" si="245"/>
        <v>12</v>
      </c>
      <c r="GA68" s="4" t="e">
        <f t="shared" ca="1" si="246"/>
        <v>#NAME?</v>
      </c>
      <c r="GB68" s="4">
        <f t="shared" si="247"/>
        <v>6.2559008454274583</v>
      </c>
      <c r="GC68" s="4" t="e">
        <f t="shared" ca="1" si="248"/>
        <v>#NAME?</v>
      </c>
      <c r="GD68" s="4" t="e">
        <f t="shared" ca="1" si="249"/>
        <v>#NAME?</v>
      </c>
      <c r="GE68" s="4" t="e">
        <f t="shared" ca="1" si="250"/>
        <v>#NAME?</v>
      </c>
      <c r="GF68" s="4" t="e">
        <f t="shared" ca="1" si="251"/>
        <v>#NAME?</v>
      </c>
      <c r="GG68" s="18" t="e">
        <f t="shared" ca="1" si="252"/>
        <v>#NAME?</v>
      </c>
      <c r="GH68" s="18" t="e">
        <f t="shared" ca="1" si="253"/>
        <v>#NAME?</v>
      </c>
      <c r="GI68" s="4"/>
      <c r="GJ68" s="4">
        <f t="shared" si="254"/>
        <v>2078</v>
      </c>
      <c r="GK68" s="4" t="e">
        <f t="shared" ca="1" si="255"/>
        <v>#NAME?</v>
      </c>
      <c r="GL68" s="4" t="e">
        <f t="shared" ca="1" si="256"/>
        <v>#NAME?</v>
      </c>
      <c r="GM68" s="4" t="e">
        <f t="shared" ca="1" si="257"/>
        <v>#NAME?</v>
      </c>
      <c r="GN68" s="4" t="e">
        <f t="shared" ca="1" si="258"/>
        <v>#NAME?</v>
      </c>
      <c r="GO68" s="4"/>
      <c r="GP68" s="3" t="e">
        <f t="shared" ca="1" si="146"/>
        <v>#NAME?</v>
      </c>
      <c r="GQ68" s="3" t="e">
        <f t="shared" ca="1" si="259"/>
        <v>#NAME?</v>
      </c>
      <c r="GR68" s="3" t="e">
        <f t="shared" ca="1" si="260"/>
        <v>#NAME?</v>
      </c>
      <c r="GS68" s="3" t="e">
        <f t="shared" ca="1" si="261"/>
        <v>#NAME?</v>
      </c>
      <c r="GT68" s="3" t="e">
        <f t="array" aca="1" ref="GT68" ca="1">SUM(GP68:GS68*$GU$6:$GX$6)</f>
        <v>#NAME?</v>
      </c>
      <c r="GU68" s="3" t="e">
        <f t="shared" ca="1" si="147"/>
        <v>#NAME?</v>
      </c>
      <c r="GV68" s="3" t="e">
        <f t="shared" ca="1" si="148"/>
        <v>#NAME?</v>
      </c>
      <c r="GW68" s="3" t="e">
        <f t="shared" ca="1" si="149"/>
        <v>#NAME?</v>
      </c>
      <c r="GX68" s="3" t="e">
        <f t="shared" ca="1" si="150"/>
        <v>#NAME?</v>
      </c>
      <c r="GY68" s="11"/>
      <c r="HJ68">
        <f t="shared" si="153"/>
        <v>2071</v>
      </c>
      <c r="HK68" s="28">
        <f t="shared" si="163"/>
        <v>75390</v>
      </c>
      <c r="HL68" s="27">
        <f t="shared" si="155"/>
        <v>16500</v>
      </c>
      <c r="HM68" s="28">
        <f t="shared" si="156"/>
        <v>16344.518701627016</v>
      </c>
      <c r="HO68" t="s">
        <v>639</v>
      </c>
      <c r="HQ68" s="27">
        <v>1.6299999999999999E-2</v>
      </c>
    </row>
    <row r="69" spans="1:226" x14ac:dyDescent="0.25">
      <c r="A69" s="15" t="s">
        <v>331</v>
      </c>
      <c r="D69">
        <f t="shared" si="106"/>
        <v>2079</v>
      </c>
      <c r="E69">
        <f t="shared" si="106"/>
        <v>84</v>
      </c>
      <c r="F69" s="8"/>
      <c r="G69" s="8"/>
      <c r="H69" s="8"/>
      <c r="I69" s="8"/>
      <c r="J69" s="92"/>
      <c r="K69" s="91"/>
      <c r="L69" s="91"/>
      <c r="N69" s="93">
        <f t="shared" si="107"/>
        <v>0.05</v>
      </c>
      <c r="O69" s="23">
        <f t="shared" si="108"/>
        <v>0</v>
      </c>
      <c r="P69" s="23">
        <f t="shared" si="109"/>
        <v>0.4</v>
      </c>
      <c r="Q69" s="4">
        <f t="shared" si="164"/>
        <v>0</v>
      </c>
      <c r="R69" s="4">
        <f t="shared" si="263"/>
        <v>0</v>
      </c>
      <c r="S69" s="4">
        <f t="shared" si="165"/>
        <v>0</v>
      </c>
      <c r="T69" s="4">
        <f t="shared" ca="1" si="166"/>
        <v>0</v>
      </c>
      <c r="V69" s="18" t="e">
        <f t="shared" ca="1" si="167"/>
        <v>#NAME?</v>
      </c>
      <c r="W69" s="18" t="e">
        <f t="shared" ca="1" si="168"/>
        <v>#NAME?</v>
      </c>
      <c r="X69" s="18" t="e">
        <f t="shared" ca="1" si="169"/>
        <v>#NAME?</v>
      </c>
      <c r="Y69" s="18" t="e">
        <f t="shared" ca="1" si="170"/>
        <v>#NAME?</v>
      </c>
      <c r="Z69" s="18" t="e">
        <f t="shared" ca="1" si="171"/>
        <v>#NAME?</v>
      </c>
      <c r="AA69" s="18" t="e">
        <f t="shared" ca="1" si="172"/>
        <v>#NAME?</v>
      </c>
      <c r="AB69" s="18" t="e">
        <f t="shared" ca="1" si="173"/>
        <v>#NAME?</v>
      </c>
      <c r="AC69" s="18" t="e">
        <f t="shared" ca="1" si="174"/>
        <v>#NAME?</v>
      </c>
      <c r="AD69" s="18" t="e">
        <f t="shared" ca="1" si="175"/>
        <v>#NAME?</v>
      </c>
      <c r="AE69" s="18" t="e">
        <f t="shared" ca="1" si="176"/>
        <v>#NAME?</v>
      </c>
      <c r="AF69" s="18" t="e">
        <f t="shared" ca="1" si="177"/>
        <v>#NAME?</v>
      </c>
      <c r="AG69" s="18" t="e">
        <f t="shared" ca="1" si="178"/>
        <v>#NAME?</v>
      </c>
      <c r="AI69">
        <f>Person1!E69</f>
        <v>84</v>
      </c>
      <c r="AJ69">
        <f>Person1!AZ69</f>
        <v>3</v>
      </c>
      <c r="AK69">
        <f>IF(AZ69&lt;&gt;3,Person1!FM69,0)</f>
        <v>0</v>
      </c>
      <c r="AL69" s="4">
        <f>IF($AZ69&lt;&gt;3,Person1!FN69+Person1!FT69,0)</f>
        <v>0</v>
      </c>
      <c r="AM69">
        <f>IF($AZ69&lt;&gt;3,Person1!FO69,0)</f>
        <v>0</v>
      </c>
      <c r="AN69">
        <f>IF($AZ69&lt;&gt;3,Person1!FP69,0)</f>
        <v>0</v>
      </c>
      <c r="AO69">
        <f>IF($AZ69&lt;&gt;3,Person1!FQ69,0)</f>
        <v>0</v>
      </c>
      <c r="AP69">
        <f>IF($AZ69&lt;&gt;3,Person1!FR69,0)</f>
        <v>0</v>
      </c>
      <c r="AQ69" s="4">
        <f t="shared" si="179"/>
        <v>136543.37728861504</v>
      </c>
      <c r="AR69" s="4">
        <f>Person1!FS69</f>
        <v>0</v>
      </c>
      <c r="AS69" s="4">
        <f>$B$41*MAX(0,CHOOSE($AZ69,0,IF(AND(Person1!AW69&gt;=Person1!$B$36,AV69&gt;=$B$93),Person1!$B$35*(1+Person1!$B$37)^(Person1!$B$36-Person1!$B$11)*(1+Person1!$B$38)^(Person1!AW69-Person1!$B$36)-CHOOSE(Person1!$B$39+1,0,BD69,BE69,BD69+BE69),0),0,0))</f>
        <v>20637.394785868804</v>
      </c>
      <c r="AT69" s="4">
        <f t="shared" si="180"/>
        <v>13654.337728861505</v>
      </c>
      <c r="AV69">
        <f t="shared" si="275"/>
        <v>2079</v>
      </c>
      <c r="AW69">
        <f t="shared" si="275"/>
        <v>84</v>
      </c>
      <c r="AX69">
        <f t="shared" si="112"/>
        <v>3.4135844322153761</v>
      </c>
      <c r="AY69">
        <f t="shared" si="113"/>
        <v>0.29294719959541526</v>
      </c>
      <c r="AZ69">
        <f t="shared" si="114"/>
        <v>2</v>
      </c>
      <c r="BB69" s="4">
        <f t="shared" si="181"/>
        <v>0</v>
      </c>
      <c r="BC69">
        <f t="shared" si="182"/>
        <v>0</v>
      </c>
      <c r="BD69" s="4">
        <f t="shared" si="183"/>
        <v>40963.013186584518</v>
      </c>
      <c r="BE69" s="4" t="e">
        <f t="shared" ca="1" si="115"/>
        <v>#NAME?</v>
      </c>
      <c r="BF69" s="4">
        <f t="shared" si="116"/>
        <v>0</v>
      </c>
      <c r="BG69" s="4">
        <f t="shared" si="117"/>
        <v>20637.394785868804</v>
      </c>
      <c r="BH69" s="4">
        <f t="shared" si="184"/>
        <v>0</v>
      </c>
      <c r="BI69" s="4" t="e">
        <f t="shared" ca="1" si="118"/>
        <v>#NAME?</v>
      </c>
      <c r="BJ69" s="4"/>
      <c r="BK69" s="4">
        <f t="shared" si="185"/>
        <v>85339.610805384407</v>
      </c>
      <c r="BL69" s="4">
        <f t="shared" si="119"/>
        <v>0</v>
      </c>
      <c r="BM69" s="4">
        <f t="shared" si="120"/>
        <v>221882.98809399945</v>
      </c>
      <c r="BN69" s="4">
        <v>90982.084596191882</v>
      </c>
      <c r="BO69" s="4">
        <f t="shared" si="121"/>
        <v>312865.07269019133</v>
      </c>
      <c r="BP69" s="4" t="e">
        <f t="shared" ca="1" si="122"/>
        <v>#NAME?</v>
      </c>
      <c r="BQ69" s="4"/>
      <c r="BR69" s="4">
        <v>0</v>
      </c>
      <c r="BS69" s="4" t="e">
        <f t="shared" ca="1" si="186"/>
        <v>#NAME?</v>
      </c>
      <c r="BT69" s="4" t="e">
        <f t="shared" ca="1" si="187"/>
        <v>#NAME?</v>
      </c>
      <c r="BU69" s="4" t="e">
        <f t="shared" ca="1" si="188"/>
        <v>#NAME?</v>
      </c>
      <c r="BV69" s="4">
        <f t="shared" si="189"/>
        <v>1</v>
      </c>
      <c r="BW69" s="4" t="e">
        <f t="shared" ca="1" si="190"/>
        <v>#NAME?</v>
      </c>
      <c r="BX69" s="4" t="e">
        <f t="shared" ca="1" si="191"/>
        <v>#NAME?</v>
      </c>
      <c r="BY69" s="4" t="e">
        <f t="shared" ca="1" si="192"/>
        <v>#NAME?</v>
      </c>
      <c r="BZ69" s="4" t="e">
        <f t="shared" ca="1" si="193"/>
        <v>#NAME?</v>
      </c>
      <c r="CA69" s="4" t="e">
        <f t="shared" ca="1" si="30"/>
        <v>#NAME?</v>
      </c>
      <c r="CB69" s="4" t="e">
        <f t="shared" ca="1" si="154"/>
        <v>#NAME?</v>
      </c>
      <c r="CC69" s="4"/>
      <c r="CD69" s="4" t="e">
        <f t="shared" ca="1" si="194"/>
        <v>#NAME?</v>
      </c>
      <c r="CE69" s="4" t="e">
        <f t="shared" ca="1" si="123"/>
        <v>#NAME?</v>
      </c>
      <c r="CF69" s="16" t="e">
        <f t="shared" ca="1" si="195"/>
        <v>#NAME?</v>
      </c>
      <c r="CG69" s="4">
        <f t="shared" si="196"/>
        <v>0</v>
      </c>
      <c r="CH69" s="4" t="e">
        <f t="shared" ca="1" si="197"/>
        <v>#NAME?</v>
      </c>
      <c r="CI69" s="4" t="e">
        <f t="shared" ca="1" si="198"/>
        <v>#NAME?</v>
      </c>
      <c r="CJ69" s="4" t="e">
        <f t="shared" ca="1" si="124"/>
        <v>#NAME?</v>
      </c>
      <c r="CK69" s="4" t="e">
        <f t="shared" ca="1" si="199"/>
        <v>#NAME?</v>
      </c>
      <c r="CL69" s="4" t="e">
        <f t="shared" ca="1" si="200"/>
        <v>#NAME?</v>
      </c>
      <c r="CM69" s="16"/>
      <c r="CN69" s="4" t="e">
        <f t="shared" ca="1" si="201"/>
        <v>#NAME?</v>
      </c>
      <c r="CO69" s="4" t="e">
        <f t="shared" ca="1" si="202"/>
        <v>#NAME?</v>
      </c>
      <c r="CP69" s="4" t="e">
        <f t="shared" ca="1" si="271"/>
        <v>#NAME?</v>
      </c>
      <c r="CQ69" s="4"/>
      <c r="CR69" s="4" t="e">
        <f t="shared" ca="1" si="203"/>
        <v>#NAME?</v>
      </c>
      <c r="CS69" s="4">
        <f t="shared" ca="1" si="204"/>
        <v>88330</v>
      </c>
      <c r="CT69" s="4">
        <f t="shared" ca="1" si="205"/>
        <v>0</v>
      </c>
      <c r="CU69" s="4"/>
      <c r="CV69" s="4" t="e">
        <f t="shared" ca="1" si="126"/>
        <v>#NAME?</v>
      </c>
      <c r="CW69" s="4">
        <f t="shared" ca="1" si="206"/>
        <v>0</v>
      </c>
      <c r="CX69" s="4">
        <f t="shared" si="207"/>
        <v>0</v>
      </c>
      <c r="CY69" s="4" t="e">
        <f t="shared" ca="1" si="127"/>
        <v>#NAME?</v>
      </c>
      <c r="CZ69" s="4"/>
      <c r="DA69" s="4" t="e">
        <f t="shared" ca="1" si="208"/>
        <v>#NAME?</v>
      </c>
      <c r="DB69" s="4">
        <f t="shared" si="209"/>
        <v>0</v>
      </c>
      <c r="DC69" s="4">
        <f t="shared" si="128"/>
        <v>0</v>
      </c>
      <c r="DD69" s="4">
        <f t="shared" si="210"/>
        <v>0</v>
      </c>
      <c r="DE69" s="4" t="e">
        <f t="shared" ca="1" si="211"/>
        <v>#NAME?</v>
      </c>
      <c r="DF69" s="4" t="e">
        <f t="shared" ca="1" si="129"/>
        <v>#NAME?</v>
      </c>
      <c r="DG69" s="4" t="e">
        <f t="shared" ca="1" si="130"/>
        <v>#NAME?</v>
      </c>
      <c r="DH69" s="4">
        <f t="shared" si="212"/>
        <v>0</v>
      </c>
      <c r="DI69" s="4"/>
      <c r="DJ69" s="4" t="e">
        <f t="shared" ca="1" si="213"/>
        <v>#NAME?</v>
      </c>
      <c r="DK69" s="4">
        <f t="shared" ca="1" si="214"/>
        <v>19000</v>
      </c>
      <c r="DL69" s="4">
        <f t="shared" ca="1" si="215"/>
        <v>19000</v>
      </c>
      <c r="DM69" s="4" t="e">
        <f t="shared" ca="1" si="216"/>
        <v>#NAME?</v>
      </c>
      <c r="DN69" s="4" t="e">
        <f t="shared" ca="1" si="217"/>
        <v>#NAME?</v>
      </c>
      <c r="DO69" s="4" t="e">
        <f t="shared" ca="1" si="55"/>
        <v>#NAME?</v>
      </c>
      <c r="DP69" s="4"/>
      <c r="DQ69" s="4" t="e">
        <f t="shared" ca="1" si="56"/>
        <v>#NAME?</v>
      </c>
      <c r="DR69" s="4"/>
      <c r="DS69" s="4">
        <f t="shared" si="131"/>
        <v>0</v>
      </c>
      <c r="DT69" s="4" t="e">
        <f t="shared" ca="1" si="274"/>
        <v>#NAME?</v>
      </c>
      <c r="DU69" s="4">
        <f t="shared" si="218"/>
        <v>0</v>
      </c>
      <c r="DV69" s="4"/>
      <c r="DW69" s="4" t="e">
        <f t="shared" ca="1" si="265"/>
        <v>#NAME?</v>
      </c>
      <c r="DX69" s="4" t="e">
        <f t="shared" ca="1" si="219"/>
        <v>#NAME?</v>
      </c>
      <c r="DY69" s="4" t="e">
        <f t="shared" ca="1" si="133"/>
        <v>#NAME?</v>
      </c>
      <c r="DZ69" s="4" t="e">
        <f t="shared" ca="1" si="220"/>
        <v>#NAME?</v>
      </c>
      <c r="EA69" s="4" t="e">
        <f t="shared" ca="1" si="221"/>
        <v>#NAME?</v>
      </c>
      <c r="EB69" s="4" t="e">
        <f t="shared" ca="1" si="222"/>
        <v>#NAME?</v>
      </c>
      <c r="EC69" s="4">
        <f t="shared" si="223"/>
        <v>2</v>
      </c>
      <c r="ED69" s="4"/>
      <c r="EE69" s="4" t="e">
        <f t="shared" ca="1" si="266"/>
        <v>#NAME?</v>
      </c>
      <c r="EF69" s="4">
        <f t="shared" si="224"/>
        <v>0</v>
      </c>
      <c r="EG69" s="4" t="e">
        <f t="shared" ca="1" si="135"/>
        <v>#NAME?</v>
      </c>
      <c r="EH69" s="4" t="e">
        <f t="shared" ca="1" si="225"/>
        <v>#NAME?</v>
      </c>
      <c r="EI69" s="4" t="e">
        <f t="shared" ca="1" si="226"/>
        <v>#NAME?</v>
      </c>
      <c r="EJ69" s="4" t="e">
        <f t="shared" ca="1" si="227"/>
        <v>#NAME?</v>
      </c>
      <c r="EK69" s="4">
        <f t="shared" si="228"/>
        <v>2</v>
      </c>
      <c r="EL69" s="4">
        <f t="shared" si="229"/>
        <v>0</v>
      </c>
      <c r="EM69" s="4"/>
      <c r="EN69" s="4" t="e">
        <f t="shared" ca="1" si="267"/>
        <v>#NAME?</v>
      </c>
      <c r="EO69" s="4" t="e">
        <f t="shared" ca="1" si="230"/>
        <v>#NAME?</v>
      </c>
      <c r="EP69" s="4" t="e">
        <f t="shared" ca="1" si="137"/>
        <v>#NAME?</v>
      </c>
      <c r="EQ69" s="4" t="e">
        <f t="shared" ca="1" si="231"/>
        <v>#NAME?</v>
      </c>
      <c r="ER69" s="4">
        <v>0</v>
      </c>
      <c r="ES69" s="4" t="e">
        <f t="shared" ca="1" si="138"/>
        <v>#NAME?</v>
      </c>
      <c r="ET69" s="4"/>
      <c r="EU69" s="4" t="e">
        <f t="shared" ca="1" si="268"/>
        <v>#NAME?</v>
      </c>
      <c r="EV69" s="4" t="e">
        <f t="shared" ca="1" si="232"/>
        <v>#NAME?</v>
      </c>
      <c r="EW69" s="4" t="e">
        <f t="shared" ca="1" si="140"/>
        <v>#NAME?</v>
      </c>
      <c r="EX69" s="4" t="e">
        <f t="shared" ca="1" si="233"/>
        <v>#NAME?</v>
      </c>
      <c r="EY69" s="4">
        <v>0</v>
      </c>
      <c r="EZ69" s="4" t="e">
        <f t="shared" ca="1" si="141"/>
        <v>#NAME?</v>
      </c>
      <c r="FA69" s="4" t="e">
        <f t="shared" ca="1" si="269"/>
        <v>#NAME?</v>
      </c>
      <c r="FB69" s="1" t="e">
        <f t="shared" ca="1" si="74"/>
        <v>#NAME?</v>
      </c>
      <c r="FC69" s="4" t="e">
        <f t="shared" ca="1" si="143"/>
        <v>#NAME?</v>
      </c>
      <c r="FD69" s="4" t="e">
        <f t="shared" ca="1" si="144"/>
        <v>#NAME?</v>
      </c>
      <c r="FE69" s="4" t="e">
        <f t="shared" ca="1" si="234"/>
        <v>#NAME?</v>
      </c>
      <c r="FF69" s="4" t="e">
        <f t="shared" ca="1" si="235"/>
        <v>#NAME?</v>
      </c>
      <c r="FG69" s="4" t="e">
        <f t="shared" ca="1" si="236"/>
        <v>#NAME?</v>
      </c>
      <c r="FH69" s="17" t="e">
        <f t="shared" ca="1" si="237"/>
        <v>#NAME?</v>
      </c>
      <c r="FI69" s="4" t="e">
        <f t="shared" ca="1" si="238"/>
        <v>#NAME?</v>
      </c>
      <c r="FJ69" s="4"/>
      <c r="FK69" s="4" t="e">
        <f t="shared" ca="1" si="239"/>
        <v>#NAME?</v>
      </c>
      <c r="FL69" s="4"/>
      <c r="FM69" s="4">
        <v>0</v>
      </c>
      <c r="FN69" s="4">
        <v>0</v>
      </c>
      <c r="FO69" s="4">
        <v>0</v>
      </c>
      <c r="FP69" s="4">
        <v>0</v>
      </c>
      <c r="FQ69" s="4">
        <v>0</v>
      </c>
      <c r="FR69" s="4">
        <v>0</v>
      </c>
      <c r="FS69" s="4">
        <f t="shared" si="240"/>
        <v>0</v>
      </c>
      <c r="FT69" s="4">
        <f t="shared" si="241"/>
        <v>0</v>
      </c>
      <c r="FU69" s="4"/>
      <c r="FV69" s="3">
        <f t="shared" si="242"/>
        <v>0.29294719959541526</v>
      </c>
      <c r="FW69" s="3">
        <f t="shared" si="243"/>
        <v>0.29294719959541526</v>
      </c>
      <c r="FX69" s="4">
        <f t="shared" si="145"/>
        <v>2079</v>
      </c>
      <c r="FY69" s="4">
        <f t="shared" si="244"/>
        <v>0</v>
      </c>
      <c r="FZ69" s="4">
        <f t="shared" si="245"/>
        <v>12.000000000000002</v>
      </c>
      <c r="GA69" s="4" t="e">
        <f t="shared" ca="1" si="246"/>
        <v>#NAME?</v>
      </c>
      <c r="GB69" s="4">
        <f t="shared" si="247"/>
        <v>6.0456670094652907</v>
      </c>
      <c r="GC69" s="4" t="e">
        <f t="shared" ca="1" si="248"/>
        <v>#NAME?</v>
      </c>
      <c r="GD69" s="4" t="e">
        <f t="shared" ca="1" si="249"/>
        <v>#NAME?</v>
      </c>
      <c r="GE69" s="4" t="e">
        <f t="shared" ca="1" si="250"/>
        <v>#NAME?</v>
      </c>
      <c r="GF69" s="4" t="e">
        <f t="shared" ca="1" si="251"/>
        <v>#NAME?</v>
      </c>
      <c r="GG69" s="18" t="e">
        <f t="shared" ca="1" si="252"/>
        <v>#NAME?</v>
      </c>
      <c r="GH69" s="18" t="e">
        <f t="shared" ca="1" si="253"/>
        <v>#NAME?</v>
      </c>
      <c r="GI69" s="4"/>
      <c r="GJ69" s="4">
        <f t="shared" si="254"/>
        <v>2079</v>
      </c>
      <c r="GK69" s="4" t="e">
        <f t="shared" ca="1" si="255"/>
        <v>#NAME?</v>
      </c>
      <c r="GL69" s="4" t="e">
        <f t="shared" ca="1" si="256"/>
        <v>#NAME?</v>
      </c>
      <c r="GM69" s="4" t="e">
        <f t="shared" ca="1" si="257"/>
        <v>#NAME?</v>
      </c>
      <c r="GN69" s="4" t="e">
        <f t="shared" ca="1" si="258"/>
        <v>#NAME?</v>
      </c>
      <c r="GO69" s="4"/>
      <c r="GP69" s="3" t="e">
        <f t="shared" ca="1" si="146"/>
        <v>#NAME?</v>
      </c>
      <c r="GQ69" s="3" t="e">
        <f t="shared" ca="1" si="259"/>
        <v>#NAME?</v>
      </c>
      <c r="GR69" s="3" t="e">
        <f t="shared" ca="1" si="260"/>
        <v>#NAME?</v>
      </c>
      <c r="GS69" s="3" t="e">
        <f t="shared" ca="1" si="261"/>
        <v>#NAME?</v>
      </c>
      <c r="GT69" s="3" t="e">
        <f t="array" aca="1" ref="GT69" ca="1">SUM(GP69:GS69*$GU$6:$GX$6)</f>
        <v>#NAME?</v>
      </c>
      <c r="GU69" s="3" t="e">
        <f t="shared" ca="1" si="147"/>
        <v>#NAME?</v>
      </c>
      <c r="GV69" s="3" t="e">
        <f t="shared" ca="1" si="148"/>
        <v>#NAME?</v>
      </c>
      <c r="GW69" s="3" t="e">
        <f t="shared" ca="1" si="149"/>
        <v>#NAME?</v>
      </c>
      <c r="GX69" s="3" t="e">
        <f t="shared" ca="1" si="150"/>
        <v>#NAME?</v>
      </c>
      <c r="GY69" s="11"/>
      <c r="HJ69">
        <f t="shared" si="153"/>
        <v>2072</v>
      </c>
      <c r="HK69" s="28">
        <f t="shared" si="163"/>
        <v>76900</v>
      </c>
      <c r="HL69" s="27">
        <f t="shared" si="155"/>
        <v>16500</v>
      </c>
      <c r="HM69" s="28">
        <f t="shared" si="156"/>
        <v>16671.409075659558</v>
      </c>
      <c r="HO69" t="s">
        <v>640</v>
      </c>
      <c r="HQ69" s="27">
        <v>836.19</v>
      </c>
      <c r="HR69" s="4">
        <f>HQ69*(1+$B$15)^($B$7-$HP$26)</f>
        <v>836.19</v>
      </c>
    </row>
    <row r="70" spans="1:226" x14ac:dyDescent="0.25">
      <c r="A70" s="50" t="s">
        <v>660</v>
      </c>
      <c r="B70" s="62">
        <f>Inputs_Summary!AK67</f>
        <v>0</v>
      </c>
      <c r="D70">
        <f t="shared" si="106"/>
        <v>2080</v>
      </c>
      <c r="E70">
        <f t="shared" si="106"/>
        <v>85</v>
      </c>
      <c r="F70" s="8"/>
      <c r="G70" s="8"/>
      <c r="H70" s="8"/>
      <c r="I70" s="8"/>
      <c r="J70" s="92"/>
      <c r="K70" s="91"/>
      <c r="L70" s="91"/>
      <c r="N70" s="93">
        <f t="shared" si="107"/>
        <v>0.05</v>
      </c>
      <c r="O70" s="23">
        <f t="shared" si="108"/>
        <v>0</v>
      </c>
      <c r="P70" s="23">
        <f t="shared" si="109"/>
        <v>0.4</v>
      </c>
      <c r="Q70" s="4">
        <f t="shared" si="164"/>
        <v>0</v>
      </c>
      <c r="R70" s="4">
        <f t="shared" si="263"/>
        <v>0</v>
      </c>
      <c r="S70" s="4">
        <f t="shared" si="165"/>
        <v>0</v>
      </c>
      <c r="T70" s="4">
        <f t="shared" ca="1" si="166"/>
        <v>0</v>
      </c>
      <c r="V70" s="18" t="e">
        <f t="shared" ca="1" si="167"/>
        <v>#NAME?</v>
      </c>
      <c r="W70" s="18" t="e">
        <f t="shared" ca="1" si="168"/>
        <v>#NAME?</v>
      </c>
      <c r="X70" s="18">
        <f t="shared" si="169"/>
        <v>0</v>
      </c>
      <c r="Y70" s="18" t="e">
        <f t="shared" ca="1" si="170"/>
        <v>#NAME?</v>
      </c>
      <c r="Z70" s="18" t="e">
        <f t="shared" ca="1" si="171"/>
        <v>#NAME?</v>
      </c>
      <c r="AA70" s="18" t="e">
        <f t="shared" ca="1" si="172"/>
        <v>#NAME?</v>
      </c>
      <c r="AB70" s="18" t="e">
        <f t="shared" ca="1" si="173"/>
        <v>#NAME?</v>
      </c>
      <c r="AC70" s="18" t="e">
        <f t="shared" ca="1" si="174"/>
        <v>#NAME?</v>
      </c>
      <c r="AD70" s="18" t="e">
        <f t="shared" ca="1" si="175"/>
        <v>#NAME?</v>
      </c>
      <c r="AE70" s="18" t="e">
        <f t="shared" ca="1" si="176"/>
        <v>#NAME?</v>
      </c>
      <c r="AF70" s="18" t="e">
        <f t="shared" ca="1" si="177"/>
        <v>#NAME?</v>
      </c>
      <c r="AG70" s="18" t="e">
        <f t="shared" ca="1" si="178"/>
        <v>#NAME?</v>
      </c>
      <c r="AI70">
        <f>Person1!E70</f>
        <v>85</v>
      </c>
      <c r="AJ70">
        <f>Person1!AZ70</f>
        <v>3</v>
      </c>
      <c r="AK70">
        <f>IF(AZ70&lt;&gt;3,Person1!FM70,0)</f>
        <v>0</v>
      </c>
      <c r="AL70" s="4">
        <f>IF($AZ70&lt;&gt;3,Person1!FN70+Person1!FT70,0)</f>
        <v>0</v>
      </c>
      <c r="AM70">
        <f>IF($AZ70&lt;&gt;3,Person1!FO70,0)</f>
        <v>0</v>
      </c>
      <c r="AN70">
        <f>IF($AZ70&lt;&gt;3,Person1!FP70,0)</f>
        <v>0</v>
      </c>
      <c r="AO70">
        <f>IF($AZ70&lt;&gt;3,Person1!FQ70,0)</f>
        <v>0</v>
      </c>
      <c r="AP70">
        <f>IF($AZ70&lt;&gt;3,Person1!FR70,0)</f>
        <v>0</v>
      </c>
      <c r="AQ70" s="4">
        <f t="shared" si="179"/>
        <v>0</v>
      </c>
      <c r="AR70" s="4">
        <f>Person1!FS70</f>
        <v>0</v>
      </c>
      <c r="AS70" s="4">
        <f>$B$41*MAX(0,CHOOSE($AZ70,0,IF(AND(Person1!AW70&gt;=Person1!$B$36,AV70&gt;=$B$93),Person1!$B$35*(1+Person1!$B$37)^(Person1!$B$36-Person1!$B$11)*(1+Person1!$B$38)^(Person1!AW70-Person1!$B$36)-CHOOSE(Person1!$B$39+1,0,BD70,BE70,BD70+BE70),0),0,0))</f>
        <v>0</v>
      </c>
      <c r="AT70" s="4">
        <f t="shared" si="180"/>
        <v>0</v>
      </c>
      <c r="AV70">
        <f t="shared" si="275"/>
        <v>2080</v>
      </c>
      <c r="AW70">
        <f t="shared" si="275"/>
        <v>85</v>
      </c>
      <c r="AX70">
        <f t="shared" si="112"/>
        <v>3.4818561208596837</v>
      </c>
      <c r="AY70">
        <f t="shared" si="113"/>
        <v>0.28720313685825022</v>
      </c>
      <c r="AZ70">
        <f t="shared" si="114"/>
        <v>4</v>
      </c>
      <c r="BB70" s="4">
        <f t="shared" si="181"/>
        <v>0</v>
      </c>
      <c r="BC70">
        <f t="shared" si="182"/>
        <v>0</v>
      </c>
      <c r="BD70" s="4">
        <f t="shared" si="183"/>
        <v>0</v>
      </c>
      <c r="BE70" s="4">
        <f t="shared" si="115"/>
        <v>0</v>
      </c>
      <c r="BF70" s="4">
        <f t="shared" si="116"/>
        <v>0</v>
      </c>
      <c r="BG70" s="4">
        <f t="shared" si="117"/>
        <v>0</v>
      </c>
      <c r="BH70" s="4">
        <f t="shared" si="184"/>
        <v>0</v>
      </c>
      <c r="BI70" s="4">
        <f t="shared" si="118"/>
        <v>0</v>
      </c>
      <c r="BJ70" s="4"/>
      <c r="BK70" s="4">
        <f t="shared" si="185"/>
        <v>0</v>
      </c>
      <c r="BL70" s="4">
        <f t="shared" si="119"/>
        <v>0</v>
      </c>
      <c r="BM70" s="4">
        <f t="shared" si="120"/>
        <v>0</v>
      </c>
      <c r="BN70" s="4">
        <v>1436612.4449328505</v>
      </c>
      <c r="BO70" s="4">
        <f t="shared" si="121"/>
        <v>1436612.4449328505</v>
      </c>
      <c r="BP70" s="4">
        <f t="shared" si="122"/>
        <v>0</v>
      </c>
      <c r="BQ70" s="4"/>
      <c r="BR70" s="4">
        <v>0</v>
      </c>
      <c r="BS70" s="4" t="e">
        <f t="shared" ca="1" si="186"/>
        <v>#NAME?</v>
      </c>
      <c r="BT70" s="4">
        <f t="shared" si="187"/>
        <v>0</v>
      </c>
      <c r="BU70" s="4">
        <f t="shared" si="188"/>
        <v>0</v>
      </c>
      <c r="BV70" s="4">
        <f t="shared" si="189"/>
        <v>0</v>
      </c>
      <c r="BW70" s="4" t="e">
        <f t="shared" ca="1" si="190"/>
        <v>#NAME?</v>
      </c>
      <c r="BX70" s="4" t="e">
        <f t="shared" ca="1" si="191"/>
        <v>#NAME?</v>
      </c>
      <c r="BY70" s="4" t="e">
        <f t="shared" ca="1" si="192"/>
        <v>#NAME?</v>
      </c>
      <c r="BZ70" s="4" t="e">
        <f t="shared" ca="1" si="193"/>
        <v>#NAME?</v>
      </c>
      <c r="CA70" s="4" t="e">
        <f t="shared" ca="1" si="30"/>
        <v>#NAME?</v>
      </c>
      <c r="CB70" s="4" t="e">
        <f t="shared" ca="1" si="154"/>
        <v>#NAME?</v>
      </c>
      <c r="CC70" s="4"/>
      <c r="CD70" s="4" t="e">
        <f t="shared" ca="1" si="194"/>
        <v>#NAME?</v>
      </c>
      <c r="CE70" s="4" t="e">
        <f t="shared" ca="1" si="123"/>
        <v>#NAME?</v>
      </c>
      <c r="CF70" s="16" t="e">
        <f t="shared" ca="1" si="195"/>
        <v>#NAME?</v>
      </c>
      <c r="CG70" s="4">
        <f t="shared" si="196"/>
        <v>0</v>
      </c>
      <c r="CH70" s="4" t="e">
        <f t="shared" ca="1" si="197"/>
        <v>#NAME?</v>
      </c>
      <c r="CI70" s="4" t="e">
        <f t="shared" ca="1" si="198"/>
        <v>#NAME?</v>
      </c>
      <c r="CJ70" s="4" t="e">
        <f t="shared" ca="1" si="124"/>
        <v>#NAME?</v>
      </c>
      <c r="CK70" s="4" t="e">
        <f t="shared" ca="1" si="199"/>
        <v>#NAME?</v>
      </c>
      <c r="CL70" s="4" t="e">
        <f t="shared" ca="1" si="200"/>
        <v>#NAME?</v>
      </c>
      <c r="CM70" s="16"/>
      <c r="CN70" s="4">
        <f t="shared" si="201"/>
        <v>0</v>
      </c>
      <c r="CO70" s="4">
        <f t="shared" si="202"/>
        <v>0</v>
      </c>
      <c r="CP70" s="4" t="e">
        <f t="shared" ca="1" si="271"/>
        <v>#NAME?</v>
      </c>
      <c r="CQ70" s="4"/>
      <c r="CR70" s="4" t="e">
        <f t="shared" ca="1" si="203"/>
        <v>#NAME?</v>
      </c>
      <c r="CS70" s="4">
        <f t="shared" ca="1" si="204"/>
        <v>90100</v>
      </c>
      <c r="CT70" s="4">
        <f t="shared" ca="1" si="205"/>
        <v>0</v>
      </c>
      <c r="CU70" s="4"/>
      <c r="CV70" s="4" t="e">
        <f t="shared" ca="1" si="126"/>
        <v>#NAME?</v>
      </c>
      <c r="CW70" s="4">
        <f t="shared" ca="1" si="206"/>
        <v>0</v>
      </c>
      <c r="CX70" s="4">
        <f t="shared" si="207"/>
        <v>0</v>
      </c>
      <c r="CY70" s="4" t="e">
        <f t="shared" ca="1" si="127"/>
        <v>#NAME?</v>
      </c>
      <c r="CZ70" s="4"/>
      <c r="DA70" s="4" t="e">
        <f t="shared" ca="1" si="208"/>
        <v>#NAME?</v>
      </c>
      <c r="DB70" s="4">
        <f t="shared" si="209"/>
        <v>0</v>
      </c>
      <c r="DC70" s="4">
        <f t="shared" si="128"/>
        <v>0</v>
      </c>
      <c r="DD70" s="4">
        <f t="shared" si="210"/>
        <v>0</v>
      </c>
      <c r="DE70" s="4" t="e">
        <f t="shared" ca="1" si="211"/>
        <v>#NAME?</v>
      </c>
      <c r="DF70" s="4" t="e">
        <f t="shared" ca="1" si="129"/>
        <v>#NAME?</v>
      </c>
      <c r="DG70" s="4" t="e">
        <f t="shared" ca="1" si="130"/>
        <v>#NAME?</v>
      </c>
      <c r="DH70" s="4">
        <f t="shared" si="212"/>
        <v>0</v>
      </c>
      <c r="DI70" s="4"/>
      <c r="DJ70" s="4" t="e">
        <f t="shared" ca="1" si="213"/>
        <v>#NAME?</v>
      </c>
      <c r="DK70" s="4">
        <f t="shared" ca="1" si="214"/>
        <v>19500</v>
      </c>
      <c r="DL70" s="4">
        <f t="shared" ca="1" si="215"/>
        <v>19500</v>
      </c>
      <c r="DM70" s="4">
        <f t="shared" si="216"/>
        <v>0</v>
      </c>
      <c r="DN70" s="4" t="e">
        <f t="shared" ca="1" si="217"/>
        <v>#NAME?</v>
      </c>
      <c r="DO70" s="4" t="e">
        <f t="shared" ca="1" si="55"/>
        <v>#NAME?</v>
      </c>
      <c r="DP70" s="4"/>
      <c r="DQ70" s="4" t="e">
        <f t="shared" ca="1" si="56"/>
        <v>#NAME?</v>
      </c>
      <c r="DR70" s="4"/>
      <c r="DS70" s="4">
        <f t="shared" si="131"/>
        <v>0</v>
      </c>
      <c r="DT70" s="4">
        <f t="shared" si="274"/>
        <v>0</v>
      </c>
      <c r="DU70" s="4">
        <f t="shared" si="218"/>
        <v>0</v>
      </c>
      <c r="DV70" s="4"/>
      <c r="DW70" s="4" t="e">
        <f t="shared" ca="1" si="265"/>
        <v>#NAME?</v>
      </c>
      <c r="DX70" s="4" t="e">
        <f t="shared" ca="1" si="219"/>
        <v>#NAME?</v>
      </c>
      <c r="DY70" s="4">
        <f t="shared" si="133"/>
        <v>0</v>
      </c>
      <c r="DZ70" s="4" t="e">
        <f t="shared" ca="1" si="220"/>
        <v>#NAME?</v>
      </c>
      <c r="EA70" s="4" t="e">
        <f t="shared" ca="1" si="221"/>
        <v>#NAME?</v>
      </c>
      <c r="EB70" s="4" t="e">
        <f t="shared" ca="1" si="222"/>
        <v>#NAME?</v>
      </c>
      <c r="EC70" s="4">
        <f t="shared" si="223"/>
        <v>2</v>
      </c>
      <c r="ED70" s="4"/>
      <c r="EE70" s="4" t="e">
        <f t="shared" ca="1" si="266"/>
        <v>#NAME?</v>
      </c>
      <c r="EF70" s="4">
        <f t="shared" si="224"/>
        <v>0</v>
      </c>
      <c r="EG70" s="4">
        <f t="shared" si="135"/>
        <v>0</v>
      </c>
      <c r="EH70" s="4" t="e">
        <f t="shared" ca="1" si="225"/>
        <v>#NAME?</v>
      </c>
      <c r="EI70" s="4" t="e">
        <f t="shared" ca="1" si="226"/>
        <v>#NAME?</v>
      </c>
      <c r="EJ70" s="4" t="e">
        <f t="shared" ca="1" si="227"/>
        <v>#NAME?</v>
      </c>
      <c r="EK70" s="4">
        <f t="shared" si="228"/>
        <v>2</v>
      </c>
      <c r="EL70" s="4">
        <f t="shared" si="229"/>
        <v>0</v>
      </c>
      <c r="EM70" s="4"/>
      <c r="EN70" s="4" t="e">
        <f t="shared" ca="1" si="267"/>
        <v>#NAME?</v>
      </c>
      <c r="EO70" s="4" t="e">
        <f t="shared" ca="1" si="230"/>
        <v>#NAME?</v>
      </c>
      <c r="EP70" s="4">
        <f t="shared" si="137"/>
        <v>0</v>
      </c>
      <c r="EQ70" s="4" t="e">
        <f t="shared" ca="1" si="231"/>
        <v>#NAME?</v>
      </c>
      <c r="ER70" s="4">
        <v>0</v>
      </c>
      <c r="ES70" s="4" t="e">
        <f t="shared" ca="1" si="138"/>
        <v>#NAME?</v>
      </c>
      <c r="ET70" s="4"/>
      <c r="EU70" s="4" t="e">
        <f t="shared" ca="1" si="268"/>
        <v>#NAME?</v>
      </c>
      <c r="EV70" s="4" t="e">
        <f t="shared" ca="1" si="232"/>
        <v>#NAME?</v>
      </c>
      <c r="EW70" s="4">
        <f t="shared" si="140"/>
        <v>0</v>
      </c>
      <c r="EX70" s="4" t="e">
        <f t="shared" ca="1" si="233"/>
        <v>#NAME?</v>
      </c>
      <c r="EY70" s="4">
        <v>0</v>
      </c>
      <c r="EZ70" s="4" t="e">
        <f t="shared" ca="1" si="141"/>
        <v>#NAME?</v>
      </c>
      <c r="FA70" s="4" t="e">
        <f t="shared" ca="1" si="269"/>
        <v>#NAME?</v>
      </c>
      <c r="FB70" s="1" t="e">
        <f t="shared" ca="1" si="74"/>
        <v>#NAME?</v>
      </c>
      <c r="FC70" s="4">
        <f t="shared" si="143"/>
        <v>0</v>
      </c>
      <c r="FD70" s="4">
        <f t="shared" si="144"/>
        <v>0</v>
      </c>
      <c r="FE70" s="4">
        <f t="shared" si="234"/>
        <v>0</v>
      </c>
      <c r="FF70" s="4">
        <f t="shared" si="235"/>
        <v>0</v>
      </c>
      <c r="FG70" s="4">
        <f t="shared" ca="1" si="236"/>
        <v>0</v>
      </c>
      <c r="FH70" s="17" t="e">
        <f t="shared" ca="1" si="237"/>
        <v>#NAME?</v>
      </c>
      <c r="FI70" s="4" t="e">
        <f t="shared" ca="1" si="238"/>
        <v>#NAME?</v>
      </c>
      <c r="FJ70" s="4"/>
      <c r="FK70" s="4" t="e">
        <f t="shared" ca="1" si="239"/>
        <v>#NAME?</v>
      </c>
      <c r="FL70" s="4"/>
      <c r="FM70" s="4">
        <v>0</v>
      </c>
      <c r="FN70" s="4">
        <v>0</v>
      </c>
      <c r="FO70" s="4">
        <v>0</v>
      </c>
      <c r="FP70" s="4">
        <v>0</v>
      </c>
      <c r="FQ70" s="4">
        <v>0</v>
      </c>
      <c r="FR70" s="4">
        <v>0</v>
      </c>
      <c r="FS70" s="4">
        <f t="shared" si="240"/>
        <v>0</v>
      </c>
      <c r="FT70" s="4">
        <f t="shared" si="241"/>
        <v>0</v>
      </c>
      <c r="FU70" s="4"/>
      <c r="FV70" s="3">
        <f t="shared" si="242"/>
        <v>0</v>
      </c>
      <c r="FW70" s="3">
        <f t="shared" si="243"/>
        <v>0.28720313685825022</v>
      </c>
      <c r="FX70" s="4">
        <f t="shared" si="145"/>
        <v>2080</v>
      </c>
      <c r="FY70" s="4">
        <f t="shared" si="244"/>
        <v>0</v>
      </c>
      <c r="FZ70" s="4">
        <f t="shared" si="245"/>
        <v>0</v>
      </c>
      <c r="GA70" s="4">
        <f t="shared" si="246"/>
        <v>0</v>
      </c>
      <c r="GB70" s="4">
        <f t="shared" si="247"/>
        <v>0</v>
      </c>
      <c r="GC70" s="4" t="e">
        <f t="shared" ca="1" si="248"/>
        <v>#NAME?</v>
      </c>
      <c r="GD70" s="4" t="e">
        <f t="shared" ca="1" si="249"/>
        <v>#NAME?</v>
      </c>
      <c r="GE70" s="4" t="e">
        <f t="shared" ca="1" si="250"/>
        <v>#NAME?</v>
      </c>
      <c r="GF70" s="4" t="e">
        <f t="shared" ca="1" si="251"/>
        <v>#NAME?</v>
      </c>
      <c r="GG70" s="18" t="e">
        <f t="shared" ca="1" si="252"/>
        <v>#NAME?</v>
      </c>
      <c r="GH70" s="18" t="e">
        <f t="shared" ca="1" si="253"/>
        <v>#NAME?</v>
      </c>
      <c r="GI70" s="4"/>
      <c r="GJ70" s="4">
        <f t="shared" si="254"/>
        <v>2080</v>
      </c>
      <c r="GK70" s="4" t="e">
        <f t="shared" ca="1" si="255"/>
        <v>#NAME?</v>
      </c>
      <c r="GL70" s="4" t="e">
        <f t="shared" ca="1" si="256"/>
        <v>#NAME?</v>
      </c>
      <c r="GM70" s="4" t="e">
        <f t="shared" ca="1" si="257"/>
        <v>#NAME?</v>
      </c>
      <c r="GN70" s="4" t="e">
        <f t="shared" ca="1" si="258"/>
        <v>#NAME?</v>
      </c>
      <c r="GO70" s="4"/>
      <c r="GP70" s="3" t="e">
        <f t="shared" ca="1" si="146"/>
        <v>#NAME?</v>
      </c>
      <c r="GQ70" s="3" t="e">
        <f t="shared" ca="1" si="259"/>
        <v>#NAME?</v>
      </c>
      <c r="GR70" s="3" t="e">
        <f t="shared" ca="1" si="260"/>
        <v>#NAME?</v>
      </c>
      <c r="GS70" s="3" t="e">
        <f t="shared" ca="1" si="261"/>
        <v>#NAME?</v>
      </c>
      <c r="GT70" s="3" t="e">
        <f t="array" aca="1" ref="GT70" ca="1">SUM(GP70:GS70*$GU$6:$GX$6)</f>
        <v>#NAME?</v>
      </c>
      <c r="GU70" s="3" t="e">
        <f t="shared" ca="1" si="147"/>
        <v>#NAME?</v>
      </c>
      <c r="GV70" s="3" t="e">
        <f t="shared" ca="1" si="148"/>
        <v>#NAME?</v>
      </c>
      <c r="GW70" s="3" t="e">
        <f t="shared" ca="1" si="149"/>
        <v>#NAME?</v>
      </c>
      <c r="GX70" s="3" t="e">
        <f t="shared" ca="1" si="150"/>
        <v>#NAME?</v>
      </c>
      <c r="GY70" s="11"/>
      <c r="HJ70">
        <f t="shared" si="153"/>
        <v>2073</v>
      </c>
      <c r="HK70" s="28">
        <f t="shared" si="163"/>
        <v>78440</v>
      </c>
      <c r="HL70" s="27">
        <f t="shared" si="155"/>
        <v>17000</v>
      </c>
      <c r="HM70" s="28">
        <f t="shared" si="156"/>
        <v>17004.837257172749</v>
      </c>
      <c r="HO70" t="s">
        <v>641</v>
      </c>
      <c r="HQ70" s="27">
        <v>4.9500000000000002E-2</v>
      </c>
    </row>
    <row r="71" spans="1:226" x14ac:dyDescent="0.25">
      <c r="A71" t="s">
        <v>307</v>
      </c>
      <c r="B71" s="62">
        <f>Inputs_Summary!AK68</f>
        <v>1</v>
      </c>
      <c r="D71">
        <f t="shared" si="106"/>
        <v>2081</v>
      </c>
      <c r="E71">
        <f t="shared" si="106"/>
        <v>86</v>
      </c>
      <c r="F71" s="8"/>
      <c r="G71" s="8"/>
      <c r="H71" s="8"/>
      <c r="I71" s="8"/>
      <c r="J71" s="92"/>
      <c r="K71" s="91"/>
      <c r="L71" s="91"/>
      <c r="N71" s="93">
        <f t="shared" si="107"/>
        <v>0.05</v>
      </c>
      <c r="O71" s="23">
        <f t="shared" si="108"/>
        <v>0</v>
      </c>
      <c r="P71" s="23">
        <f t="shared" si="109"/>
        <v>0.4</v>
      </c>
      <c r="Q71" s="4">
        <f t="shared" ref="Q71:Q86" si="276">G71*$AX71*$HW$12</f>
        <v>0</v>
      </c>
      <c r="R71" s="4">
        <f t="shared" si="263"/>
        <v>0</v>
      </c>
      <c r="S71" s="4">
        <f t="shared" ref="S71:S86" si="277">R71*$HW$13</f>
        <v>0</v>
      </c>
      <c r="T71" s="4">
        <f t="shared" ref="T71:T86" ca="1" si="278">R71*$HW$24</f>
        <v>0</v>
      </c>
      <c r="V71" s="18" t="e">
        <f t="shared" ref="V71:V86" ca="1" si="279">CJ71*$FV71/1000</f>
        <v>#NAME?</v>
      </c>
      <c r="W71" s="18" t="e">
        <f t="shared" ref="W71:W86" ca="1" si="280">(CH71+CI71)*$FV71/1000</f>
        <v>#NAME?</v>
      </c>
      <c r="X71" s="18">
        <f t="shared" ref="X71:X86" si="281">CN71*$FV71/1000</f>
        <v>0</v>
      </c>
      <c r="Y71" s="18" t="e">
        <f t="shared" ref="Y71:Y86" ca="1" si="282">(DE71-BW71)*$FV71/1000</f>
        <v>#NAME?</v>
      </c>
      <c r="Z71" s="18" t="e">
        <f t="shared" ref="Z71:Z86" ca="1" si="283">(CX71-BX71)*$FV71/1000</f>
        <v>#NAME?</v>
      </c>
      <c r="AA71" s="18" t="e">
        <f t="shared" ref="AA71:AA86" ca="1" si="284">(DN71-BZ71)*$FV71/1000</f>
        <v>#NAME?</v>
      </c>
      <c r="AB71" s="18" t="e">
        <f t="shared" ref="AB71:AB86" ca="1" si="285">(DQ71-BY71)*$FV71/1000</f>
        <v>#NAME?</v>
      </c>
      <c r="AC71" s="18" t="e">
        <f t="shared" ref="AC71:AC86" ca="1" si="286">DW71*$FW71/1000</f>
        <v>#NAME?</v>
      </c>
      <c r="AD71" s="18" t="e">
        <f t="shared" ref="AD71:AD86" ca="1" si="287">EE71*$FW71/1000</f>
        <v>#NAME?</v>
      </c>
      <c r="AE71" s="18" t="e">
        <f t="shared" ref="AE71:AE86" ca="1" si="288">EN71*$FW71/1000</f>
        <v>#NAME?</v>
      </c>
      <c r="AF71" s="18" t="e">
        <f t="shared" ref="AF71:AF86" ca="1" si="289">EU71*$FW71/1000</f>
        <v>#NAME?</v>
      </c>
      <c r="AG71" s="18" t="e">
        <f t="shared" ref="AG71:AG86" ca="1" si="290">CP71*$FW71/1000</f>
        <v>#NAME?</v>
      </c>
      <c r="AI71">
        <f>Person1!E71</f>
        <v>86</v>
      </c>
      <c r="AJ71">
        <f>Person1!AZ71</f>
        <v>3</v>
      </c>
      <c r="AK71">
        <f>IF(AZ71&lt;&gt;3,Person1!FM71,0)</f>
        <v>0</v>
      </c>
      <c r="AL71" s="4">
        <f>IF($AZ71&lt;&gt;3,Person1!FN71+Person1!FT71,0)</f>
        <v>0</v>
      </c>
      <c r="AM71">
        <f>IF($AZ71&lt;&gt;3,Person1!FO71,0)</f>
        <v>0</v>
      </c>
      <c r="AN71">
        <f>IF($AZ71&lt;&gt;3,Person1!FP71,0)</f>
        <v>0</v>
      </c>
      <c r="AO71">
        <f>IF($AZ71&lt;&gt;3,Person1!FQ71,0)</f>
        <v>0</v>
      </c>
      <c r="AP71">
        <f>IF($AZ71&lt;&gt;3,Person1!FR71,0)</f>
        <v>0</v>
      </c>
      <c r="AQ71" s="4">
        <f t="shared" ref="AQ71:AQ86" si="291">CHOOSE(AZ71,0,IF(AV71&gt;=$B$93,$B$32*$AX71*(1+$B$31)^(AW71-$B$12),0),0,0)</f>
        <v>0</v>
      </c>
      <c r="AR71" s="4">
        <f>Person1!FS71</f>
        <v>0</v>
      </c>
      <c r="AS71" s="4">
        <f>$B$41*MAX(0,CHOOSE($AZ71,0,IF(AND(Person1!AW71&gt;=Person1!$B$36,AV71&gt;=$B$93),Person1!$B$35*(1+Person1!$B$37)^(Person1!$B$36-Person1!$B$11)*(1+Person1!$B$38)^(Person1!AW71-Person1!$B$36)-CHOOSE(Person1!$B$39+1,0,BD71,BE71,BD71+BE71),0),0,0))</f>
        <v>0</v>
      </c>
      <c r="AT71" s="4">
        <f t="shared" ref="AT71:AT86" si="292">CHOOSE($AZ71,0,IF(AND(AW71&gt;=$B$42,AV71&gt;=$B$93),$B$44*AX71,0),0,0)</f>
        <v>0</v>
      </c>
      <c r="AV71">
        <f t="shared" si="275"/>
        <v>2081</v>
      </c>
      <c r="AW71">
        <f t="shared" si="275"/>
        <v>86</v>
      </c>
      <c r="AX71">
        <f t="shared" si="112"/>
        <v>3.5514932432768775</v>
      </c>
      <c r="AY71">
        <f t="shared" si="113"/>
        <v>0.28157170280220611</v>
      </c>
      <c r="AZ71">
        <f t="shared" si="114"/>
        <v>3</v>
      </c>
      <c r="BB71" s="4">
        <f t="shared" ref="BB71:BB86" si="293">CHOOSE($AZ71,$B$21*(1+$B$16)^(D71-$B$7),0,0,0)</f>
        <v>0</v>
      </c>
      <c r="BC71">
        <f t="shared" ref="BC71:BC86" si="294">(F71+G71)*AX71</f>
        <v>0</v>
      </c>
      <c r="BD71" s="4">
        <f t="shared" ref="BD71:BD86" si="295">CHOOSE($AZ71,0,IF(AW71&gt;=$B$42,$B$80*AX71,0),0,0)+AT71</f>
        <v>0</v>
      </c>
      <c r="BE71" s="4">
        <f t="shared" si="115"/>
        <v>0</v>
      </c>
      <c r="BF71" s="4">
        <f t="shared" si="116"/>
        <v>0</v>
      </c>
      <c r="BG71" s="4">
        <f t="shared" si="117"/>
        <v>0</v>
      </c>
      <c r="BH71" s="4">
        <f t="shared" ref="BH71:BH86" si="296">H71*AX71+AK71</f>
        <v>0</v>
      </c>
      <c r="BI71" s="4">
        <f t="shared" si="118"/>
        <v>0</v>
      </c>
      <c r="BJ71" s="4"/>
      <c r="BK71" s="4">
        <f t="shared" ref="BK71:BK86" si="297">CHOOSE(AZ71,$B$28*$AX71*(1+$B$29)^(AW71-$B$11),$B$30*$AX71*(1+$B$31)^(AW71-$B$12),0,0)</f>
        <v>0</v>
      </c>
      <c r="BL71" s="4">
        <f t="shared" si="119"/>
        <v>0</v>
      </c>
      <c r="BM71" s="4">
        <f t="shared" si="120"/>
        <v>0</v>
      </c>
      <c r="BN71" s="4">
        <v>0</v>
      </c>
      <c r="BO71" s="4">
        <f t="shared" si="121"/>
        <v>0</v>
      </c>
      <c r="BP71" s="4">
        <f t="shared" si="122"/>
        <v>0</v>
      </c>
      <c r="BQ71" s="4"/>
      <c r="BR71" s="4">
        <v>0</v>
      </c>
      <c r="BS71" s="4" t="e">
        <f t="shared" ref="BS71:BS86" ca="1" si="298">IF(AND($B$56=1,$B$62=1),CT71-DB71+DF70,0)</f>
        <v>#NAME?</v>
      </c>
      <c r="BT71" s="4">
        <f t="shared" ref="BT71:BT86" si="299">IF(AND($B$57=1,$B$60=1),DM71,0)</f>
        <v>0</v>
      </c>
      <c r="BU71" s="4">
        <f t="shared" ref="BU71:BU86" si="300">MAX(0,-BP71)</f>
        <v>0</v>
      </c>
      <c r="BV71" s="4">
        <f t="shared" ref="BV71:BV86" si="301">CHOOSE(AZ71,1,1,0,0)</f>
        <v>0</v>
      </c>
      <c r="BW71" s="4" t="e">
        <f t="shared" ref="BW71:BW86" ca="1" si="302">IF(AND(AZ71=4,$B$79=2),DW71,MAX(EA71,MIN(EB71,$BU71*GU71+BR71+IF(AND($B$61=1,AZ71=2),(BT71-MAX(0,BP71)))))*$BV71)</f>
        <v>#NAME?</v>
      </c>
      <c r="BX71" s="4" t="e">
        <f t="shared" ref="BX71:BX86" ca="1" si="303">IF(AND(AZ71=4,$B$79=2),EE71,MAX(EI71,MIN(EJ71,$BU71*GV71))*$BV71)</f>
        <v>#NAME?</v>
      </c>
      <c r="BY71" s="4" t="e">
        <f t="shared" ref="BY71:BY86" ca="1" si="304">IF(AND(AZ71=4,$B$79=2),EU71,MAX(EY71,MIN(EZ71,$BU71-SUM(BW71,BX71)+(BS71+BT71-MAX(0,BP71))-MAX(0,BW71+BX71-BU71)))*$BV71)</f>
        <v>#NAME?</v>
      </c>
      <c r="BZ71" s="4" t="e">
        <f t="shared" ref="BZ71:BZ86" ca="1" si="305">IF(AND(AZ71=4,$B$79=2),EN71,MAX(ER71,MIN(ES71,$BU71-SUM(BW71,BX71,BY71)))*$BV71)</f>
        <v>#NAME?</v>
      </c>
      <c r="CA71" s="4" t="e">
        <f t="shared" ref="CA71:CA86" ca="1" si="306">SUM(BW71,BX71,BY71,BZ71)</f>
        <v>#NAME?</v>
      </c>
      <c r="CB71" s="4" t="e">
        <f t="shared" ca="1" si="154"/>
        <v>#NAME?</v>
      </c>
      <c r="CC71" s="4"/>
      <c r="CD71" s="4" t="e">
        <f t="shared" ref="CD71:CD86" ca="1" si="307">BI71+CA71</f>
        <v>#NAME?</v>
      </c>
      <c r="CE71" s="4">
        <f t="shared" si="123"/>
        <v>0</v>
      </c>
      <c r="CF71" s="16">
        <f t="shared" ref="CF71:CF86" si="308">IF($E71&gt;=$HQ$49,MAX(0,MIN(1,1-(CE71-AX71*$HR$50)*$HQ$51/$HW$9)),0)</f>
        <v>1</v>
      </c>
      <c r="CG71" s="4">
        <f t="shared" ref="CG71:CG86" si="309">IF(E71&gt;$HQ$73,0,MAX(0,MIN($HR$72*AX71,(BB71-$HR$71)*$HQ$70)))+MAX(0,MIN($HQ$69*AX71,BB71*$HQ$68))</f>
        <v>0</v>
      </c>
      <c r="CH71" s="4" t="e">
        <f t="shared" ref="CH71:CH86" ca="1" si="310">MAX(0,interpolate($CE71/$AX71,$HP$7:$HP$13,$HR$7:$HR$13,7)*$AX71-($B$25+$HW$8+CF71*$HW$9)*$AX71*$HV$7-FF71-S71)</f>
        <v>#NAME?</v>
      </c>
      <c r="CI71" s="4" t="e">
        <f t="shared" ref="CI71:CI86" ca="1" si="311">MAX(0,interpolate($CE71/$AX71,$HP$18:$HP$24,$HR$18:$HR$24,7)*$AX71-($B$26+$HW$19+CF71*$HW$20)*$AX71*$HV$18-FG71-T71)</f>
        <v>#NAME?</v>
      </c>
      <c r="CJ71" s="4" t="e">
        <f t="shared" ca="1" si="124"/>
        <v>#NAME?</v>
      </c>
      <c r="CK71" s="4" t="e">
        <f t="shared" ref="CK71:CK86" ca="1" si="312">CJ71/AX71</f>
        <v>#NAME?</v>
      </c>
      <c r="CL71" s="4" t="e">
        <f t="shared" ref="CL71:CL86" ca="1" si="313">IF(OR(CD71=0,ISERROR(BN71),(CD71-CR71)=0),0.15*CD71,MAX(0,$B$71*(CG71+CH71+CI71)+(1-$B$71)*(BN71)))</f>
        <v>#NAME?</v>
      </c>
      <c r="CM71" s="16"/>
      <c r="CN71" s="4">
        <f t="shared" ref="CN71:CN86" si="314">CHOOSE($AZ71,0,BM71-CJ71,0,0)</f>
        <v>0</v>
      </c>
      <c r="CO71" s="4">
        <f t="shared" ref="CO71:CO86" si="315">CHOOSE(AZ71,0,IF(CN71&gt;100,1,0),0,0)</f>
        <v>0</v>
      </c>
      <c r="CP71" s="4" t="e">
        <f t="shared" ca="1" si="271"/>
        <v>#NAME?</v>
      </c>
      <c r="CQ71" s="4"/>
      <c r="CR71" s="4" t="e">
        <f t="shared" ref="CR71:CR86" ca="1" si="316">MAX(0,BP71)+CB71</f>
        <v>#NAME?</v>
      </c>
      <c r="CS71" s="4">
        <f t="shared" ref="CS71:CS86" ca="1" si="317">OFFSET($HK$7,$D71-$HJ$7,0)</f>
        <v>91900</v>
      </c>
      <c r="CT71" s="4">
        <f t="shared" ref="CT71:CT86" ca="1" si="318">MAX(0,MIN($HQ$66*BB71,CS71))</f>
        <v>0</v>
      </c>
      <c r="CU71" s="4"/>
      <c r="CV71" s="4" t="e">
        <f t="shared" ca="1" si="126"/>
        <v>#NAME?</v>
      </c>
      <c r="CW71" s="4">
        <f t="shared" ref="CW71:CW86" ca="1" si="319">MIN(CT71,$B$22*BB71)</f>
        <v>0</v>
      </c>
      <c r="CX71" s="4">
        <f t="shared" ref="CX71:CX86" si="320">IF(E71&gt;=72,0,MIN(CV71,CW71))</f>
        <v>0</v>
      </c>
      <c r="CY71" s="4" t="e">
        <f t="shared" ca="1" si="127"/>
        <v>#NAME?</v>
      </c>
      <c r="CZ71" s="4"/>
      <c r="DA71" s="4" t="e">
        <f t="shared" ref="DA71:DA86" ca="1" si="321">CHOOSE($B$58+1,CY71-DN71,CY71)</f>
        <v>#NAME?</v>
      </c>
      <c r="DB71" s="4">
        <f t="shared" ref="DB71:DB86" si="322">CHOOSE(AZ71,$B$23*(1+$B$16)^(D71-$B$7),0,0,0)</f>
        <v>0</v>
      </c>
      <c r="DC71" s="4">
        <f t="shared" si="128"/>
        <v>0</v>
      </c>
      <c r="DD71" s="4">
        <f t="shared" ref="DD71:DD86" si="323">IF(E71&gt;=72,0,MAX(0,CT71-DB71-DC71+DF70))</f>
        <v>0</v>
      </c>
      <c r="DE71" s="4" t="e">
        <f t="shared" ref="DE71:DE86" ca="1" si="324">MIN(DA71,DD71*$B$56)</f>
        <v>#NAME?</v>
      </c>
      <c r="DF71" s="4" t="e">
        <f t="shared" ca="1" si="129"/>
        <v>#NAME?</v>
      </c>
      <c r="DG71" s="4" t="e">
        <f t="shared" ca="1" si="130"/>
        <v>#NAME?</v>
      </c>
      <c r="DH71" s="4">
        <f t="shared" ref="DH71:DH86" si="325">IF(AND(AI71&lt;=70,AJ71&lt;=2),DE71*$B$24,0)</f>
        <v>0</v>
      </c>
      <c r="DI71" s="4"/>
      <c r="DJ71" s="4" t="e">
        <f t="shared" ref="DJ71:DJ86" ca="1" si="326">CHOOSE($B$58+1,CY71,CY71-DE71)</f>
        <v>#NAME?</v>
      </c>
      <c r="DK71" s="4">
        <f t="shared" ref="DK71:DK86" ca="1" si="327">OFFSET($HL$7,$D71-$HJ$7,0)</f>
        <v>20000</v>
      </c>
      <c r="DL71" s="4">
        <f t="shared" ref="DL71:DL86" ca="1" si="328">IF(E71&lt;18,0,DK71)</f>
        <v>20000</v>
      </c>
      <c r="DM71" s="4">
        <f t="shared" ref="DM71:DM86" si="329">CHOOSE(AZ71,DL71+DO70+EQ70,DL71+DO70+EQ70,0,0)</f>
        <v>0</v>
      </c>
      <c r="DN71" s="4" t="e">
        <f t="shared" ref="DN71:DN86" ca="1" si="330">MIN(DJ71,DM71*CHOOSE(AZ71,$B$57,$B$57,0,0))</f>
        <v>#NAME?</v>
      </c>
      <c r="DO71" s="4" t="e">
        <f t="shared" ref="DO71:DO86" ca="1" si="331">DM71-DN71</f>
        <v>#NAME?</v>
      </c>
      <c r="DP71" s="4"/>
      <c r="DQ71" s="4" t="e">
        <f t="shared" ref="DQ71:DQ86" ca="1" si="332">MAX(0,CY71-DE71-DN71)</f>
        <v>#NAME?</v>
      </c>
      <c r="DR71" s="4"/>
      <c r="DS71" s="4">
        <f t="shared" si="131"/>
        <v>0</v>
      </c>
      <c r="DT71" s="4">
        <f t="shared" si="274"/>
        <v>0</v>
      </c>
      <c r="DU71" s="4">
        <f t="shared" ref="DU71:DU86" si="333">IF($B$74=1,IF(ISERROR(DT71),0,DT71),0)</f>
        <v>0</v>
      </c>
      <c r="DV71" s="4"/>
      <c r="DW71" s="4" t="e">
        <f t="shared" ca="1" si="265"/>
        <v>#NAME?</v>
      </c>
      <c r="DX71" s="4" t="e">
        <f t="shared" ref="DX71:DX86" ca="1" si="334">DG71+AL71</f>
        <v>#NAME?</v>
      </c>
      <c r="DY71" s="4">
        <f t="shared" si="133"/>
        <v>0</v>
      </c>
      <c r="DZ71" s="4" t="e">
        <f t="shared" ref="DZ71:DZ86" ca="1" si="335">BW71</f>
        <v>#NAME?</v>
      </c>
      <c r="EA71" s="4" t="e">
        <f t="shared" ref="EA71:EA86" ca="1" si="336">CHOOSE($EC71,0,interpolate($AW71,$HG$7:$HG$60,$HH$7:$HH$60,54))*$DW71</f>
        <v>#NAME?</v>
      </c>
      <c r="EB71" s="4" t="e">
        <f t="shared" ref="EB71:EB86" ca="1" si="337">IF(AND($B$63=1,E71&lt;$B$49),0,MAX(0,DW71+DY71))</f>
        <v>#NAME?</v>
      </c>
      <c r="EC71" s="4">
        <f t="shared" ref="EC71:EC86" si="338">IF($AW71&lt;$B$49,1,2)</f>
        <v>2</v>
      </c>
      <c r="ED71" s="4"/>
      <c r="EE71" s="4" t="e">
        <f t="shared" ca="1" si="266"/>
        <v>#NAME?</v>
      </c>
      <c r="EF71" s="4">
        <f t="shared" ref="EF71:EF86" si="339">CX71+AM71</f>
        <v>0</v>
      </c>
      <c r="EG71" s="4">
        <f t="shared" si="135"/>
        <v>0</v>
      </c>
      <c r="EH71" s="4" t="e">
        <f t="shared" ref="EH71:EH86" ca="1" si="340">BX71</f>
        <v>#NAME?</v>
      </c>
      <c r="EI71" s="4" t="e">
        <f t="shared" ref="EI71:EI86" ca="1" si="341">CHOOSE($EK71,0,interpolate($AW71,$GZ$7:$GZ$58,$HA$7:$HA$58,52))*$EE71</f>
        <v>#NAME?</v>
      </c>
      <c r="EJ71" s="4" t="e">
        <f t="shared" ref="EJ71:EJ86" ca="1" si="342">CHOOSE($EK71,0,interpolate($AW71,$GZ$7:$GZ$58,$HB$7:$HB$58,52))*$EE71</f>
        <v>#NAME?</v>
      </c>
      <c r="EK71" s="4">
        <f t="shared" ref="EK71:EK86" si="343">IF($AW71&lt;$B$48,1,2)</f>
        <v>2</v>
      </c>
      <c r="EL71" s="4">
        <f t="shared" ref="EL71:EL86" si="344">IF(AND($B$59=1,AW71=MAX($B$12,$B$48,IF($B$8="Alberta",50,55))),0.5*EE71,0)</f>
        <v>0</v>
      </c>
      <c r="EM71" s="4"/>
      <c r="EN71" s="4" t="e">
        <f t="shared" ca="1" si="267"/>
        <v>#NAME?</v>
      </c>
      <c r="EO71" s="4" t="e">
        <f t="shared" ref="EO71:EO86" ca="1" si="345">DN71+AN71</f>
        <v>#NAME?</v>
      </c>
      <c r="EP71" s="4">
        <f t="shared" si="137"/>
        <v>0</v>
      </c>
      <c r="EQ71" s="4" t="e">
        <f t="shared" ref="EQ71:EQ86" ca="1" si="346">BZ71</f>
        <v>#NAME?</v>
      </c>
      <c r="ER71" s="4">
        <v>0</v>
      </c>
      <c r="ES71" s="4" t="e">
        <f t="shared" ca="1" si="138"/>
        <v>#NAME?</v>
      </c>
      <c r="ET71" s="4"/>
      <c r="EU71" s="4" t="e">
        <f t="shared" ca="1" si="268"/>
        <v>#NAME?</v>
      </c>
      <c r="EV71" s="4" t="e">
        <f t="shared" ref="EV71:EV86" ca="1" si="347">DQ71+AO71</f>
        <v>#NAME?</v>
      </c>
      <c r="EW71" s="4">
        <f t="shared" si="140"/>
        <v>0</v>
      </c>
      <c r="EX71" s="4" t="e">
        <f t="shared" ref="EX71:EX86" ca="1" si="348">BY71</f>
        <v>#NAME?</v>
      </c>
      <c r="EY71" s="4">
        <v>0</v>
      </c>
      <c r="EZ71" s="4" t="e">
        <f t="shared" ca="1" si="141"/>
        <v>#NAME?</v>
      </c>
      <c r="FA71" s="4" t="e">
        <f t="shared" ca="1" si="269"/>
        <v>#NAME?</v>
      </c>
      <c r="FB71" s="1" t="e">
        <f t="shared" ref="FB71:FB86" ca="1" si="349">IF(EU71=0,0,FA71/EU71)</f>
        <v>#NAME?</v>
      </c>
      <c r="FC71" s="4">
        <f t="shared" si="143"/>
        <v>0</v>
      </c>
      <c r="FD71" s="4">
        <f t="shared" si="144"/>
        <v>0</v>
      </c>
      <c r="FE71" s="4">
        <f t="shared" ref="FE71:FE86" si="350">EW71*$P71*(1+$HQ$59)</f>
        <v>0</v>
      </c>
      <c r="FF71" s="4">
        <f t="shared" ref="FF71:FF86" si="351">FE71*$HV$13</f>
        <v>0</v>
      </c>
      <c r="FG71" s="4">
        <f t="shared" ref="FG71:FG86" ca="1" si="352">FE71*$HV$24</f>
        <v>0</v>
      </c>
      <c r="FH71" s="17" t="e">
        <f t="shared" ref="FH71:FH86" ca="1" si="353">MAX(0,EX71*FB71)</f>
        <v>#NAME?</v>
      </c>
      <c r="FI71" s="4" t="e">
        <f t="shared" ref="FI71:FI86" ca="1" si="354">FH71*$HQ$61</f>
        <v>#NAME?</v>
      </c>
      <c r="FJ71" s="4"/>
      <c r="FK71" s="4" t="e">
        <f t="shared" ref="FK71:FK86" ca="1" si="355">EB71+(EE71+EG71)*(EK71-1)+ES71+EZ71</f>
        <v>#NAME?</v>
      </c>
      <c r="FL71" s="4"/>
      <c r="FM71" s="4">
        <v>0</v>
      </c>
      <c r="FN71" s="4">
        <v>0</v>
      </c>
      <c r="FO71" s="4">
        <v>0</v>
      </c>
      <c r="FP71" s="4">
        <v>0</v>
      </c>
      <c r="FQ71" s="4">
        <v>0</v>
      </c>
      <c r="FR71" s="4">
        <v>0</v>
      </c>
      <c r="FS71" s="4">
        <f t="shared" ref="FS71:FS86" si="356">$B$40/(1-$B$40)*BF71</f>
        <v>0</v>
      </c>
      <c r="FT71" s="4">
        <f t="shared" ref="FT71:FT86" si="357">DH71</f>
        <v>0</v>
      </c>
      <c r="FU71" s="4"/>
      <c r="FV71" s="3">
        <f t="shared" ref="FV71:FV86" si="358">IF(AZ71&gt;=3,0,IF($B$9=1,1/$AX71,1))</f>
        <v>0</v>
      </c>
      <c r="FW71" s="3">
        <f t="shared" ref="FW71:FW86" si="359">IF(AZ71=3,0,IF($B$9=1,1/$AX71,1))</f>
        <v>0</v>
      </c>
      <c r="FX71" s="4">
        <f t="shared" si="145"/>
        <v>2081</v>
      </c>
      <c r="FY71" s="4">
        <f t="shared" ref="FY71:FY86" si="360">(BB71+BC71+BH71)*$FV71/1000</f>
        <v>0</v>
      </c>
      <c r="FZ71" s="4">
        <f t="shared" ref="FZ71:FZ86" si="361">BD71*$FV71/1000</f>
        <v>0</v>
      </c>
      <c r="GA71" s="4">
        <f t="shared" ref="GA71:GA86" si="362">BE71*$FV71/1000</f>
        <v>0</v>
      </c>
      <c r="GB71" s="4">
        <f t="shared" ref="GB71:GB86" si="363">(BF71+BG71)*$FV71/1000</f>
        <v>0</v>
      </c>
      <c r="GC71" s="4" t="e">
        <f t="shared" ref="GC71:GC86" ca="1" si="364">BW71*$FV71/1000</f>
        <v>#NAME?</v>
      </c>
      <c r="GD71" s="4" t="e">
        <f t="shared" ref="GD71:GD86" ca="1" si="365">BX71*$FV71/1000</f>
        <v>#NAME?</v>
      </c>
      <c r="GE71" s="4" t="e">
        <f t="shared" ref="GE71:GE86" ca="1" si="366">BY71*$FV71/1000</f>
        <v>#NAME?</v>
      </c>
      <c r="GF71" s="4" t="e">
        <f t="shared" ref="GF71:GF86" ca="1" si="367">BZ71*$FV71/1000</f>
        <v>#NAME?</v>
      </c>
      <c r="GG71" s="18" t="e">
        <f t="shared" ref="GG71:GG86" ca="1" si="368">(CJ71+CR71)*$FV71/1000</f>
        <v>#NAME?</v>
      </c>
      <c r="GH71" s="18" t="e">
        <f t="shared" ref="GH71:GH86" ca="1" si="369">CJ71*$FV71/1000</f>
        <v>#NAME?</v>
      </c>
      <c r="GI71" s="4"/>
      <c r="GJ71" s="4">
        <f t="shared" si="254"/>
        <v>2081</v>
      </c>
      <c r="GK71" s="4" t="e">
        <f t="shared" ref="GK71:GK86" ca="1" si="370">DW71*$FW71/1000</f>
        <v>#NAME?</v>
      </c>
      <c r="GL71" s="4" t="e">
        <f t="shared" ref="GL71:GL86" ca="1" si="371">EE71*$FW71/1000</f>
        <v>#NAME?</v>
      </c>
      <c r="GM71" s="4" t="e">
        <f t="shared" ref="GM71:GM86" ca="1" si="372">EN71*$FW71/1000</f>
        <v>#NAME?</v>
      </c>
      <c r="GN71" s="4" t="e">
        <f t="shared" ref="GN71:GN86" ca="1" si="373">EU71*$FW71/1000</f>
        <v>#NAME?</v>
      </c>
      <c r="GO71" s="4"/>
      <c r="GP71" s="3" t="e">
        <f t="shared" ca="1" si="146"/>
        <v>#NAME?</v>
      </c>
      <c r="GQ71" s="3" t="e">
        <f t="shared" ref="GQ71:GQ86" ca="1" si="374">IF(FK71=0,0.1,(EE71+EG71)*(EK71-1)/FK71)</f>
        <v>#NAME?</v>
      </c>
      <c r="GR71" s="3" t="e">
        <f t="shared" ref="GR71:GR86" ca="1" si="375">IF(FK71=0,0.1,EZ71/FK71)</f>
        <v>#NAME?</v>
      </c>
      <c r="GS71" s="3" t="e">
        <f t="shared" ref="GS71:GS86" ca="1" si="376">IF(FK71=0,0.1,ES71/FK71)</f>
        <v>#NAME?</v>
      </c>
      <c r="GT71" s="3" t="e">
        <f t="array" aca="1" ref="GT71" ca="1">SUM(GP71:GS71*$GU$6:$GX$6)</f>
        <v>#NAME?</v>
      </c>
      <c r="GU71" s="3" t="e">
        <f t="shared" ca="1" si="147"/>
        <v>#NAME?</v>
      </c>
      <c r="GV71" s="3" t="e">
        <f t="shared" ca="1" si="148"/>
        <v>#NAME?</v>
      </c>
      <c r="GW71" s="3" t="e">
        <f t="shared" ca="1" si="149"/>
        <v>#NAME?</v>
      </c>
      <c r="GX71" s="3" t="e">
        <f t="shared" ca="1" si="150"/>
        <v>#NAME?</v>
      </c>
      <c r="GY71" s="11"/>
      <c r="HJ71">
        <f t="shared" si="153"/>
        <v>2074</v>
      </c>
      <c r="HK71" s="28">
        <f t="shared" si="163"/>
        <v>80010</v>
      </c>
      <c r="HL71" s="27">
        <f t="shared" si="155"/>
        <v>17500</v>
      </c>
      <c r="HM71" s="28">
        <f t="shared" si="156"/>
        <v>17344.934002316204</v>
      </c>
      <c r="HO71" t="s">
        <v>642</v>
      </c>
      <c r="HQ71" s="27">
        <v>3500</v>
      </c>
      <c r="HR71" s="4">
        <f>HQ71*(1+$B$15)^($B$7-$HP$26)</f>
        <v>3500</v>
      </c>
    </row>
    <row r="72" spans="1:226" x14ac:dyDescent="0.25">
      <c r="D72">
        <f t="shared" ref="D72:E86" si="377">AV72</f>
        <v>2082</v>
      </c>
      <c r="E72">
        <f t="shared" si="377"/>
        <v>87</v>
      </c>
      <c r="F72" s="8"/>
      <c r="G72" s="8"/>
      <c r="H72" s="8"/>
      <c r="I72" s="8"/>
      <c r="J72" s="92"/>
      <c r="K72" s="91"/>
      <c r="L72" s="91"/>
      <c r="N72" s="93">
        <f t="shared" ref="N72:N86" si="378">IF(AND(J72&lt;&gt;"",J72&lt;&gt;" "),J72,$B$17)</f>
        <v>0.05</v>
      </c>
      <c r="O72" s="23">
        <f t="shared" ref="O72:O86" si="379">IF(AND(K72&lt;&gt;"",K72&lt;&gt;" "),K72,$B$18)</f>
        <v>0</v>
      </c>
      <c r="P72" s="23">
        <f t="shared" ref="P72:P86" si="380">IF(AND(L72&lt;&gt;"",L72&lt;&gt;" "),L72,$B$19)</f>
        <v>0.4</v>
      </c>
      <c r="Q72" s="4">
        <f t="shared" si="276"/>
        <v>0</v>
      </c>
      <c r="R72" s="4">
        <f t="shared" ref="R72:R86" si="381">G72*AX72*(1+$HW$12)</f>
        <v>0</v>
      </c>
      <c r="S72" s="4">
        <f t="shared" si="277"/>
        <v>0</v>
      </c>
      <c r="T72" s="4">
        <f t="shared" ca="1" si="278"/>
        <v>0</v>
      </c>
      <c r="V72" s="18" t="e">
        <f t="shared" ca="1" si="279"/>
        <v>#NAME?</v>
      </c>
      <c r="W72" s="18" t="e">
        <f t="shared" ca="1" si="280"/>
        <v>#NAME?</v>
      </c>
      <c r="X72" s="18">
        <f t="shared" si="281"/>
        <v>0</v>
      </c>
      <c r="Y72" s="18" t="e">
        <f t="shared" ca="1" si="282"/>
        <v>#NAME?</v>
      </c>
      <c r="Z72" s="18" t="e">
        <f t="shared" ca="1" si="283"/>
        <v>#NAME?</v>
      </c>
      <c r="AA72" s="18" t="e">
        <f t="shared" ca="1" si="284"/>
        <v>#NAME?</v>
      </c>
      <c r="AB72" s="18" t="e">
        <f t="shared" ca="1" si="285"/>
        <v>#NAME?</v>
      </c>
      <c r="AC72" s="18" t="e">
        <f t="shared" ca="1" si="286"/>
        <v>#NAME?</v>
      </c>
      <c r="AD72" s="18" t="e">
        <f t="shared" ca="1" si="287"/>
        <v>#NAME?</v>
      </c>
      <c r="AE72" s="18" t="e">
        <f t="shared" ca="1" si="288"/>
        <v>#NAME?</v>
      </c>
      <c r="AF72" s="18" t="e">
        <f t="shared" ca="1" si="289"/>
        <v>#NAME?</v>
      </c>
      <c r="AG72" s="18" t="e">
        <f t="shared" ca="1" si="290"/>
        <v>#NAME?</v>
      </c>
      <c r="AI72">
        <f>Person1!E72</f>
        <v>87</v>
      </c>
      <c r="AJ72">
        <f>Person1!AZ72</f>
        <v>3</v>
      </c>
      <c r="AK72">
        <f>IF(AZ72&lt;&gt;3,Person1!FM72,0)</f>
        <v>0</v>
      </c>
      <c r="AL72" s="4">
        <f>IF($AZ72&lt;&gt;3,Person1!FN72+Person1!FT72,0)</f>
        <v>0</v>
      </c>
      <c r="AM72">
        <f>IF($AZ72&lt;&gt;3,Person1!FO72,0)</f>
        <v>0</v>
      </c>
      <c r="AN72">
        <f>IF($AZ72&lt;&gt;3,Person1!FP72,0)</f>
        <v>0</v>
      </c>
      <c r="AO72">
        <f>IF($AZ72&lt;&gt;3,Person1!FQ72,0)</f>
        <v>0</v>
      </c>
      <c r="AP72">
        <f>IF($AZ72&lt;&gt;3,Person1!FR72,0)</f>
        <v>0</v>
      </c>
      <c r="AQ72" s="4">
        <f t="shared" si="291"/>
        <v>0</v>
      </c>
      <c r="AR72" s="4">
        <f>Person1!FS72</f>
        <v>0</v>
      </c>
      <c r="AS72" s="4">
        <f>$B$41*MAX(0,CHOOSE($AZ72,0,IF(AND(Person1!AW72&gt;=Person1!$B$36,AV72&gt;=$B$93),Person1!$B$35*(1+Person1!$B$37)^(Person1!$B$36-Person1!$B$11)*(1+Person1!$B$38)^(Person1!AW72-Person1!$B$36)-CHOOSE(Person1!$B$39+1,0,BD72,BE72,BD72+BE72),0),0,0))</f>
        <v>0</v>
      </c>
      <c r="AT72" s="4">
        <f t="shared" si="292"/>
        <v>0</v>
      </c>
      <c r="AV72">
        <f t="shared" ref="AV72:AW86" si="382">AV71+1</f>
        <v>2082</v>
      </c>
      <c r="AW72">
        <f t="shared" si="382"/>
        <v>87</v>
      </c>
      <c r="AX72">
        <f t="shared" ref="AX72:AX86" si="383">AX71*(1+$B$15)</f>
        <v>3.6225231081424152</v>
      </c>
      <c r="AY72">
        <f t="shared" ref="AY72:AY86" si="384">1/AX72</f>
        <v>0.27605068902177066</v>
      </c>
      <c r="AZ72">
        <f t="shared" ref="AZ72:AZ86" si="385">IF(AW72=$B$13,4,IF(AW72&gt;$B$13,3,IF(AW72&lt;$B$12,1,2)))</f>
        <v>3</v>
      </c>
      <c r="BB72" s="4">
        <f t="shared" si="293"/>
        <v>0</v>
      </c>
      <c r="BC72">
        <f t="shared" si="294"/>
        <v>0</v>
      </c>
      <c r="BD72" s="4">
        <f t="shared" si="295"/>
        <v>0</v>
      </c>
      <c r="BE72" s="4">
        <f t="shared" ref="BE72:BE86" si="386">CHOOSE($AZ72,0,MAX(0,IF(AW72&gt;=$B$45,$B$81*AX72-$HQ$64*MAX(0,(CE71-$HR$63*AX72))),0),0,0)</f>
        <v>0</v>
      </c>
      <c r="BF72" s="4">
        <f t="shared" ref="BF72:BF86" si="387">(1-$B$40)*MAX(0,CHOOSE($AZ72,0,IF(AW72&gt;=$B$36,$B$35*(1+$B$37)^($B$36-$B$11)*(1+$B$38)^(AW72-$B$36)-$B$39*BD72,0),0,0))</f>
        <v>0</v>
      </c>
      <c r="BG72" s="4">
        <f t="shared" ref="BG72:BG86" si="388">AR72+AS72</f>
        <v>0</v>
      </c>
      <c r="BH72" s="4">
        <f t="shared" si="296"/>
        <v>0</v>
      </c>
      <c r="BI72" s="4">
        <f t="shared" ref="BI72:BI86" si="389">SUM(BB72:BH72)</f>
        <v>0</v>
      </c>
      <c r="BJ72" s="4"/>
      <c r="BK72" s="4">
        <f t="shared" si="297"/>
        <v>0</v>
      </c>
      <c r="BL72" s="4">
        <f t="shared" ref="BL72:BL86" si="390">CHOOSE(AZ72,I72*AX72,I72*AX72,0,0)</f>
        <v>0</v>
      </c>
      <c r="BM72" s="4">
        <f t="shared" ref="BM72:BM86" si="391">BK72+BL72+AQ72</f>
        <v>0</v>
      </c>
      <c r="BN72" s="4">
        <v>0</v>
      </c>
      <c r="BO72" s="4">
        <f t="shared" ref="BO72:BO86" si="392">IF(ISERROR(BN72),BM72,BM72+BN72)</f>
        <v>0</v>
      </c>
      <c r="BP72" s="4">
        <f t="shared" ref="BP72:BP86" si="393">CHOOSE(AZ72,BI72-BO72,BI72-BO72,0,0)</f>
        <v>0</v>
      </c>
      <c r="BQ72" s="4"/>
      <c r="BR72" s="4">
        <v>0</v>
      </c>
      <c r="BS72" s="4" t="e">
        <f t="shared" ca="1" si="298"/>
        <v>#NAME?</v>
      </c>
      <c r="BT72" s="4">
        <f t="shared" si="299"/>
        <v>0</v>
      </c>
      <c r="BU72" s="4">
        <f t="shared" si="300"/>
        <v>0</v>
      </c>
      <c r="BV72" s="4">
        <f t="shared" si="301"/>
        <v>0</v>
      </c>
      <c r="BW72" s="4" t="e">
        <f t="shared" ca="1" si="302"/>
        <v>#NAME?</v>
      </c>
      <c r="BX72" s="4" t="e">
        <f t="shared" ca="1" si="303"/>
        <v>#NAME?</v>
      </c>
      <c r="BY72" s="4" t="e">
        <f t="shared" ca="1" si="304"/>
        <v>#NAME?</v>
      </c>
      <c r="BZ72" s="4" t="e">
        <f t="shared" ca="1" si="305"/>
        <v>#NAME?</v>
      </c>
      <c r="CA72" s="4" t="e">
        <f t="shared" ca="1" si="306"/>
        <v>#NAME?</v>
      </c>
      <c r="CB72" s="4" t="e">
        <f t="shared" ca="1" si="154"/>
        <v>#NAME?</v>
      </c>
      <c r="CC72" s="4"/>
      <c r="CD72" s="4" t="e">
        <f t="shared" ca="1" si="307"/>
        <v>#NAME?</v>
      </c>
      <c r="CE72" s="4">
        <f t="shared" ref="CE72:CE86" si="394">IF($AZ72=3,0,BI72-BH72+BW72+BX72+FD72+FE72+FI72-DE72-CX72+Q72-CG72)</f>
        <v>0</v>
      </c>
      <c r="CF72" s="16">
        <f t="shared" si="308"/>
        <v>1</v>
      </c>
      <c r="CG72" s="4">
        <f t="shared" si="309"/>
        <v>0</v>
      </c>
      <c r="CH72" s="4" t="e">
        <f t="shared" ca="1" si="310"/>
        <v>#NAME?</v>
      </c>
      <c r="CI72" s="4" t="e">
        <f t="shared" ca="1" si="311"/>
        <v>#NAME?</v>
      </c>
      <c r="CJ72" s="4" t="e">
        <f t="shared" ref="CJ72:CJ86" ca="1" si="395">CD72-(CG72+CH72+CI72)-CR72</f>
        <v>#NAME?</v>
      </c>
      <c r="CK72" s="4" t="e">
        <f t="shared" ca="1" si="312"/>
        <v>#NAME?</v>
      </c>
      <c r="CL72" s="4" t="e">
        <f t="shared" ca="1" si="313"/>
        <v>#NAME?</v>
      </c>
      <c r="CM72" s="16"/>
      <c r="CN72" s="4">
        <f t="shared" si="314"/>
        <v>0</v>
      </c>
      <c r="CO72" s="4">
        <f t="shared" si="315"/>
        <v>0</v>
      </c>
      <c r="CP72" s="4" t="e">
        <f t="shared" ca="1" si="271"/>
        <v>#NAME?</v>
      </c>
      <c r="CQ72" s="4"/>
      <c r="CR72" s="4" t="e">
        <f t="shared" ca="1" si="316"/>
        <v>#NAME?</v>
      </c>
      <c r="CS72" s="4">
        <f t="shared" ca="1" si="317"/>
        <v>93740</v>
      </c>
      <c r="CT72" s="4">
        <f t="shared" ca="1" si="318"/>
        <v>0</v>
      </c>
      <c r="CU72" s="4"/>
      <c r="CV72" s="4" t="e">
        <f t="shared" ref="CV72:CV86" ca="1" si="396">CR72</f>
        <v>#NAME?</v>
      </c>
      <c r="CW72" s="4">
        <f t="shared" ca="1" si="319"/>
        <v>0</v>
      </c>
      <c r="CX72" s="4">
        <f t="shared" si="320"/>
        <v>0</v>
      </c>
      <c r="CY72" s="4" t="e">
        <f t="shared" ref="CY72:CY86" ca="1" si="397">MAX(0,CR72-CX72)</f>
        <v>#NAME?</v>
      </c>
      <c r="CZ72" s="4"/>
      <c r="DA72" s="4" t="e">
        <f t="shared" ca="1" si="321"/>
        <v>#NAME?</v>
      </c>
      <c r="DB72" s="4">
        <f t="shared" si="322"/>
        <v>0</v>
      </c>
      <c r="DC72" s="4">
        <f t="shared" ref="DC72:DC86" si="398">CX72</f>
        <v>0</v>
      </c>
      <c r="DD72" s="4">
        <f t="shared" si="323"/>
        <v>0</v>
      </c>
      <c r="DE72" s="4" t="e">
        <f t="shared" ca="1" si="324"/>
        <v>#NAME?</v>
      </c>
      <c r="DF72" s="4" t="e">
        <f t="shared" ref="DF72:DF86" ca="1" si="399">DD72-DE72</f>
        <v>#NAME?</v>
      </c>
      <c r="DG72" s="4" t="e">
        <f t="shared" ref="DG72:DG86" ca="1" si="400">DE72-DH72</f>
        <v>#NAME?</v>
      </c>
      <c r="DH72" s="4">
        <f t="shared" si="325"/>
        <v>0</v>
      </c>
      <c r="DI72" s="4"/>
      <c r="DJ72" s="4" t="e">
        <f t="shared" ca="1" si="326"/>
        <v>#NAME?</v>
      </c>
      <c r="DK72" s="4">
        <f t="shared" ca="1" si="327"/>
        <v>20500</v>
      </c>
      <c r="DL72" s="4">
        <f t="shared" ca="1" si="328"/>
        <v>20500</v>
      </c>
      <c r="DM72" s="4">
        <f t="shared" si="329"/>
        <v>0</v>
      </c>
      <c r="DN72" s="4" t="e">
        <f t="shared" ca="1" si="330"/>
        <v>#NAME?</v>
      </c>
      <c r="DO72" s="4" t="e">
        <f t="shared" ca="1" si="331"/>
        <v>#NAME?</v>
      </c>
      <c r="DP72" s="4"/>
      <c r="DQ72" s="4" t="e">
        <f t="shared" ca="1" si="332"/>
        <v>#NAME?</v>
      </c>
      <c r="DR72" s="4"/>
      <c r="DS72" s="4">
        <f t="shared" ref="DS72:DS86" si="401">IF($B$74=1,$B$83*AX72,0)</f>
        <v>0</v>
      </c>
      <c r="DT72" s="4">
        <f t="shared" si="274"/>
        <v>0</v>
      </c>
      <c r="DU72" s="4">
        <f t="shared" si="333"/>
        <v>0</v>
      </c>
      <c r="DV72" s="4"/>
      <c r="DW72" s="4" t="e">
        <f t="shared" ref="DW72:DW86" ca="1" si="402">DW71+DY71+DX71-DZ71+EL71-FN71</f>
        <v>#NAME?</v>
      </c>
      <c r="DX72" s="4" t="e">
        <f t="shared" ca="1" si="334"/>
        <v>#NAME?</v>
      </c>
      <c r="DY72" s="4">
        <f t="shared" ref="DY72:DY86" si="403">IF($AZ72&gt;=3,0,DW72*$N72)</f>
        <v>0</v>
      </c>
      <c r="DZ72" s="4" t="e">
        <f t="shared" ca="1" si="335"/>
        <v>#NAME?</v>
      </c>
      <c r="EA72" s="4" t="e">
        <f t="shared" ca="1" si="336"/>
        <v>#NAME?</v>
      </c>
      <c r="EB72" s="4" t="e">
        <f t="shared" ca="1" si="337"/>
        <v>#NAME?</v>
      </c>
      <c r="EC72" s="4">
        <f t="shared" si="338"/>
        <v>2</v>
      </c>
      <c r="ED72" s="4"/>
      <c r="EE72" s="4" t="e">
        <f t="shared" ref="EE72:EE86" ca="1" si="404">EE71+EG71+EF71-EH71-EL71-FO71</f>
        <v>#NAME?</v>
      </c>
      <c r="EF72" s="4">
        <f t="shared" si="339"/>
        <v>0</v>
      </c>
      <c r="EG72" s="4">
        <f t="shared" ref="EG72:EG86" si="405">IF($AZ72&gt;=3,0,EE72*$N72)</f>
        <v>0</v>
      </c>
      <c r="EH72" s="4" t="e">
        <f t="shared" ca="1" si="340"/>
        <v>#NAME?</v>
      </c>
      <c r="EI72" s="4" t="e">
        <f t="shared" ca="1" si="341"/>
        <v>#NAME?</v>
      </c>
      <c r="EJ72" s="4" t="e">
        <f t="shared" ca="1" si="342"/>
        <v>#NAME?</v>
      </c>
      <c r="EK72" s="4">
        <f t="shared" si="343"/>
        <v>2</v>
      </c>
      <c r="EL72" s="4">
        <f t="shared" si="344"/>
        <v>0</v>
      </c>
      <c r="EM72" s="4"/>
      <c r="EN72" s="4" t="e">
        <f t="shared" ref="EN72:EN86" ca="1" si="406">EN71+EP71+EO71-EQ71-FP71</f>
        <v>#NAME?</v>
      </c>
      <c r="EO72" s="4" t="e">
        <f t="shared" ca="1" si="345"/>
        <v>#NAME?</v>
      </c>
      <c r="EP72" s="4">
        <f t="shared" ref="EP72:EP86" si="407">IF($AZ72&gt;=3,0,EN72*$N72)</f>
        <v>0</v>
      </c>
      <c r="EQ72" s="4" t="e">
        <f t="shared" ca="1" si="346"/>
        <v>#NAME?</v>
      </c>
      <c r="ER72" s="4">
        <v>0</v>
      </c>
      <c r="ES72" s="4" t="e">
        <f ca="1">EN72+EP72</f>
        <v>#NAME?</v>
      </c>
      <c r="ET72" s="4"/>
      <c r="EU72" s="4" t="e">
        <f t="shared" ref="EU72:EU86" ca="1" si="408">EU71+EW71+EV71-EX71-FQ71</f>
        <v>#NAME?</v>
      </c>
      <c r="EV72" s="4" t="e">
        <f t="shared" ca="1" si="347"/>
        <v>#NAME?</v>
      </c>
      <c r="EW72" s="4">
        <f t="shared" ref="EW72:EW86" si="409">IF($AZ72&gt;=3,0,EU72*$N72)</f>
        <v>0</v>
      </c>
      <c r="EX72" s="4" t="e">
        <f t="shared" ca="1" si="348"/>
        <v>#NAME?</v>
      </c>
      <c r="EY72" s="4">
        <v>0</v>
      </c>
      <c r="EZ72" s="4" t="e">
        <f ca="1">EU72+EW72</f>
        <v>#NAME?</v>
      </c>
      <c r="FA72" s="4" t="e">
        <f t="shared" ref="FA72:FA86" ca="1" si="410">FA71+FC71-FH71-FR71+AP71</f>
        <v>#NAME?</v>
      </c>
      <c r="FB72" s="1" t="e">
        <f t="shared" ca="1" si="349"/>
        <v>#NAME?</v>
      </c>
      <c r="FC72" s="4">
        <f t="shared" ref="FC72:FC86" si="411">EW72*$O72</f>
        <v>0</v>
      </c>
      <c r="FD72" s="4">
        <f t="shared" ref="FD72:FD86" si="412">EW72*(1-$O72-$P72)</f>
        <v>0</v>
      </c>
      <c r="FE72" s="4">
        <f t="shared" si="350"/>
        <v>0</v>
      </c>
      <c r="FF72" s="4">
        <f t="shared" si="351"/>
        <v>0</v>
      </c>
      <c r="FG72" s="4">
        <f t="shared" ca="1" si="352"/>
        <v>0</v>
      </c>
      <c r="FH72" s="17" t="e">
        <f t="shared" ca="1" si="353"/>
        <v>#NAME?</v>
      </c>
      <c r="FI72" s="4" t="e">
        <f t="shared" ca="1" si="354"/>
        <v>#NAME?</v>
      </c>
      <c r="FJ72" s="4"/>
      <c r="FK72" s="4" t="e">
        <f t="shared" ca="1" si="355"/>
        <v>#NAME?</v>
      </c>
      <c r="FL72" s="4"/>
      <c r="FM72" s="4">
        <v>0</v>
      </c>
      <c r="FN72" s="4">
        <v>0</v>
      </c>
      <c r="FO72" s="4">
        <v>0</v>
      </c>
      <c r="FP72" s="4">
        <v>0</v>
      </c>
      <c r="FQ72" s="4">
        <v>0</v>
      </c>
      <c r="FR72" s="4">
        <v>0</v>
      </c>
      <c r="FS72" s="4">
        <f t="shared" si="356"/>
        <v>0</v>
      </c>
      <c r="FT72" s="4">
        <f t="shared" si="357"/>
        <v>0</v>
      </c>
      <c r="FU72" s="4"/>
      <c r="FV72" s="3">
        <f t="shared" si="358"/>
        <v>0</v>
      </c>
      <c r="FW72" s="3">
        <f t="shared" si="359"/>
        <v>0</v>
      </c>
      <c r="FX72" s="4">
        <f t="shared" ref="FX72:FX86" si="413">IF($B$70=1,AW72,AV72)</f>
        <v>2082</v>
      </c>
      <c r="FY72" s="4">
        <f t="shared" si="360"/>
        <v>0</v>
      </c>
      <c r="FZ72" s="4">
        <f t="shared" si="361"/>
        <v>0</v>
      </c>
      <c r="GA72" s="4">
        <f t="shared" si="362"/>
        <v>0</v>
      </c>
      <c r="GB72" s="4">
        <f t="shared" si="363"/>
        <v>0</v>
      </c>
      <c r="GC72" s="4" t="e">
        <f t="shared" ca="1" si="364"/>
        <v>#NAME?</v>
      </c>
      <c r="GD72" s="4" t="e">
        <f t="shared" ca="1" si="365"/>
        <v>#NAME?</v>
      </c>
      <c r="GE72" s="4" t="e">
        <f t="shared" ca="1" si="366"/>
        <v>#NAME?</v>
      </c>
      <c r="GF72" s="4" t="e">
        <f t="shared" ca="1" si="367"/>
        <v>#NAME?</v>
      </c>
      <c r="GG72" s="18" t="e">
        <f t="shared" ca="1" si="368"/>
        <v>#NAME?</v>
      </c>
      <c r="GH72" s="18" t="e">
        <f t="shared" ca="1" si="369"/>
        <v>#NAME?</v>
      </c>
      <c r="GI72" s="4"/>
      <c r="GJ72" s="4">
        <f t="shared" si="254"/>
        <v>2082</v>
      </c>
      <c r="GK72" s="4" t="e">
        <f t="shared" ca="1" si="370"/>
        <v>#NAME?</v>
      </c>
      <c r="GL72" s="4" t="e">
        <f t="shared" ca="1" si="371"/>
        <v>#NAME?</v>
      </c>
      <c r="GM72" s="4" t="e">
        <f t="shared" ca="1" si="372"/>
        <v>#NAME?</v>
      </c>
      <c r="GN72" s="4" t="e">
        <f t="shared" ca="1" si="373"/>
        <v>#NAME?</v>
      </c>
      <c r="GO72" s="4"/>
      <c r="GP72" s="3" t="e">
        <f t="shared" ref="GP72:GP86" ca="1" si="414">IF(FK72=0,0.1,EB72/FK72)</f>
        <v>#NAME?</v>
      </c>
      <c r="GQ72" s="3" t="e">
        <f t="shared" ca="1" si="374"/>
        <v>#NAME?</v>
      </c>
      <c r="GR72" s="3" t="e">
        <f t="shared" ca="1" si="375"/>
        <v>#NAME?</v>
      </c>
      <c r="GS72" s="3" t="e">
        <f t="shared" ca="1" si="376"/>
        <v>#NAME?</v>
      </c>
      <c r="GT72" s="3" t="e">
        <f t="array" aca="1" ref="GT72" ca="1">SUM(GP72:GS72*$GU$6:$GX$6)</f>
        <v>#NAME?</v>
      </c>
      <c r="GU72" s="3" t="e">
        <f t="shared" ref="GU72:GU86" ca="1" si="415">IF($GT72=0,0.25,MIN(1,MAX(0,GP72*GU$6/$GT72)))</f>
        <v>#NAME?</v>
      </c>
      <c r="GV72" s="3" t="e">
        <f t="shared" ref="GV72:GV86" ca="1" si="416">IF($GT72=0,0.25,MIN(1,MAX(0,GQ72*GV$6/$GT72)))</f>
        <v>#NAME?</v>
      </c>
      <c r="GW72" s="3" t="e">
        <f t="shared" ref="GW72:GW86" ca="1" si="417">IF($GT72=0,0.25,MIN(1,MAX(0,GR72*GW$6/$GT72)))</f>
        <v>#NAME?</v>
      </c>
      <c r="GX72" s="3" t="e">
        <f t="shared" ref="GX72:GX86" ca="1" si="418">IF($GT72=0,0.25,MIN(1,MAX(0,GS72*GX$6/$GT72)))</f>
        <v>#NAME?</v>
      </c>
      <c r="GY72" s="11"/>
      <c r="HJ72">
        <f t="shared" si="153"/>
        <v>2075</v>
      </c>
      <c r="HK72" s="28">
        <f t="shared" si="163"/>
        <v>81610</v>
      </c>
      <c r="HL72" s="27">
        <f t="shared" si="155"/>
        <v>17500</v>
      </c>
      <c r="HM72" s="28">
        <f t="shared" si="156"/>
        <v>17691.832682362528</v>
      </c>
      <c r="HO72" t="s">
        <v>643</v>
      </c>
      <c r="HQ72" s="28">
        <v>2564</v>
      </c>
      <c r="HR72" s="4">
        <f>HQ72*(1+$B$15)^($B$7-$HP$26)</f>
        <v>2564</v>
      </c>
    </row>
    <row r="73" spans="1:226" x14ac:dyDescent="0.25">
      <c r="A73" s="15" t="s">
        <v>662</v>
      </c>
      <c r="D73">
        <f t="shared" si="377"/>
        <v>2083</v>
      </c>
      <c r="E73">
        <f t="shared" si="377"/>
        <v>88</v>
      </c>
      <c r="F73" s="8"/>
      <c r="G73" s="8"/>
      <c r="H73" s="8"/>
      <c r="I73" s="8"/>
      <c r="J73" s="92"/>
      <c r="K73" s="91"/>
      <c r="L73" s="91"/>
      <c r="N73" s="93">
        <f t="shared" si="378"/>
        <v>0.05</v>
      </c>
      <c r="O73" s="23">
        <f t="shared" si="379"/>
        <v>0</v>
      </c>
      <c r="P73" s="23">
        <f t="shared" si="380"/>
        <v>0.4</v>
      </c>
      <c r="Q73" s="4">
        <f t="shared" si="276"/>
        <v>0</v>
      </c>
      <c r="R73" s="4">
        <f t="shared" si="381"/>
        <v>0</v>
      </c>
      <c r="S73" s="4">
        <f t="shared" si="277"/>
        <v>0</v>
      </c>
      <c r="T73" s="4">
        <f t="shared" ca="1" si="278"/>
        <v>0</v>
      </c>
      <c r="V73" s="18" t="e">
        <f t="shared" ca="1" si="279"/>
        <v>#NAME?</v>
      </c>
      <c r="W73" s="18" t="e">
        <f t="shared" ca="1" si="280"/>
        <v>#NAME?</v>
      </c>
      <c r="X73" s="18">
        <f t="shared" si="281"/>
        <v>0</v>
      </c>
      <c r="Y73" s="18" t="e">
        <f t="shared" ca="1" si="282"/>
        <v>#NAME?</v>
      </c>
      <c r="Z73" s="18" t="e">
        <f t="shared" ca="1" si="283"/>
        <v>#NAME?</v>
      </c>
      <c r="AA73" s="18" t="e">
        <f t="shared" ca="1" si="284"/>
        <v>#NAME?</v>
      </c>
      <c r="AB73" s="18" t="e">
        <f t="shared" ca="1" si="285"/>
        <v>#NAME?</v>
      </c>
      <c r="AC73" s="18" t="e">
        <f t="shared" ca="1" si="286"/>
        <v>#NAME?</v>
      </c>
      <c r="AD73" s="18" t="e">
        <f t="shared" ca="1" si="287"/>
        <v>#NAME?</v>
      </c>
      <c r="AE73" s="18" t="e">
        <f t="shared" ca="1" si="288"/>
        <v>#NAME?</v>
      </c>
      <c r="AF73" s="18" t="e">
        <f t="shared" ca="1" si="289"/>
        <v>#NAME?</v>
      </c>
      <c r="AG73" s="18" t="e">
        <f t="shared" ca="1" si="290"/>
        <v>#NAME?</v>
      </c>
      <c r="AI73">
        <f>Person1!E73</f>
        <v>88</v>
      </c>
      <c r="AJ73">
        <f>Person1!AZ73</f>
        <v>3</v>
      </c>
      <c r="AK73">
        <f>IF(AZ73&lt;&gt;3,Person1!FM73,0)</f>
        <v>0</v>
      </c>
      <c r="AL73" s="4">
        <f>IF($AZ73&lt;&gt;3,Person1!FN73+Person1!FT73,0)</f>
        <v>0</v>
      </c>
      <c r="AM73">
        <f>IF($AZ73&lt;&gt;3,Person1!FO73,0)</f>
        <v>0</v>
      </c>
      <c r="AN73">
        <f>IF($AZ73&lt;&gt;3,Person1!FP73,0)</f>
        <v>0</v>
      </c>
      <c r="AO73">
        <f>IF($AZ73&lt;&gt;3,Person1!FQ73,0)</f>
        <v>0</v>
      </c>
      <c r="AP73">
        <f>IF($AZ73&lt;&gt;3,Person1!FR73,0)</f>
        <v>0</v>
      </c>
      <c r="AQ73" s="4">
        <f t="shared" si="291"/>
        <v>0</v>
      </c>
      <c r="AR73" s="4">
        <f>Person1!FS73</f>
        <v>0</v>
      </c>
      <c r="AS73" s="4">
        <f>$B$41*MAX(0,CHOOSE($AZ73,0,IF(AND(Person1!AW73&gt;=Person1!$B$36,AV73&gt;=$B$93),Person1!$B$35*(1+Person1!$B$37)^(Person1!$B$36-Person1!$B$11)*(1+Person1!$B$38)^(Person1!AW73-Person1!$B$36)-CHOOSE(Person1!$B$39+1,0,BD73,BE73,BD73+BE73),0),0,0))</f>
        <v>0</v>
      </c>
      <c r="AT73" s="4">
        <f t="shared" si="292"/>
        <v>0</v>
      </c>
      <c r="AV73">
        <f t="shared" si="382"/>
        <v>2083</v>
      </c>
      <c r="AW73">
        <f t="shared" si="382"/>
        <v>88</v>
      </c>
      <c r="AX73">
        <f t="shared" si="383"/>
        <v>3.6949735703052635</v>
      </c>
      <c r="AY73">
        <f t="shared" si="384"/>
        <v>0.27063793041350065</v>
      </c>
      <c r="AZ73">
        <f t="shared" si="385"/>
        <v>3</v>
      </c>
      <c r="BB73" s="4">
        <f t="shared" si="293"/>
        <v>0</v>
      </c>
      <c r="BC73">
        <f t="shared" si="294"/>
        <v>0</v>
      </c>
      <c r="BD73" s="4">
        <f t="shared" si="295"/>
        <v>0</v>
      </c>
      <c r="BE73" s="4">
        <f t="shared" si="386"/>
        <v>0</v>
      </c>
      <c r="BF73" s="4">
        <f t="shared" si="387"/>
        <v>0</v>
      </c>
      <c r="BG73" s="4">
        <f t="shared" si="388"/>
        <v>0</v>
      </c>
      <c r="BH73" s="4">
        <f t="shared" si="296"/>
        <v>0</v>
      </c>
      <c r="BI73" s="4">
        <f t="shared" si="389"/>
        <v>0</v>
      </c>
      <c r="BJ73" s="4"/>
      <c r="BK73" s="4">
        <f t="shared" si="297"/>
        <v>0</v>
      </c>
      <c r="BL73" s="4">
        <f t="shared" si="390"/>
        <v>0</v>
      </c>
      <c r="BM73" s="4">
        <f t="shared" si="391"/>
        <v>0</v>
      </c>
      <c r="BN73" s="4">
        <v>0</v>
      </c>
      <c r="BO73" s="4">
        <f t="shared" si="392"/>
        <v>0</v>
      </c>
      <c r="BP73" s="4">
        <f t="shared" si="393"/>
        <v>0</v>
      </c>
      <c r="BQ73" s="4"/>
      <c r="BR73" s="4">
        <v>0</v>
      </c>
      <c r="BS73" s="4" t="e">
        <f t="shared" ca="1" si="298"/>
        <v>#NAME?</v>
      </c>
      <c r="BT73" s="4">
        <f t="shared" si="299"/>
        <v>0</v>
      </c>
      <c r="BU73" s="4">
        <f t="shared" si="300"/>
        <v>0</v>
      </c>
      <c r="BV73" s="4">
        <f t="shared" si="301"/>
        <v>0</v>
      </c>
      <c r="BW73" s="4" t="e">
        <f t="shared" ca="1" si="302"/>
        <v>#NAME?</v>
      </c>
      <c r="BX73" s="4" t="e">
        <f t="shared" ca="1" si="303"/>
        <v>#NAME?</v>
      </c>
      <c r="BY73" s="4" t="e">
        <f t="shared" ca="1" si="304"/>
        <v>#NAME?</v>
      </c>
      <c r="BZ73" s="4" t="e">
        <f t="shared" ca="1" si="305"/>
        <v>#NAME?</v>
      </c>
      <c r="CA73" s="4" t="e">
        <f t="shared" ca="1" si="306"/>
        <v>#NAME?</v>
      </c>
      <c r="CB73" s="4" t="e">
        <f t="shared" ca="1" si="154"/>
        <v>#NAME?</v>
      </c>
      <c r="CC73" s="4"/>
      <c r="CD73" s="4" t="e">
        <f t="shared" ca="1" si="307"/>
        <v>#NAME?</v>
      </c>
      <c r="CE73" s="4">
        <f t="shared" si="394"/>
        <v>0</v>
      </c>
      <c r="CF73" s="16">
        <f t="shared" si="308"/>
        <v>1</v>
      </c>
      <c r="CG73" s="4">
        <f t="shared" si="309"/>
        <v>0</v>
      </c>
      <c r="CH73" s="4" t="e">
        <f t="shared" ca="1" si="310"/>
        <v>#NAME?</v>
      </c>
      <c r="CI73" s="4" t="e">
        <f t="shared" ca="1" si="311"/>
        <v>#NAME?</v>
      </c>
      <c r="CJ73" s="4" t="e">
        <f t="shared" ca="1" si="395"/>
        <v>#NAME?</v>
      </c>
      <c r="CK73" s="4" t="e">
        <f t="shared" ca="1" si="312"/>
        <v>#NAME?</v>
      </c>
      <c r="CL73" s="4" t="e">
        <f t="shared" ca="1" si="313"/>
        <v>#NAME?</v>
      </c>
      <c r="CM73" s="16"/>
      <c r="CN73" s="4">
        <f t="shared" si="314"/>
        <v>0</v>
      </c>
      <c r="CO73" s="4">
        <f t="shared" si="315"/>
        <v>0</v>
      </c>
      <c r="CP73" s="4" t="e">
        <f t="shared" ca="1" si="271"/>
        <v>#NAME?</v>
      </c>
      <c r="CQ73" s="4"/>
      <c r="CR73" s="4" t="e">
        <f t="shared" ca="1" si="316"/>
        <v>#NAME?</v>
      </c>
      <c r="CS73" s="4">
        <f t="shared" ca="1" si="317"/>
        <v>95620</v>
      </c>
      <c r="CT73" s="4">
        <f t="shared" ca="1" si="318"/>
        <v>0</v>
      </c>
      <c r="CU73" s="4"/>
      <c r="CV73" s="4" t="e">
        <f t="shared" ca="1" si="396"/>
        <v>#NAME?</v>
      </c>
      <c r="CW73" s="4">
        <f t="shared" ca="1" si="319"/>
        <v>0</v>
      </c>
      <c r="CX73" s="4">
        <f t="shared" si="320"/>
        <v>0</v>
      </c>
      <c r="CY73" s="4" t="e">
        <f t="shared" ca="1" si="397"/>
        <v>#NAME?</v>
      </c>
      <c r="CZ73" s="4"/>
      <c r="DA73" s="4" t="e">
        <f t="shared" ca="1" si="321"/>
        <v>#NAME?</v>
      </c>
      <c r="DB73" s="4">
        <f t="shared" si="322"/>
        <v>0</v>
      </c>
      <c r="DC73" s="4">
        <f t="shared" si="398"/>
        <v>0</v>
      </c>
      <c r="DD73" s="4">
        <f t="shared" si="323"/>
        <v>0</v>
      </c>
      <c r="DE73" s="4" t="e">
        <f t="shared" ca="1" si="324"/>
        <v>#NAME?</v>
      </c>
      <c r="DF73" s="4" t="e">
        <f t="shared" ca="1" si="399"/>
        <v>#NAME?</v>
      </c>
      <c r="DG73" s="4" t="e">
        <f t="shared" ca="1" si="400"/>
        <v>#NAME?</v>
      </c>
      <c r="DH73" s="4">
        <f t="shared" si="325"/>
        <v>0</v>
      </c>
      <c r="DI73" s="4"/>
      <c r="DJ73" s="4" t="e">
        <f t="shared" ca="1" si="326"/>
        <v>#NAME?</v>
      </c>
      <c r="DK73" s="4">
        <f t="shared" ca="1" si="327"/>
        <v>20500</v>
      </c>
      <c r="DL73" s="4">
        <f t="shared" ca="1" si="328"/>
        <v>20500</v>
      </c>
      <c r="DM73" s="4">
        <f t="shared" si="329"/>
        <v>0</v>
      </c>
      <c r="DN73" s="4" t="e">
        <f t="shared" ca="1" si="330"/>
        <v>#NAME?</v>
      </c>
      <c r="DO73" s="4" t="e">
        <f t="shared" ca="1" si="331"/>
        <v>#NAME?</v>
      </c>
      <c r="DP73" s="4"/>
      <c r="DQ73" s="4" t="e">
        <f t="shared" ca="1" si="332"/>
        <v>#NAME?</v>
      </c>
      <c r="DR73" s="4"/>
      <c r="DS73" s="4">
        <f t="shared" si="401"/>
        <v>0</v>
      </c>
      <c r="DT73" s="4">
        <f t="shared" si="274"/>
        <v>0</v>
      </c>
      <c r="DU73" s="4">
        <f t="shared" si="333"/>
        <v>0</v>
      </c>
      <c r="DV73" s="4"/>
      <c r="DW73" s="4" t="e">
        <f t="shared" ca="1" si="402"/>
        <v>#NAME?</v>
      </c>
      <c r="DX73" s="4" t="e">
        <f t="shared" ca="1" si="334"/>
        <v>#NAME?</v>
      </c>
      <c r="DY73" s="4">
        <f t="shared" si="403"/>
        <v>0</v>
      </c>
      <c r="DZ73" s="4" t="e">
        <f t="shared" ca="1" si="335"/>
        <v>#NAME?</v>
      </c>
      <c r="EA73" s="4" t="e">
        <f t="shared" ca="1" si="336"/>
        <v>#NAME?</v>
      </c>
      <c r="EB73" s="4" t="e">
        <f t="shared" ca="1" si="337"/>
        <v>#NAME?</v>
      </c>
      <c r="EC73" s="4">
        <f t="shared" si="338"/>
        <v>2</v>
      </c>
      <c r="ED73" s="4"/>
      <c r="EE73" s="4" t="e">
        <f t="shared" ca="1" si="404"/>
        <v>#NAME?</v>
      </c>
      <c r="EF73" s="4">
        <f t="shared" si="339"/>
        <v>0</v>
      </c>
      <c r="EG73" s="4">
        <f t="shared" si="405"/>
        <v>0</v>
      </c>
      <c r="EH73" s="4" t="e">
        <f t="shared" ca="1" si="340"/>
        <v>#NAME?</v>
      </c>
      <c r="EI73" s="4" t="e">
        <f t="shared" ca="1" si="341"/>
        <v>#NAME?</v>
      </c>
      <c r="EJ73" s="4" t="e">
        <f t="shared" ca="1" si="342"/>
        <v>#NAME?</v>
      </c>
      <c r="EK73" s="4">
        <f t="shared" si="343"/>
        <v>2</v>
      </c>
      <c r="EL73" s="4">
        <f t="shared" si="344"/>
        <v>0</v>
      </c>
      <c r="EM73" s="4"/>
      <c r="EN73" s="4" t="e">
        <f t="shared" ca="1" si="406"/>
        <v>#NAME?</v>
      </c>
      <c r="EO73" s="4" t="e">
        <f t="shared" ca="1" si="345"/>
        <v>#NAME?</v>
      </c>
      <c r="EP73" s="4">
        <f t="shared" si="407"/>
        <v>0</v>
      </c>
      <c r="EQ73" s="4" t="e">
        <f t="shared" ca="1" si="346"/>
        <v>#NAME?</v>
      </c>
      <c r="ER73" s="4">
        <v>0</v>
      </c>
      <c r="ES73" s="4" t="e">
        <f t="shared" ref="ES73:ES86" ca="1" si="419">EN73+EP73</f>
        <v>#NAME?</v>
      </c>
      <c r="ET73" s="4"/>
      <c r="EU73" s="4" t="e">
        <f t="shared" ca="1" si="408"/>
        <v>#NAME?</v>
      </c>
      <c r="EV73" s="4" t="e">
        <f t="shared" ca="1" si="347"/>
        <v>#NAME?</v>
      </c>
      <c r="EW73" s="4">
        <f t="shared" si="409"/>
        <v>0</v>
      </c>
      <c r="EX73" s="4" t="e">
        <f t="shared" ca="1" si="348"/>
        <v>#NAME?</v>
      </c>
      <c r="EY73" s="4">
        <v>0</v>
      </c>
      <c r="EZ73" s="4" t="e">
        <f t="shared" ref="EZ73:EZ86" ca="1" si="420">EU73+EW73</f>
        <v>#NAME?</v>
      </c>
      <c r="FA73" s="4" t="e">
        <f t="shared" ca="1" si="410"/>
        <v>#NAME?</v>
      </c>
      <c r="FB73" s="1" t="e">
        <f t="shared" ca="1" si="349"/>
        <v>#NAME?</v>
      </c>
      <c r="FC73" s="4">
        <f t="shared" si="411"/>
        <v>0</v>
      </c>
      <c r="FD73" s="4">
        <f t="shared" si="412"/>
        <v>0</v>
      </c>
      <c r="FE73" s="4">
        <f t="shared" si="350"/>
        <v>0</v>
      </c>
      <c r="FF73" s="4">
        <f t="shared" si="351"/>
        <v>0</v>
      </c>
      <c r="FG73" s="4">
        <f t="shared" ca="1" si="352"/>
        <v>0</v>
      </c>
      <c r="FH73" s="17" t="e">
        <f t="shared" ca="1" si="353"/>
        <v>#NAME?</v>
      </c>
      <c r="FI73" s="4" t="e">
        <f t="shared" ca="1" si="354"/>
        <v>#NAME?</v>
      </c>
      <c r="FJ73" s="4"/>
      <c r="FK73" s="4" t="e">
        <f t="shared" ca="1" si="355"/>
        <v>#NAME?</v>
      </c>
      <c r="FL73" s="4"/>
      <c r="FM73" s="4">
        <v>0</v>
      </c>
      <c r="FN73" s="4">
        <v>0</v>
      </c>
      <c r="FO73" s="4">
        <v>0</v>
      </c>
      <c r="FP73" s="4">
        <v>0</v>
      </c>
      <c r="FQ73" s="4">
        <v>0</v>
      </c>
      <c r="FR73" s="4">
        <v>0</v>
      </c>
      <c r="FS73" s="4">
        <f t="shared" si="356"/>
        <v>0</v>
      </c>
      <c r="FT73" s="4">
        <f t="shared" si="357"/>
        <v>0</v>
      </c>
      <c r="FU73" s="4"/>
      <c r="FV73" s="3">
        <f t="shared" si="358"/>
        <v>0</v>
      </c>
      <c r="FW73" s="3">
        <f t="shared" si="359"/>
        <v>0</v>
      </c>
      <c r="FX73" s="4">
        <f t="shared" si="413"/>
        <v>2083</v>
      </c>
      <c r="FY73" s="4">
        <f t="shared" si="360"/>
        <v>0</v>
      </c>
      <c r="FZ73" s="4">
        <f t="shared" si="361"/>
        <v>0</v>
      </c>
      <c r="GA73" s="4">
        <f t="shared" si="362"/>
        <v>0</v>
      </c>
      <c r="GB73" s="4">
        <f t="shared" si="363"/>
        <v>0</v>
      </c>
      <c r="GC73" s="4" t="e">
        <f t="shared" ca="1" si="364"/>
        <v>#NAME?</v>
      </c>
      <c r="GD73" s="4" t="e">
        <f t="shared" ca="1" si="365"/>
        <v>#NAME?</v>
      </c>
      <c r="GE73" s="4" t="e">
        <f t="shared" ca="1" si="366"/>
        <v>#NAME?</v>
      </c>
      <c r="GF73" s="4" t="e">
        <f t="shared" ca="1" si="367"/>
        <v>#NAME?</v>
      </c>
      <c r="GG73" s="18" t="e">
        <f t="shared" ca="1" si="368"/>
        <v>#NAME?</v>
      </c>
      <c r="GH73" s="18" t="e">
        <f t="shared" ca="1" si="369"/>
        <v>#NAME?</v>
      </c>
      <c r="GI73" s="4"/>
      <c r="GJ73" s="4">
        <f t="shared" ref="GJ73:GJ86" si="421">FX73</f>
        <v>2083</v>
      </c>
      <c r="GK73" s="4" t="e">
        <f t="shared" ca="1" si="370"/>
        <v>#NAME?</v>
      </c>
      <c r="GL73" s="4" t="e">
        <f t="shared" ca="1" si="371"/>
        <v>#NAME?</v>
      </c>
      <c r="GM73" s="4" t="e">
        <f t="shared" ca="1" si="372"/>
        <v>#NAME?</v>
      </c>
      <c r="GN73" s="4" t="e">
        <f t="shared" ca="1" si="373"/>
        <v>#NAME?</v>
      </c>
      <c r="GO73" s="4"/>
      <c r="GP73" s="3" t="e">
        <f t="shared" ca="1" si="414"/>
        <v>#NAME?</v>
      </c>
      <c r="GQ73" s="3" t="e">
        <f t="shared" ca="1" si="374"/>
        <v>#NAME?</v>
      </c>
      <c r="GR73" s="3" t="e">
        <f t="shared" ca="1" si="375"/>
        <v>#NAME?</v>
      </c>
      <c r="GS73" s="3" t="e">
        <f t="shared" ca="1" si="376"/>
        <v>#NAME?</v>
      </c>
      <c r="GT73" s="3" t="e">
        <f t="array" aca="1" ref="GT73" ca="1">SUM(GP73:GS73*$GU$6:$GX$6)</f>
        <v>#NAME?</v>
      </c>
      <c r="GU73" s="3" t="e">
        <f t="shared" ca="1" si="415"/>
        <v>#NAME?</v>
      </c>
      <c r="GV73" s="3" t="e">
        <f t="shared" ca="1" si="416"/>
        <v>#NAME?</v>
      </c>
      <c r="GW73" s="3" t="e">
        <f t="shared" ca="1" si="417"/>
        <v>#NAME?</v>
      </c>
      <c r="GX73" s="3" t="e">
        <f t="shared" ca="1" si="418"/>
        <v>#NAME?</v>
      </c>
      <c r="GY73" s="11"/>
      <c r="HJ73">
        <f t="shared" ref="HJ73:HJ136" si="422">HJ72+1</f>
        <v>2076</v>
      </c>
      <c r="HK73" s="28">
        <f t="shared" si="163"/>
        <v>83240</v>
      </c>
      <c r="HL73" s="27">
        <f t="shared" si="155"/>
        <v>18000</v>
      </c>
      <c r="HM73" s="28">
        <f t="shared" si="156"/>
        <v>18045.669336009778</v>
      </c>
      <c r="HO73" t="s">
        <v>647</v>
      </c>
      <c r="HQ73" s="27">
        <v>70</v>
      </c>
    </row>
    <row r="74" spans="1:226" x14ac:dyDescent="0.25">
      <c r="A74" t="s">
        <v>569</v>
      </c>
      <c r="B74" s="62">
        <f>Inputs_Summary!AK71</f>
        <v>0</v>
      </c>
      <c r="D74">
        <f t="shared" si="377"/>
        <v>2084</v>
      </c>
      <c r="E74">
        <f t="shared" si="377"/>
        <v>89</v>
      </c>
      <c r="F74" s="8"/>
      <c r="G74" s="8"/>
      <c r="H74" s="8"/>
      <c r="I74" s="8"/>
      <c r="J74" s="92"/>
      <c r="K74" s="91"/>
      <c r="L74" s="91"/>
      <c r="N74" s="93">
        <f t="shared" si="378"/>
        <v>0.05</v>
      </c>
      <c r="O74" s="23">
        <f t="shared" si="379"/>
        <v>0</v>
      </c>
      <c r="P74" s="23">
        <f t="shared" si="380"/>
        <v>0.4</v>
      </c>
      <c r="Q74" s="4">
        <f t="shared" si="276"/>
        <v>0</v>
      </c>
      <c r="R74" s="4">
        <f t="shared" si="381"/>
        <v>0</v>
      </c>
      <c r="S74" s="4">
        <f t="shared" si="277"/>
        <v>0</v>
      </c>
      <c r="T74" s="4">
        <f t="shared" ca="1" si="278"/>
        <v>0</v>
      </c>
      <c r="V74" s="18" t="e">
        <f t="shared" ca="1" si="279"/>
        <v>#NAME?</v>
      </c>
      <c r="W74" s="18" t="e">
        <f t="shared" ca="1" si="280"/>
        <v>#NAME?</v>
      </c>
      <c r="X74" s="18">
        <f t="shared" si="281"/>
        <v>0</v>
      </c>
      <c r="Y74" s="18" t="e">
        <f t="shared" ca="1" si="282"/>
        <v>#NAME?</v>
      </c>
      <c r="Z74" s="18" t="e">
        <f t="shared" ca="1" si="283"/>
        <v>#NAME?</v>
      </c>
      <c r="AA74" s="18" t="e">
        <f t="shared" ca="1" si="284"/>
        <v>#NAME?</v>
      </c>
      <c r="AB74" s="18" t="e">
        <f t="shared" ca="1" si="285"/>
        <v>#NAME?</v>
      </c>
      <c r="AC74" s="18" t="e">
        <f t="shared" ca="1" si="286"/>
        <v>#NAME?</v>
      </c>
      <c r="AD74" s="18" t="e">
        <f t="shared" ca="1" si="287"/>
        <v>#NAME?</v>
      </c>
      <c r="AE74" s="18" t="e">
        <f t="shared" ca="1" si="288"/>
        <v>#NAME?</v>
      </c>
      <c r="AF74" s="18" t="e">
        <f t="shared" ca="1" si="289"/>
        <v>#NAME?</v>
      </c>
      <c r="AG74" s="18" t="e">
        <f t="shared" ca="1" si="290"/>
        <v>#NAME?</v>
      </c>
      <c r="AI74">
        <f>Person1!E74</f>
        <v>89</v>
      </c>
      <c r="AJ74">
        <f>Person1!AZ74</f>
        <v>3</v>
      </c>
      <c r="AK74">
        <f>IF(AZ74&lt;&gt;3,Person1!FM74,0)</f>
        <v>0</v>
      </c>
      <c r="AL74" s="4">
        <f>IF($AZ74&lt;&gt;3,Person1!FN74+Person1!FT74,0)</f>
        <v>0</v>
      </c>
      <c r="AM74">
        <f>IF($AZ74&lt;&gt;3,Person1!FO74,0)</f>
        <v>0</v>
      </c>
      <c r="AN74">
        <f>IF($AZ74&lt;&gt;3,Person1!FP74,0)</f>
        <v>0</v>
      </c>
      <c r="AO74">
        <f>IF($AZ74&lt;&gt;3,Person1!FQ74,0)</f>
        <v>0</v>
      </c>
      <c r="AP74">
        <f>IF($AZ74&lt;&gt;3,Person1!FR74,0)</f>
        <v>0</v>
      </c>
      <c r="AQ74" s="4">
        <f t="shared" si="291"/>
        <v>0</v>
      </c>
      <c r="AR74" s="4">
        <f>Person1!FS74</f>
        <v>0</v>
      </c>
      <c r="AS74" s="4">
        <f>$B$41*MAX(0,CHOOSE($AZ74,0,IF(AND(Person1!AW74&gt;=Person1!$B$36,AV74&gt;=$B$93),Person1!$B$35*(1+Person1!$B$37)^(Person1!$B$36-Person1!$B$11)*(1+Person1!$B$38)^(Person1!AW74-Person1!$B$36)-CHOOSE(Person1!$B$39+1,0,BD74,BE74,BD74+BE74),0),0,0))</f>
        <v>0</v>
      </c>
      <c r="AT74" s="4">
        <f t="shared" si="292"/>
        <v>0</v>
      </c>
      <c r="AV74">
        <f t="shared" si="382"/>
        <v>2084</v>
      </c>
      <c r="AW74">
        <f t="shared" si="382"/>
        <v>89</v>
      </c>
      <c r="AX74">
        <f t="shared" si="383"/>
        <v>3.7688730417113687</v>
      </c>
      <c r="AY74">
        <f t="shared" si="384"/>
        <v>0.26533130432696145</v>
      </c>
      <c r="AZ74">
        <f t="shared" si="385"/>
        <v>3</v>
      </c>
      <c r="BB74" s="4">
        <f t="shared" si="293"/>
        <v>0</v>
      </c>
      <c r="BC74">
        <f t="shared" si="294"/>
        <v>0</v>
      </c>
      <c r="BD74" s="4">
        <f t="shared" si="295"/>
        <v>0</v>
      </c>
      <c r="BE74" s="4">
        <f t="shared" si="386"/>
        <v>0</v>
      </c>
      <c r="BF74" s="4">
        <f t="shared" si="387"/>
        <v>0</v>
      </c>
      <c r="BG74" s="4">
        <f t="shared" si="388"/>
        <v>0</v>
      </c>
      <c r="BH74" s="4">
        <f t="shared" si="296"/>
        <v>0</v>
      </c>
      <c r="BI74" s="4">
        <f t="shared" si="389"/>
        <v>0</v>
      </c>
      <c r="BJ74" s="4"/>
      <c r="BK74" s="4">
        <f t="shared" si="297"/>
        <v>0</v>
      </c>
      <c r="BL74" s="4">
        <f t="shared" si="390"/>
        <v>0</v>
      </c>
      <c r="BM74" s="4">
        <f t="shared" si="391"/>
        <v>0</v>
      </c>
      <c r="BN74" s="4">
        <v>0</v>
      </c>
      <c r="BO74" s="4">
        <f t="shared" si="392"/>
        <v>0</v>
      </c>
      <c r="BP74" s="4">
        <f t="shared" si="393"/>
        <v>0</v>
      </c>
      <c r="BQ74" s="4"/>
      <c r="BR74" s="4">
        <v>0</v>
      </c>
      <c r="BS74" s="4" t="e">
        <f t="shared" ca="1" si="298"/>
        <v>#NAME?</v>
      </c>
      <c r="BT74" s="4">
        <f t="shared" si="299"/>
        <v>0</v>
      </c>
      <c r="BU74" s="4">
        <f t="shared" si="300"/>
        <v>0</v>
      </c>
      <c r="BV74" s="4">
        <f t="shared" si="301"/>
        <v>0</v>
      </c>
      <c r="BW74" s="4" t="e">
        <f t="shared" ca="1" si="302"/>
        <v>#NAME?</v>
      </c>
      <c r="BX74" s="4" t="e">
        <f t="shared" ca="1" si="303"/>
        <v>#NAME?</v>
      </c>
      <c r="BY74" s="4" t="e">
        <f t="shared" ca="1" si="304"/>
        <v>#NAME?</v>
      </c>
      <c r="BZ74" s="4" t="e">
        <f t="shared" ca="1" si="305"/>
        <v>#NAME?</v>
      </c>
      <c r="CA74" s="4" t="e">
        <f t="shared" ca="1" si="306"/>
        <v>#NAME?</v>
      </c>
      <c r="CB74" s="4" t="e">
        <f t="shared" ca="1" si="154"/>
        <v>#NAME?</v>
      </c>
      <c r="CC74" s="4"/>
      <c r="CD74" s="4" t="e">
        <f t="shared" ca="1" si="307"/>
        <v>#NAME?</v>
      </c>
      <c r="CE74" s="4">
        <f t="shared" si="394"/>
        <v>0</v>
      </c>
      <c r="CF74" s="16">
        <f t="shared" si="308"/>
        <v>1</v>
      </c>
      <c r="CG74" s="4">
        <f t="shared" si="309"/>
        <v>0</v>
      </c>
      <c r="CH74" s="4" t="e">
        <f t="shared" ca="1" si="310"/>
        <v>#NAME?</v>
      </c>
      <c r="CI74" s="4" t="e">
        <f t="shared" ca="1" si="311"/>
        <v>#NAME?</v>
      </c>
      <c r="CJ74" s="4" t="e">
        <f t="shared" ca="1" si="395"/>
        <v>#NAME?</v>
      </c>
      <c r="CK74" s="4" t="e">
        <f t="shared" ca="1" si="312"/>
        <v>#NAME?</v>
      </c>
      <c r="CL74" s="4" t="e">
        <f t="shared" ca="1" si="313"/>
        <v>#NAME?</v>
      </c>
      <c r="CM74" s="16"/>
      <c r="CN74" s="4">
        <f t="shared" si="314"/>
        <v>0</v>
      </c>
      <c r="CO74" s="4">
        <f t="shared" si="315"/>
        <v>0</v>
      </c>
      <c r="CP74" s="4" t="e">
        <f t="shared" ca="1" si="271"/>
        <v>#NAME?</v>
      </c>
      <c r="CQ74" s="4"/>
      <c r="CR74" s="4" t="e">
        <f t="shared" ca="1" si="316"/>
        <v>#NAME?</v>
      </c>
      <c r="CS74" s="4">
        <f t="shared" ca="1" si="317"/>
        <v>97530</v>
      </c>
      <c r="CT74" s="4">
        <f t="shared" ca="1" si="318"/>
        <v>0</v>
      </c>
      <c r="CU74" s="4"/>
      <c r="CV74" s="4" t="e">
        <f t="shared" ca="1" si="396"/>
        <v>#NAME?</v>
      </c>
      <c r="CW74" s="4">
        <f t="shared" ca="1" si="319"/>
        <v>0</v>
      </c>
      <c r="CX74" s="4">
        <f t="shared" si="320"/>
        <v>0</v>
      </c>
      <c r="CY74" s="4" t="e">
        <f t="shared" ca="1" si="397"/>
        <v>#NAME?</v>
      </c>
      <c r="CZ74" s="4"/>
      <c r="DA74" s="4" t="e">
        <f t="shared" ca="1" si="321"/>
        <v>#NAME?</v>
      </c>
      <c r="DB74" s="4">
        <f t="shared" si="322"/>
        <v>0</v>
      </c>
      <c r="DC74" s="4">
        <f t="shared" si="398"/>
        <v>0</v>
      </c>
      <c r="DD74" s="4">
        <f t="shared" si="323"/>
        <v>0</v>
      </c>
      <c r="DE74" s="4" t="e">
        <f t="shared" ca="1" si="324"/>
        <v>#NAME?</v>
      </c>
      <c r="DF74" s="4" t="e">
        <f t="shared" ca="1" si="399"/>
        <v>#NAME?</v>
      </c>
      <c r="DG74" s="4" t="e">
        <f t="shared" ca="1" si="400"/>
        <v>#NAME?</v>
      </c>
      <c r="DH74" s="4">
        <f t="shared" si="325"/>
        <v>0</v>
      </c>
      <c r="DI74" s="4"/>
      <c r="DJ74" s="4" t="e">
        <f t="shared" ca="1" si="326"/>
        <v>#NAME?</v>
      </c>
      <c r="DK74" s="4">
        <f t="shared" ca="1" si="327"/>
        <v>21000</v>
      </c>
      <c r="DL74" s="4">
        <f t="shared" ca="1" si="328"/>
        <v>21000</v>
      </c>
      <c r="DM74" s="4">
        <f t="shared" si="329"/>
        <v>0</v>
      </c>
      <c r="DN74" s="4" t="e">
        <f t="shared" ca="1" si="330"/>
        <v>#NAME?</v>
      </c>
      <c r="DO74" s="4" t="e">
        <f t="shared" ca="1" si="331"/>
        <v>#NAME?</v>
      </c>
      <c r="DP74" s="4"/>
      <c r="DQ74" s="4" t="e">
        <f t="shared" ca="1" si="332"/>
        <v>#NAME?</v>
      </c>
      <c r="DR74" s="4"/>
      <c r="DS74" s="4">
        <f t="shared" si="401"/>
        <v>0</v>
      </c>
      <c r="DT74" s="4">
        <f t="shared" si="274"/>
        <v>0</v>
      </c>
      <c r="DU74" s="4">
        <f t="shared" si="333"/>
        <v>0</v>
      </c>
      <c r="DV74" s="4"/>
      <c r="DW74" s="4" t="e">
        <f t="shared" ca="1" si="402"/>
        <v>#NAME?</v>
      </c>
      <c r="DX74" s="4" t="e">
        <f t="shared" ca="1" si="334"/>
        <v>#NAME?</v>
      </c>
      <c r="DY74" s="4">
        <f t="shared" si="403"/>
        <v>0</v>
      </c>
      <c r="DZ74" s="4" t="e">
        <f t="shared" ca="1" si="335"/>
        <v>#NAME?</v>
      </c>
      <c r="EA74" s="4" t="e">
        <f t="shared" ca="1" si="336"/>
        <v>#NAME?</v>
      </c>
      <c r="EB74" s="4" t="e">
        <f t="shared" ca="1" si="337"/>
        <v>#NAME?</v>
      </c>
      <c r="EC74" s="4">
        <f t="shared" si="338"/>
        <v>2</v>
      </c>
      <c r="ED74" s="4"/>
      <c r="EE74" s="4" t="e">
        <f t="shared" ca="1" si="404"/>
        <v>#NAME?</v>
      </c>
      <c r="EF74" s="4">
        <f t="shared" si="339"/>
        <v>0</v>
      </c>
      <c r="EG74" s="4">
        <f t="shared" si="405"/>
        <v>0</v>
      </c>
      <c r="EH74" s="4" t="e">
        <f t="shared" ca="1" si="340"/>
        <v>#NAME?</v>
      </c>
      <c r="EI74" s="4" t="e">
        <f t="shared" ca="1" si="341"/>
        <v>#NAME?</v>
      </c>
      <c r="EJ74" s="4" t="e">
        <f t="shared" ca="1" si="342"/>
        <v>#NAME?</v>
      </c>
      <c r="EK74" s="4">
        <f t="shared" si="343"/>
        <v>2</v>
      </c>
      <c r="EL74" s="4">
        <f t="shared" si="344"/>
        <v>0</v>
      </c>
      <c r="EM74" s="4"/>
      <c r="EN74" s="4" t="e">
        <f t="shared" ca="1" si="406"/>
        <v>#NAME?</v>
      </c>
      <c r="EO74" s="4" t="e">
        <f t="shared" ca="1" si="345"/>
        <v>#NAME?</v>
      </c>
      <c r="EP74" s="4">
        <f t="shared" si="407"/>
        <v>0</v>
      </c>
      <c r="EQ74" s="4" t="e">
        <f t="shared" ca="1" si="346"/>
        <v>#NAME?</v>
      </c>
      <c r="ER74" s="4">
        <v>0</v>
      </c>
      <c r="ES74" s="4" t="e">
        <f t="shared" ca="1" si="419"/>
        <v>#NAME?</v>
      </c>
      <c r="ET74" s="4"/>
      <c r="EU74" s="4" t="e">
        <f t="shared" ca="1" si="408"/>
        <v>#NAME?</v>
      </c>
      <c r="EV74" s="4" t="e">
        <f t="shared" ca="1" si="347"/>
        <v>#NAME?</v>
      </c>
      <c r="EW74" s="4">
        <f t="shared" si="409"/>
        <v>0</v>
      </c>
      <c r="EX74" s="4" t="e">
        <f t="shared" ca="1" si="348"/>
        <v>#NAME?</v>
      </c>
      <c r="EY74" s="4">
        <v>0</v>
      </c>
      <c r="EZ74" s="4" t="e">
        <f t="shared" ca="1" si="420"/>
        <v>#NAME?</v>
      </c>
      <c r="FA74" s="4" t="e">
        <f t="shared" ca="1" si="410"/>
        <v>#NAME?</v>
      </c>
      <c r="FB74" s="1" t="e">
        <f t="shared" ca="1" si="349"/>
        <v>#NAME?</v>
      </c>
      <c r="FC74" s="4">
        <f t="shared" si="411"/>
        <v>0</v>
      </c>
      <c r="FD74" s="4">
        <f t="shared" si="412"/>
        <v>0</v>
      </c>
      <c r="FE74" s="4">
        <f t="shared" si="350"/>
        <v>0</v>
      </c>
      <c r="FF74" s="4">
        <f t="shared" si="351"/>
        <v>0</v>
      </c>
      <c r="FG74" s="4">
        <f t="shared" ca="1" si="352"/>
        <v>0</v>
      </c>
      <c r="FH74" s="17" t="e">
        <f t="shared" ca="1" si="353"/>
        <v>#NAME?</v>
      </c>
      <c r="FI74" s="4" t="e">
        <f t="shared" ca="1" si="354"/>
        <v>#NAME?</v>
      </c>
      <c r="FJ74" s="4"/>
      <c r="FK74" s="4" t="e">
        <f t="shared" ca="1" si="355"/>
        <v>#NAME?</v>
      </c>
      <c r="FL74" s="4"/>
      <c r="FM74" s="4">
        <v>0</v>
      </c>
      <c r="FN74" s="4">
        <v>0</v>
      </c>
      <c r="FO74" s="4">
        <v>0</v>
      </c>
      <c r="FP74" s="4">
        <v>0</v>
      </c>
      <c r="FQ74" s="4">
        <v>0</v>
      </c>
      <c r="FR74" s="4">
        <v>0</v>
      </c>
      <c r="FS74" s="4">
        <f t="shared" si="356"/>
        <v>0</v>
      </c>
      <c r="FT74" s="4">
        <f t="shared" si="357"/>
        <v>0</v>
      </c>
      <c r="FU74" s="4"/>
      <c r="FV74" s="3">
        <f t="shared" si="358"/>
        <v>0</v>
      </c>
      <c r="FW74" s="3">
        <f t="shared" si="359"/>
        <v>0</v>
      </c>
      <c r="FX74" s="4">
        <f t="shared" si="413"/>
        <v>2084</v>
      </c>
      <c r="FY74" s="4">
        <f t="shared" si="360"/>
        <v>0</v>
      </c>
      <c r="FZ74" s="4">
        <f t="shared" si="361"/>
        <v>0</v>
      </c>
      <c r="GA74" s="4">
        <f t="shared" si="362"/>
        <v>0</v>
      </c>
      <c r="GB74" s="4">
        <f t="shared" si="363"/>
        <v>0</v>
      </c>
      <c r="GC74" s="4" t="e">
        <f t="shared" ca="1" si="364"/>
        <v>#NAME?</v>
      </c>
      <c r="GD74" s="4" t="e">
        <f t="shared" ca="1" si="365"/>
        <v>#NAME?</v>
      </c>
      <c r="GE74" s="4" t="e">
        <f t="shared" ca="1" si="366"/>
        <v>#NAME?</v>
      </c>
      <c r="GF74" s="4" t="e">
        <f t="shared" ca="1" si="367"/>
        <v>#NAME?</v>
      </c>
      <c r="GG74" s="18" t="e">
        <f t="shared" ca="1" si="368"/>
        <v>#NAME?</v>
      </c>
      <c r="GH74" s="18" t="e">
        <f t="shared" ca="1" si="369"/>
        <v>#NAME?</v>
      </c>
      <c r="GI74" s="4"/>
      <c r="GJ74" s="4">
        <f t="shared" si="421"/>
        <v>2084</v>
      </c>
      <c r="GK74" s="4" t="e">
        <f t="shared" ca="1" si="370"/>
        <v>#NAME?</v>
      </c>
      <c r="GL74" s="4" t="e">
        <f t="shared" ca="1" si="371"/>
        <v>#NAME?</v>
      </c>
      <c r="GM74" s="4" t="e">
        <f t="shared" ca="1" si="372"/>
        <v>#NAME?</v>
      </c>
      <c r="GN74" s="4" t="e">
        <f t="shared" ca="1" si="373"/>
        <v>#NAME?</v>
      </c>
      <c r="GO74" s="4"/>
      <c r="GP74" s="3" t="e">
        <f t="shared" ca="1" si="414"/>
        <v>#NAME?</v>
      </c>
      <c r="GQ74" s="3" t="e">
        <f t="shared" ca="1" si="374"/>
        <v>#NAME?</v>
      </c>
      <c r="GR74" s="3" t="e">
        <f t="shared" ca="1" si="375"/>
        <v>#NAME?</v>
      </c>
      <c r="GS74" s="3" t="e">
        <f t="shared" ca="1" si="376"/>
        <v>#NAME?</v>
      </c>
      <c r="GT74" s="3" t="e">
        <f t="array" aca="1" ref="GT74" ca="1">SUM(GP74:GS74*$GU$6:$GX$6)</f>
        <v>#NAME?</v>
      </c>
      <c r="GU74" s="3" t="e">
        <f t="shared" ca="1" si="415"/>
        <v>#NAME?</v>
      </c>
      <c r="GV74" s="3" t="e">
        <f t="shared" ca="1" si="416"/>
        <v>#NAME?</v>
      </c>
      <c r="GW74" s="3" t="e">
        <f t="shared" ca="1" si="417"/>
        <v>#NAME?</v>
      </c>
      <c r="GX74" s="3" t="e">
        <f t="shared" ca="1" si="418"/>
        <v>#NAME?</v>
      </c>
      <c r="GY74" s="11"/>
      <c r="HJ74">
        <f t="shared" si="422"/>
        <v>2077</v>
      </c>
      <c r="HK74" s="28">
        <f t="shared" si="163"/>
        <v>84900</v>
      </c>
      <c r="HL74" s="27">
        <f t="shared" si="155"/>
        <v>18500</v>
      </c>
      <c r="HM74" s="28">
        <f t="shared" si="156"/>
        <v>18406.582722729974</v>
      </c>
    </row>
    <row r="75" spans="1:226" x14ac:dyDescent="0.25">
      <c r="A75" t="s">
        <v>568</v>
      </c>
      <c r="B75" s="62" t="str">
        <f>Inputs_Summary!AK72</f>
        <v>35148 (22.7%)</v>
      </c>
      <c r="D75">
        <f t="shared" si="377"/>
        <v>2085</v>
      </c>
      <c r="E75">
        <f t="shared" si="377"/>
        <v>90</v>
      </c>
      <c r="F75" s="8"/>
      <c r="G75" s="8"/>
      <c r="H75" s="8"/>
      <c r="I75" s="8"/>
      <c r="J75" s="92"/>
      <c r="K75" s="91"/>
      <c r="L75" s="91"/>
      <c r="N75" s="93">
        <f t="shared" si="378"/>
        <v>0.05</v>
      </c>
      <c r="O75" s="23">
        <f t="shared" si="379"/>
        <v>0</v>
      </c>
      <c r="P75" s="23">
        <f t="shared" si="380"/>
        <v>0.4</v>
      </c>
      <c r="Q75" s="4">
        <f t="shared" si="276"/>
        <v>0</v>
      </c>
      <c r="R75" s="4">
        <f t="shared" si="381"/>
        <v>0</v>
      </c>
      <c r="S75" s="4">
        <f t="shared" si="277"/>
        <v>0</v>
      </c>
      <c r="T75" s="4">
        <f t="shared" ca="1" si="278"/>
        <v>0</v>
      </c>
      <c r="V75" s="18" t="e">
        <f t="shared" ca="1" si="279"/>
        <v>#NAME?</v>
      </c>
      <c r="W75" s="18" t="e">
        <f t="shared" ca="1" si="280"/>
        <v>#NAME?</v>
      </c>
      <c r="X75" s="18">
        <f t="shared" si="281"/>
        <v>0</v>
      </c>
      <c r="Y75" s="18" t="e">
        <f t="shared" ca="1" si="282"/>
        <v>#NAME?</v>
      </c>
      <c r="Z75" s="18" t="e">
        <f t="shared" ca="1" si="283"/>
        <v>#NAME?</v>
      </c>
      <c r="AA75" s="18" t="e">
        <f t="shared" ca="1" si="284"/>
        <v>#NAME?</v>
      </c>
      <c r="AB75" s="18" t="e">
        <f t="shared" ca="1" si="285"/>
        <v>#NAME?</v>
      </c>
      <c r="AC75" s="18" t="e">
        <f t="shared" ca="1" si="286"/>
        <v>#NAME?</v>
      </c>
      <c r="AD75" s="18" t="e">
        <f t="shared" ca="1" si="287"/>
        <v>#NAME?</v>
      </c>
      <c r="AE75" s="18" t="e">
        <f t="shared" ca="1" si="288"/>
        <v>#NAME?</v>
      </c>
      <c r="AF75" s="18" t="e">
        <f t="shared" ca="1" si="289"/>
        <v>#NAME?</v>
      </c>
      <c r="AG75" s="18" t="e">
        <f t="shared" ca="1" si="290"/>
        <v>#NAME?</v>
      </c>
      <c r="AI75">
        <f>Person1!E75</f>
        <v>90</v>
      </c>
      <c r="AJ75">
        <f>Person1!AZ75</f>
        <v>3</v>
      </c>
      <c r="AK75">
        <f>IF(AZ75&lt;&gt;3,Person1!FM75,0)</f>
        <v>0</v>
      </c>
      <c r="AL75" s="4">
        <f>IF($AZ75&lt;&gt;3,Person1!FN75+Person1!FT75,0)</f>
        <v>0</v>
      </c>
      <c r="AM75">
        <f>IF($AZ75&lt;&gt;3,Person1!FO75,0)</f>
        <v>0</v>
      </c>
      <c r="AN75">
        <f>IF($AZ75&lt;&gt;3,Person1!FP75,0)</f>
        <v>0</v>
      </c>
      <c r="AO75">
        <f>IF($AZ75&lt;&gt;3,Person1!FQ75,0)</f>
        <v>0</v>
      </c>
      <c r="AP75">
        <f>IF($AZ75&lt;&gt;3,Person1!FR75,0)</f>
        <v>0</v>
      </c>
      <c r="AQ75" s="4">
        <f t="shared" si="291"/>
        <v>0</v>
      </c>
      <c r="AR75" s="4">
        <f>Person1!FS75</f>
        <v>0</v>
      </c>
      <c r="AS75" s="4">
        <f>$B$41*MAX(0,CHOOSE($AZ75,0,IF(AND(Person1!AW75&gt;=Person1!$B$36,AV75&gt;=$B$93),Person1!$B$35*(1+Person1!$B$37)^(Person1!$B$36-Person1!$B$11)*(1+Person1!$B$38)^(Person1!AW75-Person1!$B$36)-CHOOSE(Person1!$B$39+1,0,BD75,BE75,BD75+BE75),0),0,0))</f>
        <v>0</v>
      </c>
      <c r="AT75" s="4">
        <f t="shared" si="292"/>
        <v>0</v>
      </c>
      <c r="AV75">
        <f t="shared" si="382"/>
        <v>2085</v>
      </c>
      <c r="AW75">
        <f t="shared" si="382"/>
        <v>90</v>
      </c>
      <c r="AX75">
        <f t="shared" si="383"/>
        <v>3.844250502545596</v>
      </c>
      <c r="AY75">
        <f t="shared" si="384"/>
        <v>0.26012872973231516</v>
      </c>
      <c r="AZ75">
        <f t="shared" si="385"/>
        <v>3</v>
      </c>
      <c r="BB75" s="4">
        <f t="shared" si="293"/>
        <v>0</v>
      </c>
      <c r="BC75">
        <f t="shared" si="294"/>
        <v>0</v>
      </c>
      <c r="BD75" s="4">
        <f t="shared" si="295"/>
        <v>0</v>
      </c>
      <c r="BE75" s="4">
        <f t="shared" si="386"/>
        <v>0</v>
      </c>
      <c r="BF75" s="4">
        <f t="shared" si="387"/>
        <v>0</v>
      </c>
      <c r="BG75" s="4">
        <f t="shared" si="388"/>
        <v>0</v>
      </c>
      <c r="BH75" s="4">
        <f t="shared" si="296"/>
        <v>0</v>
      </c>
      <c r="BI75" s="4">
        <f t="shared" si="389"/>
        <v>0</v>
      </c>
      <c r="BJ75" s="4"/>
      <c r="BK75" s="4">
        <f t="shared" si="297"/>
        <v>0</v>
      </c>
      <c r="BL75" s="4">
        <f t="shared" si="390"/>
        <v>0</v>
      </c>
      <c r="BM75" s="4">
        <f t="shared" si="391"/>
        <v>0</v>
      </c>
      <c r="BN75" s="4">
        <v>0</v>
      </c>
      <c r="BO75" s="4">
        <f t="shared" si="392"/>
        <v>0</v>
      </c>
      <c r="BP75" s="4">
        <f t="shared" si="393"/>
        <v>0</v>
      </c>
      <c r="BQ75" s="4"/>
      <c r="BR75" s="4">
        <v>0</v>
      </c>
      <c r="BS75" s="4" t="e">
        <f t="shared" ca="1" si="298"/>
        <v>#NAME?</v>
      </c>
      <c r="BT75" s="4">
        <f t="shared" si="299"/>
        <v>0</v>
      </c>
      <c r="BU75" s="4">
        <f t="shared" si="300"/>
        <v>0</v>
      </c>
      <c r="BV75" s="4">
        <f t="shared" si="301"/>
        <v>0</v>
      </c>
      <c r="BW75" s="4" t="e">
        <f t="shared" ca="1" si="302"/>
        <v>#NAME?</v>
      </c>
      <c r="BX75" s="4" t="e">
        <f t="shared" ca="1" si="303"/>
        <v>#NAME?</v>
      </c>
      <c r="BY75" s="4" t="e">
        <f t="shared" ca="1" si="304"/>
        <v>#NAME?</v>
      </c>
      <c r="BZ75" s="4" t="e">
        <f t="shared" ca="1" si="305"/>
        <v>#NAME?</v>
      </c>
      <c r="CA75" s="4" t="e">
        <f t="shared" ca="1" si="306"/>
        <v>#NAME?</v>
      </c>
      <c r="CB75" s="4" t="e">
        <f t="shared" ca="1" si="154"/>
        <v>#NAME?</v>
      </c>
      <c r="CC75" s="4"/>
      <c r="CD75" s="4" t="e">
        <f t="shared" ca="1" si="307"/>
        <v>#NAME?</v>
      </c>
      <c r="CE75" s="4">
        <f t="shared" si="394"/>
        <v>0</v>
      </c>
      <c r="CF75" s="16">
        <f t="shared" si="308"/>
        <v>1</v>
      </c>
      <c r="CG75" s="4">
        <f t="shared" si="309"/>
        <v>0</v>
      </c>
      <c r="CH75" s="4" t="e">
        <f t="shared" ca="1" si="310"/>
        <v>#NAME?</v>
      </c>
      <c r="CI75" s="4" t="e">
        <f t="shared" ca="1" si="311"/>
        <v>#NAME?</v>
      </c>
      <c r="CJ75" s="4" t="e">
        <f t="shared" ca="1" si="395"/>
        <v>#NAME?</v>
      </c>
      <c r="CK75" s="4" t="e">
        <f t="shared" ca="1" si="312"/>
        <v>#NAME?</v>
      </c>
      <c r="CL75" s="4" t="e">
        <f t="shared" ca="1" si="313"/>
        <v>#NAME?</v>
      </c>
      <c r="CM75" s="16"/>
      <c r="CN75" s="4">
        <f t="shared" si="314"/>
        <v>0</v>
      </c>
      <c r="CO75" s="4">
        <f t="shared" si="315"/>
        <v>0</v>
      </c>
      <c r="CP75" s="4" t="e">
        <f t="shared" ca="1" si="271"/>
        <v>#NAME?</v>
      </c>
      <c r="CQ75" s="4"/>
      <c r="CR75" s="4" t="e">
        <f t="shared" ca="1" si="316"/>
        <v>#NAME?</v>
      </c>
      <c r="CS75" s="4">
        <f t="shared" ca="1" si="317"/>
        <v>99480</v>
      </c>
      <c r="CT75" s="4">
        <f t="shared" ca="1" si="318"/>
        <v>0</v>
      </c>
      <c r="CU75" s="4"/>
      <c r="CV75" s="4" t="e">
        <f t="shared" ca="1" si="396"/>
        <v>#NAME?</v>
      </c>
      <c r="CW75" s="4">
        <f t="shared" ca="1" si="319"/>
        <v>0</v>
      </c>
      <c r="CX75" s="4">
        <f t="shared" si="320"/>
        <v>0</v>
      </c>
      <c r="CY75" s="4" t="e">
        <f t="shared" ca="1" si="397"/>
        <v>#NAME?</v>
      </c>
      <c r="CZ75" s="4"/>
      <c r="DA75" s="4" t="e">
        <f t="shared" ca="1" si="321"/>
        <v>#NAME?</v>
      </c>
      <c r="DB75" s="4">
        <f t="shared" si="322"/>
        <v>0</v>
      </c>
      <c r="DC75" s="4">
        <f t="shared" si="398"/>
        <v>0</v>
      </c>
      <c r="DD75" s="4">
        <f t="shared" si="323"/>
        <v>0</v>
      </c>
      <c r="DE75" s="4" t="e">
        <f t="shared" ca="1" si="324"/>
        <v>#NAME?</v>
      </c>
      <c r="DF75" s="4" t="e">
        <f t="shared" ca="1" si="399"/>
        <v>#NAME?</v>
      </c>
      <c r="DG75" s="4" t="e">
        <f t="shared" ca="1" si="400"/>
        <v>#NAME?</v>
      </c>
      <c r="DH75" s="4">
        <f t="shared" si="325"/>
        <v>0</v>
      </c>
      <c r="DI75" s="4"/>
      <c r="DJ75" s="4" t="e">
        <f t="shared" ca="1" si="326"/>
        <v>#NAME?</v>
      </c>
      <c r="DK75" s="4">
        <f t="shared" ca="1" si="327"/>
        <v>21500</v>
      </c>
      <c r="DL75" s="4">
        <f t="shared" ca="1" si="328"/>
        <v>21500</v>
      </c>
      <c r="DM75" s="4">
        <f t="shared" si="329"/>
        <v>0</v>
      </c>
      <c r="DN75" s="4" t="e">
        <f t="shared" ca="1" si="330"/>
        <v>#NAME?</v>
      </c>
      <c r="DO75" s="4" t="e">
        <f t="shared" ca="1" si="331"/>
        <v>#NAME?</v>
      </c>
      <c r="DP75" s="4"/>
      <c r="DQ75" s="4" t="e">
        <f t="shared" ca="1" si="332"/>
        <v>#NAME?</v>
      </c>
      <c r="DR75" s="4"/>
      <c r="DS75" s="4">
        <f t="shared" si="401"/>
        <v>0</v>
      </c>
      <c r="DT75" s="4">
        <f t="shared" si="274"/>
        <v>0</v>
      </c>
      <c r="DU75" s="4">
        <f t="shared" si="333"/>
        <v>0</v>
      </c>
      <c r="DV75" s="4"/>
      <c r="DW75" s="4" t="e">
        <f t="shared" ca="1" si="402"/>
        <v>#NAME?</v>
      </c>
      <c r="DX75" s="4" t="e">
        <f t="shared" ca="1" si="334"/>
        <v>#NAME?</v>
      </c>
      <c r="DY75" s="4">
        <f t="shared" si="403"/>
        <v>0</v>
      </c>
      <c r="DZ75" s="4" t="e">
        <f t="shared" ca="1" si="335"/>
        <v>#NAME?</v>
      </c>
      <c r="EA75" s="4" t="e">
        <f t="shared" ca="1" si="336"/>
        <v>#NAME?</v>
      </c>
      <c r="EB75" s="4" t="e">
        <f t="shared" ca="1" si="337"/>
        <v>#NAME?</v>
      </c>
      <c r="EC75" s="4">
        <f t="shared" si="338"/>
        <v>2</v>
      </c>
      <c r="ED75" s="4"/>
      <c r="EE75" s="4" t="e">
        <f t="shared" ca="1" si="404"/>
        <v>#NAME?</v>
      </c>
      <c r="EF75" s="4">
        <f t="shared" si="339"/>
        <v>0</v>
      </c>
      <c r="EG75" s="4">
        <f t="shared" si="405"/>
        <v>0</v>
      </c>
      <c r="EH75" s="4" t="e">
        <f t="shared" ca="1" si="340"/>
        <v>#NAME?</v>
      </c>
      <c r="EI75" s="4" t="e">
        <f t="shared" ca="1" si="341"/>
        <v>#NAME?</v>
      </c>
      <c r="EJ75" s="4" t="e">
        <f t="shared" ca="1" si="342"/>
        <v>#NAME?</v>
      </c>
      <c r="EK75" s="4">
        <f t="shared" si="343"/>
        <v>2</v>
      </c>
      <c r="EL75" s="4">
        <f t="shared" si="344"/>
        <v>0</v>
      </c>
      <c r="EM75" s="4"/>
      <c r="EN75" s="4" t="e">
        <f t="shared" ca="1" si="406"/>
        <v>#NAME?</v>
      </c>
      <c r="EO75" s="4" t="e">
        <f t="shared" ca="1" si="345"/>
        <v>#NAME?</v>
      </c>
      <c r="EP75" s="4">
        <f t="shared" si="407"/>
        <v>0</v>
      </c>
      <c r="EQ75" s="4" t="e">
        <f t="shared" ca="1" si="346"/>
        <v>#NAME?</v>
      </c>
      <c r="ER75" s="4">
        <v>0</v>
      </c>
      <c r="ES75" s="4" t="e">
        <f t="shared" ca="1" si="419"/>
        <v>#NAME?</v>
      </c>
      <c r="ET75" s="4"/>
      <c r="EU75" s="4" t="e">
        <f t="shared" ca="1" si="408"/>
        <v>#NAME?</v>
      </c>
      <c r="EV75" s="4" t="e">
        <f t="shared" ca="1" si="347"/>
        <v>#NAME?</v>
      </c>
      <c r="EW75" s="4">
        <f t="shared" si="409"/>
        <v>0</v>
      </c>
      <c r="EX75" s="4" t="e">
        <f t="shared" ca="1" si="348"/>
        <v>#NAME?</v>
      </c>
      <c r="EY75" s="4">
        <v>0</v>
      </c>
      <c r="EZ75" s="4" t="e">
        <f t="shared" ca="1" si="420"/>
        <v>#NAME?</v>
      </c>
      <c r="FA75" s="4" t="e">
        <f t="shared" ca="1" si="410"/>
        <v>#NAME?</v>
      </c>
      <c r="FB75" s="1" t="e">
        <f t="shared" ca="1" si="349"/>
        <v>#NAME?</v>
      </c>
      <c r="FC75" s="4">
        <f t="shared" si="411"/>
        <v>0</v>
      </c>
      <c r="FD75" s="4">
        <f t="shared" si="412"/>
        <v>0</v>
      </c>
      <c r="FE75" s="4">
        <f t="shared" si="350"/>
        <v>0</v>
      </c>
      <c r="FF75" s="4">
        <f t="shared" si="351"/>
        <v>0</v>
      </c>
      <c r="FG75" s="4">
        <f t="shared" ca="1" si="352"/>
        <v>0</v>
      </c>
      <c r="FH75" s="17" t="e">
        <f t="shared" ca="1" si="353"/>
        <v>#NAME?</v>
      </c>
      <c r="FI75" s="4" t="e">
        <f t="shared" ca="1" si="354"/>
        <v>#NAME?</v>
      </c>
      <c r="FJ75" s="4"/>
      <c r="FK75" s="4" t="e">
        <f t="shared" ca="1" si="355"/>
        <v>#NAME?</v>
      </c>
      <c r="FL75" s="4"/>
      <c r="FM75" s="4">
        <v>0</v>
      </c>
      <c r="FN75" s="4">
        <v>0</v>
      </c>
      <c r="FO75" s="4">
        <v>0</v>
      </c>
      <c r="FP75" s="4">
        <v>0</v>
      </c>
      <c r="FQ75" s="4">
        <v>0</v>
      </c>
      <c r="FR75" s="4">
        <v>0</v>
      </c>
      <c r="FS75" s="4">
        <f t="shared" si="356"/>
        <v>0</v>
      </c>
      <c r="FT75" s="4">
        <f t="shared" si="357"/>
        <v>0</v>
      </c>
      <c r="FU75" s="4"/>
      <c r="FV75" s="3">
        <f t="shared" si="358"/>
        <v>0</v>
      </c>
      <c r="FW75" s="3">
        <f t="shared" si="359"/>
        <v>0</v>
      </c>
      <c r="FX75" s="4">
        <f t="shared" si="413"/>
        <v>2085</v>
      </c>
      <c r="FY75" s="4">
        <f t="shared" si="360"/>
        <v>0</v>
      </c>
      <c r="FZ75" s="4">
        <f t="shared" si="361"/>
        <v>0</v>
      </c>
      <c r="GA75" s="4">
        <f t="shared" si="362"/>
        <v>0</v>
      </c>
      <c r="GB75" s="4">
        <f t="shared" si="363"/>
        <v>0</v>
      </c>
      <c r="GC75" s="4" t="e">
        <f t="shared" ca="1" si="364"/>
        <v>#NAME?</v>
      </c>
      <c r="GD75" s="4" t="e">
        <f t="shared" ca="1" si="365"/>
        <v>#NAME?</v>
      </c>
      <c r="GE75" s="4" t="e">
        <f t="shared" ca="1" si="366"/>
        <v>#NAME?</v>
      </c>
      <c r="GF75" s="4" t="e">
        <f t="shared" ca="1" si="367"/>
        <v>#NAME?</v>
      </c>
      <c r="GG75" s="18" t="e">
        <f t="shared" ca="1" si="368"/>
        <v>#NAME?</v>
      </c>
      <c r="GH75" s="18" t="e">
        <f t="shared" ca="1" si="369"/>
        <v>#NAME?</v>
      </c>
      <c r="GI75" s="4"/>
      <c r="GJ75" s="4">
        <f t="shared" si="421"/>
        <v>2085</v>
      </c>
      <c r="GK75" s="4" t="e">
        <f t="shared" ca="1" si="370"/>
        <v>#NAME?</v>
      </c>
      <c r="GL75" s="4" t="e">
        <f t="shared" ca="1" si="371"/>
        <v>#NAME?</v>
      </c>
      <c r="GM75" s="4" t="e">
        <f t="shared" ca="1" si="372"/>
        <v>#NAME?</v>
      </c>
      <c r="GN75" s="4" t="e">
        <f t="shared" ca="1" si="373"/>
        <v>#NAME?</v>
      </c>
      <c r="GO75" s="4"/>
      <c r="GP75" s="3" t="e">
        <f t="shared" ca="1" si="414"/>
        <v>#NAME?</v>
      </c>
      <c r="GQ75" s="3" t="e">
        <f t="shared" ca="1" si="374"/>
        <v>#NAME?</v>
      </c>
      <c r="GR75" s="3" t="e">
        <f t="shared" ca="1" si="375"/>
        <v>#NAME?</v>
      </c>
      <c r="GS75" s="3" t="e">
        <f t="shared" ca="1" si="376"/>
        <v>#NAME?</v>
      </c>
      <c r="GT75" s="3" t="e">
        <f t="array" aca="1" ref="GT75" ca="1">SUM(GP75:GS75*$GU$6:$GX$6)</f>
        <v>#NAME?</v>
      </c>
      <c r="GU75" s="3" t="e">
        <f t="shared" ca="1" si="415"/>
        <v>#NAME?</v>
      </c>
      <c r="GV75" s="3" t="e">
        <f t="shared" ca="1" si="416"/>
        <v>#NAME?</v>
      </c>
      <c r="GW75" s="3" t="e">
        <f t="shared" ca="1" si="417"/>
        <v>#NAME?</v>
      </c>
      <c r="GX75" s="3" t="e">
        <f t="shared" ca="1" si="418"/>
        <v>#NAME?</v>
      </c>
      <c r="GY75" s="11"/>
      <c r="HJ75">
        <f t="shared" si="422"/>
        <v>2078</v>
      </c>
      <c r="HK75" s="28">
        <f t="shared" si="163"/>
        <v>86600</v>
      </c>
      <c r="HL75" s="27">
        <f t="shared" si="155"/>
        <v>19000</v>
      </c>
      <c r="HM75" s="28">
        <f t="shared" si="156"/>
        <v>18774.714377184573</v>
      </c>
    </row>
    <row r="76" spans="1:226" x14ac:dyDescent="0.25">
      <c r="D76">
        <f t="shared" si="377"/>
        <v>2086</v>
      </c>
      <c r="E76">
        <f t="shared" si="377"/>
        <v>91</v>
      </c>
      <c r="F76" s="8"/>
      <c r="G76" s="8"/>
      <c r="H76" s="8"/>
      <c r="I76" s="8"/>
      <c r="J76" s="92"/>
      <c r="K76" s="91"/>
      <c r="L76" s="91"/>
      <c r="N76" s="93">
        <f t="shared" si="378"/>
        <v>0.05</v>
      </c>
      <c r="O76" s="23">
        <f t="shared" si="379"/>
        <v>0</v>
      </c>
      <c r="P76" s="23">
        <f t="shared" si="380"/>
        <v>0.4</v>
      </c>
      <c r="Q76" s="4">
        <f t="shared" si="276"/>
        <v>0</v>
      </c>
      <c r="R76" s="4">
        <f t="shared" si="381"/>
        <v>0</v>
      </c>
      <c r="S76" s="4">
        <f t="shared" si="277"/>
        <v>0</v>
      </c>
      <c r="T76" s="4">
        <f t="shared" ca="1" si="278"/>
        <v>0</v>
      </c>
      <c r="V76" s="18" t="e">
        <f t="shared" ca="1" si="279"/>
        <v>#NAME?</v>
      </c>
      <c r="W76" s="18" t="e">
        <f t="shared" ca="1" si="280"/>
        <v>#NAME?</v>
      </c>
      <c r="X76" s="18">
        <f t="shared" si="281"/>
        <v>0</v>
      </c>
      <c r="Y76" s="18" t="e">
        <f t="shared" ca="1" si="282"/>
        <v>#NAME?</v>
      </c>
      <c r="Z76" s="18" t="e">
        <f t="shared" ca="1" si="283"/>
        <v>#NAME?</v>
      </c>
      <c r="AA76" s="18" t="e">
        <f t="shared" ca="1" si="284"/>
        <v>#NAME?</v>
      </c>
      <c r="AB76" s="18" t="e">
        <f t="shared" ca="1" si="285"/>
        <v>#NAME?</v>
      </c>
      <c r="AC76" s="18" t="e">
        <f t="shared" ca="1" si="286"/>
        <v>#NAME?</v>
      </c>
      <c r="AD76" s="18" t="e">
        <f t="shared" ca="1" si="287"/>
        <v>#NAME?</v>
      </c>
      <c r="AE76" s="18" t="e">
        <f t="shared" ca="1" si="288"/>
        <v>#NAME?</v>
      </c>
      <c r="AF76" s="18" t="e">
        <f t="shared" ca="1" si="289"/>
        <v>#NAME?</v>
      </c>
      <c r="AG76" s="18" t="e">
        <f t="shared" ca="1" si="290"/>
        <v>#NAME?</v>
      </c>
      <c r="AI76">
        <f>Person1!E76</f>
        <v>91</v>
      </c>
      <c r="AJ76">
        <f>Person1!AZ76</f>
        <v>3</v>
      </c>
      <c r="AK76">
        <f>IF(AZ76&lt;&gt;3,Person1!FM76,0)</f>
        <v>0</v>
      </c>
      <c r="AL76" s="4">
        <f>IF($AZ76&lt;&gt;3,Person1!FN76+Person1!FT76,0)</f>
        <v>0</v>
      </c>
      <c r="AM76">
        <f>IF($AZ76&lt;&gt;3,Person1!FO76,0)</f>
        <v>0</v>
      </c>
      <c r="AN76">
        <f>IF($AZ76&lt;&gt;3,Person1!FP76,0)</f>
        <v>0</v>
      </c>
      <c r="AO76">
        <f>IF($AZ76&lt;&gt;3,Person1!FQ76,0)</f>
        <v>0</v>
      </c>
      <c r="AP76">
        <f>IF($AZ76&lt;&gt;3,Person1!FR76,0)</f>
        <v>0</v>
      </c>
      <c r="AQ76" s="4">
        <f t="shared" si="291"/>
        <v>0</v>
      </c>
      <c r="AR76" s="4">
        <f>Person1!FS76</f>
        <v>0</v>
      </c>
      <c r="AS76" s="4">
        <f>$B$41*MAX(0,CHOOSE($AZ76,0,IF(AND(Person1!AW76&gt;=Person1!$B$36,AV76&gt;=$B$93),Person1!$B$35*(1+Person1!$B$37)^(Person1!$B$36-Person1!$B$11)*(1+Person1!$B$38)^(Person1!AW76-Person1!$B$36)-CHOOSE(Person1!$B$39+1,0,BD76,BE76,BD76+BE76),0),0,0))</f>
        <v>0</v>
      </c>
      <c r="AT76" s="4">
        <f t="shared" si="292"/>
        <v>0</v>
      </c>
      <c r="AV76">
        <f t="shared" si="382"/>
        <v>2086</v>
      </c>
      <c r="AW76">
        <f t="shared" si="382"/>
        <v>91</v>
      </c>
      <c r="AX76">
        <f t="shared" si="383"/>
        <v>3.9211355125965079</v>
      </c>
      <c r="AY76">
        <f t="shared" si="384"/>
        <v>0.25502816640423054</v>
      </c>
      <c r="AZ76">
        <f t="shared" si="385"/>
        <v>3</v>
      </c>
      <c r="BB76" s="4">
        <f t="shared" si="293"/>
        <v>0</v>
      </c>
      <c r="BC76">
        <f t="shared" si="294"/>
        <v>0</v>
      </c>
      <c r="BD76" s="4">
        <f t="shared" si="295"/>
        <v>0</v>
      </c>
      <c r="BE76" s="4">
        <f t="shared" si="386"/>
        <v>0</v>
      </c>
      <c r="BF76" s="4">
        <f t="shared" si="387"/>
        <v>0</v>
      </c>
      <c r="BG76" s="4">
        <f t="shared" si="388"/>
        <v>0</v>
      </c>
      <c r="BH76" s="4">
        <f t="shared" si="296"/>
        <v>0</v>
      </c>
      <c r="BI76" s="4">
        <f t="shared" si="389"/>
        <v>0</v>
      </c>
      <c r="BJ76" s="4"/>
      <c r="BK76" s="4">
        <f t="shared" si="297"/>
        <v>0</v>
      </c>
      <c r="BL76" s="4">
        <f t="shared" si="390"/>
        <v>0</v>
      </c>
      <c r="BM76" s="4">
        <f t="shared" si="391"/>
        <v>0</v>
      </c>
      <c r="BN76" s="4">
        <v>0</v>
      </c>
      <c r="BO76" s="4">
        <f t="shared" si="392"/>
        <v>0</v>
      </c>
      <c r="BP76" s="4">
        <f t="shared" si="393"/>
        <v>0</v>
      </c>
      <c r="BQ76" s="4"/>
      <c r="BR76" s="4">
        <v>0</v>
      </c>
      <c r="BS76" s="4" t="e">
        <f t="shared" ca="1" si="298"/>
        <v>#NAME?</v>
      </c>
      <c r="BT76" s="4">
        <f t="shared" si="299"/>
        <v>0</v>
      </c>
      <c r="BU76" s="4">
        <f t="shared" si="300"/>
        <v>0</v>
      </c>
      <c r="BV76" s="4">
        <f t="shared" si="301"/>
        <v>0</v>
      </c>
      <c r="BW76" s="4" t="e">
        <f t="shared" ca="1" si="302"/>
        <v>#NAME?</v>
      </c>
      <c r="BX76" s="4" t="e">
        <f t="shared" ca="1" si="303"/>
        <v>#NAME?</v>
      </c>
      <c r="BY76" s="4" t="e">
        <f t="shared" ca="1" si="304"/>
        <v>#NAME?</v>
      </c>
      <c r="BZ76" s="4" t="e">
        <f t="shared" ca="1" si="305"/>
        <v>#NAME?</v>
      </c>
      <c r="CA76" s="4" t="e">
        <f t="shared" ca="1" si="306"/>
        <v>#NAME?</v>
      </c>
      <c r="CB76" s="4" t="e">
        <f t="shared" ref="CB76:CB86" ca="1" si="423">MAX(0,BW76+BX76+BY76-BU76)*$BV76</f>
        <v>#NAME?</v>
      </c>
      <c r="CC76" s="4"/>
      <c r="CD76" s="4" t="e">
        <f t="shared" ca="1" si="307"/>
        <v>#NAME?</v>
      </c>
      <c r="CE76" s="4">
        <f t="shared" si="394"/>
        <v>0</v>
      </c>
      <c r="CF76" s="16">
        <f t="shared" si="308"/>
        <v>1</v>
      </c>
      <c r="CG76" s="4">
        <f t="shared" si="309"/>
        <v>0</v>
      </c>
      <c r="CH76" s="4" t="e">
        <f t="shared" ca="1" si="310"/>
        <v>#NAME?</v>
      </c>
      <c r="CI76" s="4" t="e">
        <f t="shared" ca="1" si="311"/>
        <v>#NAME?</v>
      </c>
      <c r="CJ76" s="4" t="e">
        <f t="shared" ca="1" si="395"/>
        <v>#NAME?</v>
      </c>
      <c r="CK76" s="4" t="e">
        <f t="shared" ca="1" si="312"/>
        <v>#NAME?</v>
      </c>
      <c r="CL76" s="4" t="e">
        <f t="shared" ca="1" si="313"/>
        <v>#NAME?</v>
      </c>
      <c r="CM76" s="16"/>
      <c r="CN76" s="4">
        <f t="shared" si="314"/>
        <v>0</v>
      </c>
      <c r="CO76" s="4">
        <f t="shared" si="315"/>
        <v>0</v>
      </c>
      <c r="CP76" s="4" t="e">
        <f t="shared" ca="1" si="271"/>
        <v>#NAME?</v>
      </c>
      <c r="CQ76" s="4"/>
      <c r="CR76" s="4" t="e">
        <f t="shared" ca="1" si="316"/>
        <v>#NAME?</v>
      </c>
      <c r="CS76" s="4">
        <f t="shared" ca="1" si="317"/>
        <v>101470</v>
      </c>
      <c r="CT76" s="4">
        <f t="shared" ca="1" si="318"/>
        <v>0</v>
      </c>
      <c r="CU76" s="4"/>
      <c r="CV76" s="4" t="e">
        <f t="shared" ca="1" si="396"/>
        <v>#NAME?</v>
      </c>
      <c r="CW76" s="4">
        <f t="shared" ca="1" si="319"/>
        <v>0</v>
      </c>
      <c r="CX76" s="4">
        <f t="shared" si="320"/>
        <v>0</v>
      </c>
      <c r="CY76" s="4" t="e">
        <f t="shared" ca="1" si="397"/>
        <v>#NAME?</v>
      </c>
      <c r="CZ76" s="4"/>
      <c r="DA76" s="4" t="e">
        <f t="shared" ca="1" si="321"/>
        <v>#NAME?</v>
      </c>
      <c r="DB76" s="4">
        <f t="shared" si="322"/>
        <v>0</v>
      </c>
      <c r="DC76" s="4">
        <f t="shared" si="398"/>
        <v>0</v>
      </c>
      <c r="DD76" s="4">
        <f t="shared" si="323"/>
        <v>0</v>
      </c>
      <c r="DE76" s="4" t="e">
        <f t="shared" ca="1" si="324"/>
        <v>#NAME?</v>
      </c>
      <c r="DF76" s="4" t="e">
        <f t="shared" ca="1" si="399"/>
        <v>#NAME?</v>
      </c>
      <c r="DG76" s="4" t="e">
        <f t="shared" ca="1" si="400"/>
        <v>#NAME?</v>
      </c>
      <c r="DH76" s="4">
        <f t="shared" si="325"/>
        <v>0</v>
      </c>
      <c r="DI76" s="4"/>
      <c r="DJ76" s="4" t="e">
        <f t="shared" ca="1" si="326"/>
        <v>#NAME?</v>
      </c>
      <c r="DK76" s="4">
        <f t="shared" ca="1" si="327"/>
        <v>22000</v>
      </c>
      <c r="DL76" s="4">
        <f t="shared" ca="1" si="328"/>
        <v>22000</v>
      </c>
      <c r="DM76" s="4">
        <f t="shared" si="329"/>
        <v>0</v>
      </c>
      <c r="DN76" s="4" t="e">
        <f t="shared" ca="1" si="330"/>
        <v>#NAME?</v>
      </c>
      <c r="DO76" s="4" t="e">
        <f t="shared" ca="1" si="331"/>
        <v>#NAME?</v>
      </c>
      <c r="DP76" s="4"/>
      <c r="DQ76" s="4" t="e">
        <f t="shared" ca="1" si="332"/>
        <v>#NAME?</v>
      </c>
      <c r="DR76" s="4"/>
      <c r="DS76" s="4">
        <f t="shared" si="401"/>
        <v>0</v>
      </c>
      <c r="DT76" s="4">
        <f t="shared" si="274"/>
        <v>0</v>
      </c>
      <c r="DU76" s="4">
        <f t="shared" si="333"/>
        <v>0</v>
      </c>
      <c r="DV76" s="4"/>
      <c r="DW76" s="4" t="e">
        <f t="shared" ca="1" si="402"/>
        <v>#NAME?</v>
      </c>
      <c r="DX76" s="4" t="e">
        <f t="shared" ca="1" si="334"/>
        <v>#NAME?</v>
      </c>
      <c r="DY76" s="4">
        <f t="shared" si="403"/>
        <v>0</v>
      </c>
      <c r="DZ76" s="4" t="e">
        <f t="shared" ca="1" si="335"/>
        <v>#NAME?</v>
      </c>
      <c r="EA76" s="4" t="e">
        <f t="shared" ca="1" si="336"/>
        <v>#NAME?</v>
      </c>
      <c r="EB76" s="4" t="e">
        <f t="shared" ca="1" si="337"/>
        <v>#NAME?</v>
      </c>
      <c r="EC76" s="4">
        <f t="shared" si="338"/>
        <v>2</v>
      </c>
      <c r="ED76" s="4"/>
      <c r="EE76" s="4" t="e">
        <f t="shared" ca="1" si="404"/>
        <v>#NAME?</v>
      </c>
      <c r="EF76" s="4">
        <f t="shared" si="339"/>
        <v>0</v>
      </c>
      <c r="EG76" s="4">
        <f t="shared" si="405"/>
        <v>0</v>
      </c>
      <c r="EH76" s="4" t="e">
        <f t="shared" ca="1" si="340"/>
        <v>#NAME?</v>
      </c>
      <c r="EI76" s="4" t="e">
        <f t="shared" ca="1" si="341"/>
        <v>#NAME?</v>
      </c>
      <c r="EJ76" s="4" t="e">
        <f t="shared" ca="1" si="342"/>
        <v>#NAME?</v>
      </c>
      <c r="EK76" s="4">
        <f t="shared" si="343"/>
        <v>2</v>
      </c>
      <c r="EL76" s="4">
        <f t="shared" si="344"/>
        <v>0</v>
      </c>
      <c r="EM76" s="4"/>
      <c r="EN76" s="4" t="e">
        <f t="shared" ca="1" si="406"/>
        <v>#NAME?</v>
      </c>
      <c r="EO76" s="4" t="e">
        <f t="shared" ca="1" si="345"/>
        <v>#NAME?</v>
      </c>
      <c r="EP76" s="4">
        <f t="shared" si="407"/>
        <v>0</v>
      </c>
      <c r="EQ76" s="4" t="e">
        <f t="shared" ca="1" si="346"/>
        <v>#NAME?</v>
      </c>
      <c r="ER76" s="4">
        <v>0</v>
      </c>
      <c r="ES76" s="4" t="e">
        <f t="shared" ca="1" si="419"/>
        <v>#NAME?</v>
      </c>
      <c r="ET76" s="4"/>
      <c r="EU76" s="4" t="e">
        <f t="shared" ca="1" si="408"/>
        <v>#NAME?</v>
      </c>
      <c r="EV76" s="4" t="e">
        <f t="shared" ca="1" si="347"/>
        <v>#NAME?</v>
      </c>
      <c r="EW76" s="4">
        <f t="shared" si="409"/>
        <v>0</v>
      </c>
      <c r="EX76" s="4" t="e">
        <f t="shared" ca="1" si="348"/>
        <v>#NAME?</v>
      </c>
      <c r="EY76" s="4">
        <v>0</v>
      </c>
      <c r="EZ76" s="4" t="e">
        <f t="shared" ca="1" si="420"/>
        <v>#NAME?</v>
      </c>
      <c r="FA76" s="4" t="e">
        <f t="shared" ca="1" si="410"/>
        <v>#NAME?</v>
      </c>
      <c r="FB76" s="1" t="e">
        <f t="shared" ca="1" si="349"/>
        <v>#NAME?</v>
      </c>
      <c r="FC76" s="4">
        <f t="shared" si="411"/>
        <v>0</v>
      </c>
      <c r="FD76" s="4">
        <f t="shared" si="412"/>
        <v>0</v>
      </c>
      <c r="FE76" s="4">
        <f t="shared" si="350"/>
        <v>0</v>
      </c>
      <c r="FF76" s="4">
        <f t="shared" si="351"/>
        <v>0</v>
      </c>
      <c r="FG76" s="4">
        <f t="shared" ca="1" si="352"/>
        <v>0</v>
      </c>
      <c r="FH76" s="17" t="e">
        <f t="shared" ca="1" si="353"/>
        <v>#NAME?</v>
      </c>
      <c r="FI76" s="4" t="e">
        <f t="shared" ca="1" si="354"/>
        <v>#NAME?</v>
      </c>
      <c r="FJ76" s="4"/>
      <c r="FK76" s="4" t="e">
        <f t="shared" ca="1" si="355"/>
        <v>#NAME?</v>
      </c>
      <c r="FL76" s="4"/>
      <c r="FM76" s="4">
        <v>0</v>
      </c>
      <c r="FN76" s="4">
        <v>0</v>
      </c>
      <c r="FO76" s="4">
        <v>0</v>
      </c>
      <c r="FP76" s="4">
        <v>0</v>
      </c>
      <c r="FQ76" s="4">
        <v>0</v>
      </c>
      <c r="FR76" s="4">
        <v>0</v>
      </c>
      <c r="FS76" s="4">
        <f t="shared" si="356"/>
        <v>0</v>
      </c>
      <c r="FT76" s="4">
        <f t="shared" si="357"/>
        <v>0</v>
      </c>
      <c r="FU76" s="4"/>
      <c r="FV76" s="3">
        <f t="shared" si="358"/>
        <v>0</v>
      </c>
      <c r="FW76" s="3">
        <f t="shared" si="359"/>
        <v>0</v>
      </c>
      <c r="FX76" s="4">
        <f t="shared" si="413"/>
        <v>2086</v>
      </c>
      <c r="FY76" s="4">
        <f t="shared" si="360"/>
        <v>0</v>
      </c>
      <c r="FZ76" s="4">
        <f t="shared" si="361"/>
        <v>0</v>
      </c>
      <c r="GA76" s="4">
        <f t="shared" si="362"/>
        <v>0</v>
      </c>
      <c r="GB76" s="4">
        <f t="shared" si="363"/>
        <v>0</v>
      </c>
      <c r="GC76" s="4" t="e">
        <f t="shared" ca="1" si="364"/>
        <v>#NAME?</v>
      </c>
      <c r="GD76" s="4" t="e">
        <f t="shared" ca="1" si="365"/>
        <v>#NAME?</v>
      </c>
      <c r="GE76" s="4" t="e">
        <f t="shared" ca="1" si="366"/>
        <v>#NAME?</v>
      </c>
      <c r="GF76" s="4" t="e">
        <f t="shared" ca="1" si="367"/>
        <v>#NAME?</v>
      </c>
      <c r="GG76" s="18" t="e">
        <f t="shared" ca="1" si="368"/>
        <v>#NAME?</v>
      </c>
      <c r="GH76" s="18" t="e">
        <f t="shared" ca="1" si="369"/>
        <v>#NAME?</v>
      </c>
      <c r="GI76" s="4"/>
      <c r="GJ76" s="4">
        <f t="shared" si="421"/>
        <v>2086</v>
      </c>
      <c r="GK76" s="4" t="e">
        <f t="shared" ca="1" si="370"/>
        <v>#NAME?</v>
      </c>
      <c r="GL76" s="4" t="e">
        <f t="shared" ca="1" si="371"/>
        <v>#NAME?</v>
      </c>
      <c r="GM76" s="4" t="e">
        <f t="shared" ca="1" si="372"/>
        <v>#NAME?</v>
      </c>
      <c r="GN76" s="4" t="e">
        <f t="shared" ca="1" si="373"/>
        <v>#NAME?</v>
      </c>
      <c r="GO76" s="4"/>
      <c r="GP76" s="3" t="e">
        <f t="shared" ca="1" si="414"/>
        <v>#NAME?</v>
      </c>
      <c r="GQ76" s="3" t="e">
        <f t="shared" ca="1" si="374"/>
        <v>#NAME?</v>
      </c>
      <c r="GR76" s="3" t="e">
        <f t="shared" ca="1" si="375"/>
        <v>#NAME?</v>
      </c>
      <c r="GS76" s="3" t="e">
        <f t="shared" ca="1" si="376"/>
        <v>#NAME?</v>
      </c>
      <c r="GT76" s="3" t="e">
        <f t="array" aca="1" ref="GT76" ca="1">SUM(GP76:GS76*$GU$6:$GX$6)</f>
        <v>#NAME?</v>
      </c>
      <c r="GU76" s="3" t="e">
        <f t="shared" ca="1" si="415"/>
        <v>#NAME?</v>
      </c>
      <c r="GV76" s="3" t="e">
        <f t="shared" ca="1" si="416"/>
        <v>#NAME?</v>
      </c>
      <c r="GW76" s="3" t="e">
        <f t="shared" ca="1" si="417"/>
        <v>#NAME?</v>
      </c>
      <c r="GX76" s="3" t="e">
        <f t="shared" ca="1" si="418"/>
        <v>#NAME?</v>
      </c>
      <c r="GY76" s="11"/>
      <c r="HJ76">
        <f t="shared" si="422"/>
        <v>2079</v>
      </c>
      <c r="HK76" s="28">
        <f t="shared" si="163"/>
        <v>88330</v>
      </c>
      <c r="HL76" s="27">
        <f t="shared" si="155"/>
        <v>19000</v>
      </c>
      <c r="HM76" s="28">
        <f t="shared" si="156"/>
        <v>19150.208664728263</v>
      </c>
    </row>
    <row r="77" spans="1:226" x14ac:dyDescent="0.25">
      <c r="A77" s="15" t="s">
        <v>332</v>
      </c>
      <c r="D77">
        <f t="shared" si="377"/>
        <v>2087</v>
      </c>
      <c r="E77">
        <f t="shared" si="377"/>
        <v>92</v>
      </c>
      <c r="F77" s="8"/>
      <c r="G77" s="8"/>
      <c r="H77" s="8"/>
      <c r="I77" s="8"/>
      <c r="J77" s="92"/>
      <c r="K77" s="91"/>
      <c r="L77" s="91"/>
      <c r="N77" s="93">
        <f t="shared" si="378"/>
        <v>0.05</v>
      </c>
      <c r="O77" s="23">
        <f t="shared" si="379"/>
        <v>0</v>
      </c>
      <c r="P77" s="23">
        <f t="shared" si="380"/>
        <v>0.4</v>
      </c>
      <c r="Q77" s="4">
        <f t="shared" si="276"/>
        <v>0</v>
      </c>
      <c r="R77" s="4">
        <f t="shared" si="381"/>
        <v>0</v>
      </c>
      <c r="S77" s="4">
        <f t="shared" si="277"/>
        <v>0</v>
      </c>
      <c r="T77" s="4">
        <f t="shared" ca="1" si="278"/>
        <v>0</v>
      </c>
      <c r="V77" s="18" t="e">
        <f t="shared" ca="1" si="279"/>
        <v>#NAME?</v>
      </c>
      <c r="W77" s="18" t="e">
        <f t="shared" ca="1" si="280"/>
        <v>#NAME?</v>
      </c>
      <c r="X77" s="18">
        <f t="shared" si="281"/>
        <v>0</v>
      </c>
      <c r="Y77" s="18" t="e">
        <f t="shared" ca="1" si="282"/>
        <v>#NAME?</v>
      </c>
      <c r="Z77" s="18" t="e">
        <f t="shared" ca="1" si="283"/>
        <v>#NAME?</v>
      </c>
      <c r="AA77" s="18" t="e">
        <f t="shared" ca="1" si="284"/>
        <v>#NAME?</v>
      </c>
      <c r="AB77" s="18" t="e">
        <f t="shared" ca="1" si="285"/>
        <v>#NAME?</v>
      </c>
      <c r="AC77" s="18" t="e">
        <f t="shared" ca="1" si="286"/>
        <v>#NAME?</v>
      </c>
      <c r="AD77" s="18" t="e">
        <f t="shared" ca="1" si="287"/>
        <v>#NAME?</v>
      </c>
      <c r="AE77" s="18" t="e">
        <f t="shared" ca="1" si="288"/>
        <v>#NAME?</v>
      </c>
      <c r="AF77" s="18" t="e">
        <f t="shared" ca="1" si="289"/>
        <v>#NAME?</v>
      </c>
      <c r="AG77" s="18" t="e">
        <f t="shared" ca="1" si="290"/>
        <v>#NAME?</v>
      </c>
      <c r="AI77">
        <f>Person1!E77</f>
        <v>92</v>
      </c>
      <c r="AJ77">
        <f>Person1!AZ77</f>
        <v>3</v>
      </c>
      <c r="AK77">
        <f>IF(AZ77&lt;&gt;3,Person1!FM77,0)</f>
        <v>0</v>
      </c>
      <c r="AL77" s="4">
        <f>IF($AZ77&lt;&gt;3,Person1!FN77+Person1!FT77,0)</f>
        <v>0</v>
      </c>
      <c r="AM77">
        <f>IF($AZ77&lt;&gt;3,Person1!FO77,0)</f>
        <v>0</v>
      </c>
      <c r="AN77">
        <f>IF($AZ77&lt;&gt;3,Person1!FP77,0)</f>
        <v>0</v>
      </c>
      <c r="AO77">
        <f>IF($AZ77&lt;&gt;3,Person1!FQ77,0)</f>
        <v>0</v>
      </c>
      <c r="AP77">
        <f>IF($AZ77&lt;&gt;3,Person1!FR77,0)</f>
        <v>0</v>
      </c>
      <c r="AQ77" s="4">
        <f t="shared" si="291"/>
        <v>0</v>
      </c>
      <c r="AR77" s="4">
        <f>Person1!FS77</f>
        <v>0</v>
      </c>
      <c r="AS77" s="4">
        <f>$B$41*MAX(0,CHOOSE($AZ77,0,IF(AND(Person1!AW77&gt;=Person1!$B$36,AV77&gt;=$B$93),Person1!$B$35*(1+Person1!$B$37)^(Person1!$B$36-Person1!$B$11)*(1+Person1!$B$38)^(Person1!AW77-Person1!$B$36)-CHOOSE(Person1!$B$39+1,0,BD77,BE77,BD77+BE77),0),0,0))</f>
        <v>0</v>
      </c>
      <c r="AT77" s="4">
        <f t="shared" si="292"/>
        <v>0</v>
      </c>
      <c r="AV77">
        <f t="shared" si="382"/>
        <v>2087</v>
      </c>
      <c r="AW77">
        <f t="shared" si="382"/>
        <v>92</v>
      </c>
      <c r="AX77">
        <f t="shared" si="383"/>
        <v>3.9995582228484383</v>
      </c>
      <c r="AY77">
        <f t="shared" si="384"/>
        <v>0.25002761412179464</v>
      </c>
      <c r="AZ77">
        <f t="shared" si="385"/>
        <v>3</v>
      </c>
      <c r="BB77" s="4">
        <f t="shared" si="293"/>
        <v>0</v>
      </c>
      <c r="BC77">
        <f t="shared" si="294"/>
        <v>0</v>
      </c>
      <c r="BD77" s="4">
        <f t="shared" si="295"/>
        <v>0</v>
      </c>
      <c r="BE77" s="4">
        <f t="shared" si="386"/>
        <v>0</v>
      </c>
      <c r="BF77" s="4">
        <f t="shared" si="387"/>
        <v>0</v>
      </c>
      <c r="BG77" s="4">
        <f t="shared" si="388"/>
        <v>0</v>
      </c>
      <c r="BH77" s="4">
        <f t="shared" si="296"/>
        <v>0</v>
      </c>
      <c r="BI77" s="4">
        <f t="shared" si="389"/>
        <v>0</v>
      </c>
      <c r="BJ77" s="4"/>
      <c r="BK77" s="4">
        <f t="shared" si="297"/>
        <v>0</v>
      </c>
      <c r="BL77" s="4">
        <f t="shared" si="390"/>
        <v>0</v>
      </c>
      <c r="BM77" s="4">
        <f t="shared" si="391"/>
        <v>0</v>
      </c>
      <c r="BN77" s="4">
        <v>0</v>
      </c>
      <c r="BO77" s="4">
        <f t="shared" si="392"/>
        <v>0</v>
      </c>
      <c r="BP77" s="4">
        <f t="shared" si="393"/>
        <v>0</v>
      </c>
      <c r="BQ77" s="4"/>
      <c r="BR77" s="4">
        <v>0</v>
      </c>
      <c r="BS77" s="4" t="e">
        <f t="shared" ca="1" si="298"/>
        <v>#NAME?</v>
      </c>
      <c r="BT77" s="4">
        <f t="shared" si="299"/>
        <v>0</v>
      </c>
      <c r="BU77" s="4">
        <f t="shared" si="300"/>
        <v>0</v>
      </c>
      <c r="BV77" s="4">
        <f t="shared" si="301"/>
        <v>0</v>
      </c>
      <c r="BW77" s="4" t="e">
        <f t="shared" ca="1" si="302"/>
        <v>#NAME?</v>
      </c>
      <c r="BX77" s="4" t="e">
        <f t="shared" ca="1" si="303"/>
        <v>#NAME?</v>
      </c>
      <c r="BY77" s="4" t="e">
        <f t="shared" ca="1" si="304"/>
        <v>#NAME?</v>
      </c>
      <c r="BZ77" s="4" t="e">
        <f t="shared" ca="1" si="305"/>
        <v>#NAME?</v>
      </c>
      <c r="CA77" s="4" t="e">
        <f t="shared" ca="1" si="306"/>
        <v>#NAME?</v>
      </c>
      <c r="CB77" s="4" t="e">
        <f t="shared" ca="1" si="423"/>
        <v>#NAME?</v>
      </c>
      <c r="CC77" s="4"/>
      <c r="CD77" s="4" t="e">
        <f t="shared" ca="1" si="307"/>
        <v>#NAME?</v>
      </c>
      <c r="CE77" s="4">
        <f t="shared" si="394"/>
        <v>0</v>
      </c>
      <c r="CF77" s="16">
        <f t="shared" si="308"/>
        <v>1</v>
      </c>
      <c r="CG77" s="4">
        <f t="shared" si="309"/>
        <v>0</v>
      </c>
      <c r="CH77" s="4" t="e">
        <f t="shared" ca="1" si="310"/>
        <v>#NAME?</v>
      </c>
      <c r="CI77" s="4" t="e">
        <f t="shared" ca="1" si="311"/>
        <v>#NAME?</v>
      </c>
      <c r="CJ77" s="4" t="e">
        <f t="shared" ca="1" si="395"/>
        <v>#NAME?</v>
      </c>
      <c r="CK77" s="4" t="e">
        <f t="shared" ca="1" si="312"/>
        <v>#NAME?</v>
      </c>
      <c r="CL77" s="4" t="e">
        <f t="shared" ca="1" si="313"/>
        <v>#NAME?</v>
      </c>
      <c r="CM77" s="16"/>
      <c r="CN77" s="4">
        <f t="shared" si="314"/>
        <v>0</v>
      </c>
      <c r="CO77" s="4">
        <f t="shared" si="315"/>
        <v>0</v>
      </c>
      <c r="CP77" s="4" t="e">
        <f t="shared" ca="1" si="271"/>
        <v>#NAME?</v>
      </c>
      <c r="CQ77" s="4"/>
      <c r="CR77" s="4" t="e">
        <f t="shared" ca="1" si="316"/>
        <v>#NAME?</v>
      </c>
      <c r="CS77" s="4">
        <f t="shared" ca="1" si="317"/>
        <v>103500</v>
      </c>
      <c r="CT77" s="4">
        <f t="shared" ca="1" si="318"/>
        <v>0</v>
      </c>
      <c r="CU77" s="4"/>
      <c r="CV77" s="4" t="e">
        <f t="shared" ca="1" si="396"/>
        <v>#NAME?</v>
      </c>
      <c r="CW77" s="4">
        <f t="shared" ca="1" si="319"/>
        <v>0</v>
      </c>
      <c r="CX77" s="4">
        <f t="shared" si="320"/>
        <v>0</v>
      </c>
      <c r="CY77" s="4" t="e">
        <f t="shared" ca="1" si="397"/>
        <v>#NAME?</v>
      </c>
      <c r="CZ77" s="4"/>
      <c r="DA77" s="4" t="e">
        <f t="shared" ca="1" si="321"/>
        <v>#NAME?</v>
      </c>
      <c r="DB77" s="4">
        <f t="shared" si="322"/>
        <v>0</v>
      </c>
      <c r="DC77" s="4">
        <f t="shared" si="398"/>
        <v>0</v>
      </c>
      <c r="DD77" s="4">
        <f t="shared" si="323"/>
        <v>0</v>
      </c>
      <c r="DE77" s="4" t="e">
        <f t="shared" ca="1" si="324"/>
        <v>#NAME?</v>
      </c>
      <c r="DF77" s="4" t="e">
        <f t="shared" ca="1" si="399"/>
        <v>#NAME?</v>
      </c>
      <c r="DG77" s="4" t="e">
        <f t="shared" ca="1" si="400"/>
        <v>#NAME?</v>
      </c>
      <c r="DH77" s="4">
        <f t="shared" si="325"/>
        <v>0</v>
      </c>
      <c r="DI77" s="4"/>
      <c r="DJ77" s="4" t="e">
        <f t="shared" ca="1" si="326"/>
        <v>#NAME?</v>
      </c>
      <c r="DK77" s="4">
        <f t="shared" ca="1" si="327"/>
        <v>22500</v>
      </c>
      <c r="DL77" s="4">
        <f t="shared" ca="1" si="328"/>
        <v>22500</v>
      </c>
      <c r="DM77" s="4">
        <f t="shared" si="329"/>
        <v>0</v>
      </c>
      <c r="DN77" s="4" t="e">
        <f t="shared" ca="1" si="330"/>
        <v>#NAME?</v>
      </c>
      <c r="DO77" s="4" t="e">
        <f t="shared" ca="1" si="331"/>
        <v>#NAME?</v>
      </c>
      <c r="DP77" s="4"/>
      <c r="DQ77" s="4" t="e">
        <f t="shared" ca="1" si="332"/>
        <v>#NAME?</v>
      </c>
      <c r="DR77" s="4"/>
      <c r="DS77" s="4">
        <f t="shared" si="401"/>
        <v>0</v>
      </c>
      <c r="DT77" s="4">
        <f t="shared" si="274"/>
        <v>0</v>
      </c>
      <c r="DU77" s="4">
        <f t="shared" si="333"/>
        <v>0</v>
      </c>
      <c r="DV77" s="4"/>
      <c r="DW77" s="4" t="e">
        <f t="shared" ca="1" si="402"/>
        <v>#NAME?</v>
      </c>
      <c r="DX77" s="4" t="e">
        <f t="shared" ca="1" si="334"/>
        <v>#NAME?</v>
      </c>
      <c r="DY77" s="4">
        <f t="shared" si="403"/>
        <v>0</v>
      </c>
      <c r="DZ77" s="4" t="e">
        <f t="shared" ca="1" si="335"/>
        <v>#NAME?</v>
      </c>
      <c r="EA77" s="4" t="e">
        <f t="shared" ca="1" si="336"/>
        <v>#NAME?</v>
      </c>
      <c r="EB77" s="4" t="e">
        <f t="shared" ca="1" si="337"/>
        <v>#NAME?</v>
      </c>
      <c r="EC77" s="4">
        <f t="shared" si="338"/>
        <v>2</v>
      </c>
      <c r="ED77" s="4"/>
      <c r="EE77" s="4" t="e">
        <f t="shared" ca="1" si="404"/>
        <v>#NAME?</v>
      </c>
      <c r="EF77" s="4">
        <f t="shared" si="339"/>
        <v>0</v>
      </c>
      <c r="EG77" s="4">
        <f t="shared" si="405"/>
        <v>0</v>
      </c>
      <c r="EH77" s="4" t="e">
        <f t="shared" ca="1" si="340"/>
        <v>#NAME?</v>
      </c>
      <c r="EI77" s="4" t="e">
        <f t="shared" ca="1" si="341"/>
        <v>#NAME?</v>
      </c>
      <c r="EJ77" s="4" t="e">
        <f t="shared" ca="1" si="342"/>
        <v>#NAME?</v>
      </c>
      <c r="EK77" s="4">
        <f t="shared" si="343"/>
        <v>2</v>
      </c>
      <c r="EL77" s="4">
        <f t="shared" si="344"/>
        <v>0</v>
      </c>
      <c r="EM77" s="4"/>
      <c r="EN77" s="4" t="e">
        <f t="shared" ca="1" si="406"/>
        <v>#NAME?</v>
      </c>
      <c r="EO77" s="4" t="e">
        <f t="shared" ca="1" si="345"/>
        <v>#NAME?</v>
      </c>
      <c r="EP77" s="4">
        <f t="shared" si="407"/>
        <v>0</v>
      </c>
      <c r="EQ77" s="4" t="e">
        <f t="shared" ca="1" si="346"/>
        <v>#NAME?</v>
      </c>
      <c r="ER77" s="4">
        <v>0</v>
      </c>
      <c r="ES77" s="4" t="e">
        <f t="shared" ca="1" si="419"/>
        <v>#NAME?</v>
      </c>
      <c r="ET77" s="4"/>
      <c r="EU77" s="4" t="e">
        <f t="shared" ca="1" si="408"/>
        <v>#NAME?</v>
      </c>
      <c r="EV77" s="4" t="e">
        <f t="shared" ca="1" si="347"/>
        <v>#NAME?</v>
      </c>
      <c r="EW77" s="4">
        <f t="shared" si="409"/>
        <v>0</v>
      </c>
      <c r="EX77" s="4" t="e">
        <f t="shared" ca="1" si="348"/>
        <v>#NAME?</v>
      </c>
      <c r="EY77" s="4">
        <v>0</v>
      </c>
      <c r="EZ77" s="4" t="e">
        <f t="shared" ca="1" si="420"/>
        <v>#NAME?</v>
      </c>
      <c r="FA77" s="4" t="e">
        <f t="shared" ca="1" si="410"/>
        <v>#NAME?</v>
      </c>
      <c r="FB77" s="1" t="e">
        <f t="shared" ca="1" si="349"/>
        <v>#NAME?</v>
      </c>
      <c r="FC77" s="4">
        <f t="shared" si="411"/>
        <v>0</v>
      </c>
      <c r="FD77" s="4">
        <f t="shared" si="412"/>
        <v>0</v>
      </c>
      <c r="FE77" s="4">
        <f t="shared" si="350"/>
        <v>0</v>
      </c>
      <c r="FF77" s="4">
        <f t="shared" si="351"/>
        <v>0</v>
      </c>
      <c r="FG77" s="4">
        <f t="shared" ca="1" si="352"/>
        <v>0</v>
      </c>
      <c r="FH77" s="17" t="e">
        <f t="shared" ca="1" si="353"/>
        <v>#NAME?</v>
      </c>
      <c r="FI77" s="4" t="e">
        <f t="shared" ca="1" si="354"/>
        <v>#NAME?</v>
      </c>
      <c r="FJ77" s="4"/>
      <c r="FK77" s="4" t="e">
        <f t="shared" ca="1" si="355"/>
        <v>#NAME?</v>
      </c>
      <c r="FL77" s="4"/>
      <c r="FM77" s="4">
        <v>0</v>
      </c>
      <c r="FN77" s="4">
        <v>0</v>
      </c>
      <c r="FO77" s="4">
        <v>0</v>
      </c>
      <c r="FP77" s="4">
        <v>0</v>
      </c>
      <c r="FQ77" s="4">
        <v>0</v>
      </c>
      <c r="FR77" s="4">
        <v>0</v>
      </c>
      <c r="FS77" s="4">
        <f t="shared" si="356"/>
        <v>0</v>
      </c>
      <c r="FT77" s="4">
        <f t="shared" si="357"/>
        <v>0</v>
      </c>
      <c r="FU77" s="4"/>
      <c r="FV77" s="3">
        <f t="shared" si="358"/>
        <v>0</v>
      </c>
      <c r="FW77" s="3">
        <f t="shared" si="359"/>
        <v>0</v>
      </c>
      <c r="FX77" s="4">
        <f t="shared" si="413"/>
        <v>2087</v>
      </c>
      <c r="FY77" s="4">
        <f t="shared" si="360"/>
        <v>0</v>
      </c>
      <c r="FZ77" s="4">
        <f t="shared" si="361"/>
        <v>0</v>
      </c>
      <c r="GA77" s="4">
        <f t="shared" si="362"/>
        <v>0</v>
      </c>
      <c r="GB77" s="4">
        <f t="shared" si="363"/>
        <v>0</v>
      </c>
      <c r="GC77" s="4" t="e">
        <f t="shared" ca="1" si="364"/>
        <v>#NAME?</v>
      </c>
      <c r="GD77" s="4" t="e">
        <f t="shared" ca="1" si="365"/>
        <v>#NAME?</v>
      </c>
      <c r="GE77" s="4" t="e">
        <f t="shared" ca="1" si="366"/>
        <v>#NAME?</v>
      </c>
      <c r="GF77" s="4" t="e">
        <f t="shared" ca="1" si="367"/>
        <v>#NAME?</v>
      </c>
      <c r="GG77" s="18" t="e">
        <f t="shared" ca="1" si="368"/>
        <v>#NAME?</v>
      </c>
      <c r="GH77" s="18" t="e">
        <f t="shared" ca="1" si="369"/>
        <v>#NAME?</v>
      </c>
      <c r="GI77" s="4"/>
      <c r="GJ77" s="4">
        <f t="shared" si="421"/>
        <v>2087</v>
      </c>
      <c r="GK77" s="4" t="e">
        <f t="shared" ca="1" si="370"/>
        <v>#NAME?</v>
      </c>
      <c r="GL77" s="4" t="e">
        <f t="shared" ca="1" si="371"/>
        <v>#NAME?</v>
      </c>
      <c r="GM77" s="4" t="e">
        <f t="shared" ca="1" si="372"/>
        <v>#NAME?</v>
      </c>
      <c r="GN77" s="4" t="e">
        <f t="shared" ca="1" si="373"/>
        <v>#NAME?</v>
      </c>
      <c r="GO77" s="4"/>
      <c r="GP77" s="3" t="e">
        <f t="shared" ca="1" si="414"/>
        <v>#NAME?</v>
      </c>
      <c r="GQ77" s="3" t="e">
        <f t="shared" ca="1" si="374"/>
        <v>#NAME?</v>
      </c>
      <c r="GR77" s="3" t="e">
        <f t="shared" ca="1" si="375"/>
        <v>#NAME?</v>
      </c>
      <c r="GS77" s="3" t="e">
        <f t="shared" ca="1" si="376"/>
        <v>#NAME?</v>
      </c>
      <c r="GT77" s="3" t="e">
        <f t="array" aca="1" ref="GT77" ca="1">SUM(GP77:GS77*$GU$6:$GX$6)</f>
        <v>#NAME?</v>
      </c>
      <c r="GU77" s="3" t="e">
        <f t="shared" ca="1" si="415"/>
        <v>#NAME?</v>
      </c>
      <c r="GV77" s="3" t="e">
        <f t="shared" ca="1" si="416"/>
        <v>#NAME?</v>
      </c>
      <c r="GW77" s="3" t="e">
        <f t="shared" ca="1" si="417"/>
        <v>#NAME?</v>
      </c>
      <c r="GX77" s="3" t="e">
        <f t="shared" ca="1" si="418"/>
        <v>#NAME?</v>
      </c>
      <c r="GY77" s="11"/>
      <c r="HJ77">
        <f t="shared" si="422"/>
        <v>2080</v>
      </c>
      <c r="HK77" s="28">
        <f t="shared" si="163"/>
        <v>90100</v>
      </c>
      <c r="HL77" s="27">
        <f t="shared" si="155"/>
        <v>19500</v>
      </c>
      <c r="HM77" s="28">
        <f t="shared" si="156"/>
        <v>19533.212838022828</v>
      </c>
    </row>
    <row r="78" spans="1:226" x14ac:dyDescent="0.25">
      <c r="A78" t="s">
        <v>314</v>
      </c>
      <c r="B78" s="62">
        <f>Inputs_Summary!AK74</f>
        <v>2080</v>
      </c>
      <c r="D78">
        <f t="shared" si="377"/>
        <v>2088</v>
      </c>
      <c r="E78">
        <f t="shared" si="377"/>
        <v>93</v>
      </c>
      <c r="F78" s="8"/>
      <c r="G78" s="8"/>
      <c r="H78" s="8"/>
      <c r="I78" s="8"/>
      <c r="J78" s="92"/>
      <c r="K78" s="91"/>
      <c r="L78" s="91"/>
      <c r="N78" s="93">
        <f t="shared" si="378"/>
        <v>0.05</v>
      </c>
      <c r="O78" s="23">
        <f t="shared" si="379"/>
        <v>0</v>
      </c>
      <c r="P78" s="23">
        <f t="shared" si="380"/>
        <v>0.4</v>
      </c>
      <c r="Q78" s="4">
        <f t="shared" si="276"/>
        <v>0</v>
      </c>
      <c r="R78" s="4">
        <f t="shared" si="381"/>
        <v>0</v>
      </c>
      <c r="S78" s="4">
        <f t="shared" si="277"/>
        <v>0</v>
      </c>
      <c r="T78" s="4">
        <f t="shared" ca="1" si="278"/>
        <v>0</v>
      </c>
      <c r="V78" s="18" t="e">
        <f t="shared" ca="1" si="279"/>
        <v>#NAME?</v>
      </c>
      <c r="W78" s="18" t="e">
        <f t="shared" ca="1" si="280"/>
        <v>#NAME?</v>
      </c>
      <c r="X78" s="18">
        <f t="shared" si="281"/>
        <v>0</v>
      </c>
      <c r="Y78" s="18" t="e">
        <f t="shared" ca="1" si="282"/>
        <v>#NAME?</v>
      </c>
      <c r="Z78" s="18" t="e">
        <f t="shared" ca="1" si="283"/>
        <v>#NAME?</v>
      </c>
      <c r="AA78" s="18" t="e">
        <f t="shared" ca="1" si="284"/>
        <v>#NAME?</v>
      </c>
      <c r="AB78" s="18" t="e">
        <f t="shared" ca="1" si="285"/>
        <v>#NAME?</v>
      </c>
      <c r="AC78" s="18" t="e">
        <f t="shared" ca="1" si="286"/>
        <v>#NAME?</v>
      </c>
      <c r="AD78" s="18" t="e">
        <f t="shared" ca="1" si="287"/>
        <v>#NAME?</v>
      </c>
      <c r="AE78" s="18" t="e">
        <f t="shared" ca="1" si="288"/>
        <v>#NAME?</v>
      </c>
      <c r="AF78" s="18" t="e">
        <f t="shared" ca="1" si="289"/>
        <v>#NAME?</v>
      </c>
      <c r="AG78" s="18" t="e">
        <f t="shared" ca="1" si="290"/>
        <v>#NAME?</v>
      </c>
      <c r="AI78">
        <f>Person1!E78</f>
        <v>93</v>
      </c>
      <c r="AJ78">
        <f>Person1!AZ78</f>
        <v>3</v>
      </c>
      <c r="AK78">
        <f>IF(AZ78&lt;&gt;3,Person1!FM78,0)</f>
        <v>0</v>
      </c>
      <c r="AL78" s="4">
        <f>IF($AZ78&lt;&gt;3,Person1!FN78+Person1!FT78,0)</f>
        <v>0</v>
      </c>
      <c r="AM78">
        <f>IF($AZ78&lt;&gt;3,Person1!FO78,0)</f>
        <v>0</v>
      </c>
      <c r="AN78">
        <f>IF($AZ78&lt;&gt;3,Person1!FP78,0)</f>
        <v>0</v>
      </c>
      <c r="AO78">
        <f>IF($AZ78&lt;&gt;3,Person1!FQ78,0)</f>
        <v>0</v>
      </c>
      <c r="AP78">
        <f>IF($AZ78&lt;&gt;3,Person1!FR78,0)</f>
        <v>0</v>
      </c>
      <c r="AQ78" s="4">
        <f t="shared" si="291"/>
        <v>0</v>
      </c>
      <c r="AR78" s="4">
        <f>Person1!FS78</f>
        <v>0</v>
      </c>
      <c r="AS78" s="4">
        <f>$B$41*MAX(0,CHOOSE($AZ78,0,IF(AND(Person1!AW78&gt;=Person1!$B$36,AV78&gt;=$B$93),Person1!$B$35*(1+Person1!$B$37)^(Person1!$B$36-Person1!$B$11)*(1+Person1!$B$38)^(Person1!AW78-Person1!$B$36)-CHOOSE(Person1!$B$39+1,0,BD78,BE78,BD78+BE78),0),0,0))</f>
        <v>0</v>
      </c>
      <c r="AT78" s="4">
        <f t="shared" si="292"/>
        <v>0</v>
      </c>
      <c r="AV78">
        <f t="shared" si="382"/>
        <v>2088</v>
      </c>
      <c r="AW78">
        <f t="shared" si="382"/>
        <v>93</v>
      </c>
      <c r="AX78">
        <f t="shared" si="383"/>
        <v>4.0795493873054074</v>
      </c>
      <c r="AY78">
        <f t="shared" si="384"/>
        <v>0.24512511188411235</v>
      </c>
      <c r="AZ78">
        <f t="shared" si="385"/>
        <v>3</v>
      </c>
      <c r="BB78" s="4">
        <f t="shared" si="293"/>
        <v>0</v>
      </c>
      <c r="BC78">
        <f t="shared" si="294"/>
        <v>0</v>
      </c>
      <c r="BD78" s="4">
        <f t="shared" si="295"/>
        <v>0</v>
      </c>
      <c r="BE78" s="4">
        <f t="shared" si="386"/>
        <v>0</v>
      </c>
      <c r="BF78" s="4">
        <f t="shared" si="387"/>
        <v>0</v>
      </c>
      <c r="BG78" s="4">
        <f t="shared" si="388"/>
        <v>0</v>
      </c>
      <c r="BH78" s="4">
        <f t="shared" si="296"/>
        <v>0</v>
      </c>
      <c r="BI78" s="4">
        <f t="shared" si="389"/>
        <v>0</v>
      </c>
      <c r="BJ78" s="4"/>
      <c r="BK78" s="4">
        <f t="shared" si="297"/>
        <v>0</v>
      </c>
      <c r="BL78" s="4">
        <f t="shared" si="390"/>
        <v>0</v>
      </c>
      <c r="BM78" s="4">
        <f t="shared" si="391"/>
        <v>0</v>
      </c>
      <c r="BN78" s="4">
        <v>0</v>
      </c>
      <c r="BO78" s="4">
        <f t="shared" si="392"/>
        <v>0</v>
      </c>
      <c r="BP78" s="4">
        <f t="shared" si="393"/>
        <v>0</v>
      </c>
      <c r="BQ78" s="4"/>
      <c r="BR78" s="4">
        <v>0</v>
      </c>
      <c r="BS78" s="4" t="e">
        <f t="shared" ca="1" si="298"/>
        <v>#NAME?</v>
      </c>
      <c r="BT78" s="4">
        <f t="shared" si="299"/>
        <v>0</v>
      </c>
      <c r="BU78" s="4">
        <f t="shared" si="300"/>
        <v>0</v>
      </c>
      <c r="BV78" s="4">
        <f t="shared" si="301"/>
        <v>0</v>
      </c>
      <c r="BW78" s="4" t="e">
        <f t="shared" ca="1" si="302"/>
        <v>#NAME?</v>
      </c>
      <c r="BX78" s="4" t="e">
        <f t="shared" ca="1" si="303"/>
        <v>#NAME?</v>
      </c>
      <c r="BY78" s="4" t="e">
        <f t="shared" ca="1" si="304"/>
        <v>#NAME?</v>
      </c>
      <c r="BZ78" s="4" t="e">
        <f t="shared" ca="1" si="305"/>
        <v>#NAME?</v>
      </c>
      <c r="CA78" s="4" t="e">
        <f t="shared" ca="1" si="306"/>
        <v>#NAME?</v>
      </c>
      <c r="CB78" s="4" t="e">
        <f t="shared" ca="1" si="423"/>
        <v>#NAME?</v>
      </c>
      <c r="CC78" s="4"/>
      <c r="CD78" s="4" t="e">
        <f t="shared" ca="1" si="307"/>
        <v>#NAME?</v>
      </c>
      <c r="CE78" s="4">
        <f t="shared" si="394"/>
        <v>0</v>
      </c>
      <c r="CF78" s="16">
        <f t="shared" si="308"/>
        <v>1</v>
      </c>
      <c r="CG78" s="4">
        <f t="shared" si="309"/>
        <v>0</v>
      </c>
      <c r="CH78" s="4" t="e">
        <f t="shared" ca="1" si="310"/>
        <v>#NAME?</v>
      </c>
      <c r="CI78" s="4" t="e">
        <f t="shared" ca="1" si="311"/>
        <v>#NAME?</v>
      </c>
      <c r="CJ78" s="4" t="e">
        <f t="shared" ca="1" si="395"/>
        <v>#NAME?</v>
      </c>
      <c r="CK78" s="4" t="e">
        <f t="shared" ca="1" si="312"/>
        <v>#NAME?</v>
      </c>
      <c r="CL78" s="4" t="e">
        <f t="shared" ca="1" si="313"/>
        <v>#NAME?</v>
      </c>
      <c r="CM78" s="16"/>
      <c r="CN78" s="4">
        <f t="shared" si="314"/>
        <v>0</v>
      </c>
      <c r="CO78" s="4">
        <f t="shared" si="315"/>
        <v>0</v>
      </c>
      <c r="CP78" s="4" t="e">
        <f t="shared" ca="1" si="271"/>
        <v>#NAME?</v>
      </c>
      <c r="CQ78" s="4"/>
      <c r="CR78" s="4" t="e">
        <f t="shared" ca="1" si="316"/>
        <v>#NAME?</v>
      </c>
      <c r="CS78" s="4">
        <f t="shared" ca="1" si="317"/>
        <v>105570</v>
      </c>
      <c r="CT78" s="4">
        <f t="shared" ca="1" si="318"/>
        <v>0</v>
      </c>
      <c r="CU78" s="4"/>
      <c r="CV78" s="4" t="e">
        <f t="shared" ca="1" si="396"/>
        <v>#NAME?</v>
      </c>
      <c r="CW78" s="4">
        <f t="shared" ca="1" si="319"/>
        <v>0</v>
      </c>
      <c r="CX78" s="4">
        <f t="shared" si="320"/>
        <v>0</v>
      </c>
      <c r="CY78" s="4" t="e">
        <f t="shared" ca="1" si="397"/>
        <v>#NAME?</v>
      </c>
      <c r="CZ78" s="4"/>
      <c r="DA78" s="4" t="e">
        <f t="shared" ca="1" si="321"/>
        <v>#NAME?</v>
      </c>
      <c r="DB78" s="4">
        <f t="shared" si="322"/>
        <v>0</v>
      </c>
      <c r="DC78" s="4">
        <f t="shared" si="398"/>
        <v>0</v>
      </c>
      <c r="DD78" s="4">
        <f t="shared" si="323"/>
        <v>0</v>
      </c>
      <c r="DE78" s="4" t="e">
        <f t="shared" ca="1" si="324"/>
        <v>#NAME?</v>
      </c>
      <c r="DF78" s="4" t="e">
        <f t="shared" ca="1" si="399"/>
        <v>#NAME?</v>
      </c>
      <c r="DG78" s="4" t="e">
        <f t="shared" ca="1" si="400"/>
        <v>#NAME?</v>
      </c>
      <c r="DH78" s="4">
        <f t="shared" si="325"/>
        <v>0</v>
      </c>
      <c r="DI78" s="4"/>
      <c r="DJ78" s="4" t="e">
        <f t="shared" ca="1" si="326"/>
        <v>#NAME?</v>
      </c>
      <c r="DK78" s="4">
        <f t="shared" ca="1" si="327"/>
        <v>23000</v>
      </c>
      <c r="DL78" s="4">
        <f t="shared" ca="1" si="328"/>
        <v>23000</v>
      </c>
      <c r="DM78" s="4">
        <f t="shared" si="329"/>
        <v>0</v>
      </c>
      <c r="DN78" s="4" t="e">
        <f t="shared" ca="1" si="330"/>
        <v>#NAME?</v>
      </c>
      <c r="DO78" s="4" t="e">
        <f t="shared" ca="1" si="331"/>
        <v>#NAME?</v>
      </c>
      <c r="DP78" s="4"/>
      <c r="DQ78" s="4" t="e">
        <f t="shared" ca="1" si="332"/>
        <v>#NAME?</v>
      </c>
      <c r="DR78" s="4"/>
      <c r="DS78" s="4">
        <f t="shared" si="401"/>
        <v>0</v>
      </c>
      <c r="DT78" s="4">
        <f t="shared" si="274"/>
        <v>0</v>
      </c>
      <c r="DU78" s="4">
        <f t="shared" si="333"/>
        <v>0</v>
      </c>
      <c r="DV78" s="4"/>
      <c r="DW78" s="4" t="e">
        <f t="shared" ca="1" si="402"/>
        <v>#NAME?</v>
      </c>
      <c r="DX78" s="4" t="e">
        <f t="shared" ca="1" si="334"/>
        <v>#NAME?</v>
      </c>
      <c r="DY78" s="4">
        <f t="shared" si="403"/>
        <v>0</v>
      </c>
      <c r="DZ78" s="4" t="e">
        <f t="shared" ca="1" si="335"/>
        <v>#NAME?</v>
      </c>
      <c r="EA78" s="4" t="e">
        <f t="shared" ca="1" si="336"/>
        <v>#NAME?</v>
      </c>
      <c r="EB78" s="4" t="e">
        <f t="shared" ca="1" si="337"/>
        <v>#NAME?</v>
      </c>
      <c r="EC78" s="4">
        <f t="shared" si="338"/>
        <v>2</v>
      </c>
      <c r="ED78" s="4"/>
      <c r="EE78" s="4" t="e">
        <f t="shared" ca="1" si="404"/>
        <v>#NAME?</v>
      </c>
      <c r="EF78" s="4">
        <f t="shared" si="339"/>
        <v>0</v>
      </c>
      <c r="EG78" s="4">
        <f t="shared" si="405"/>
        <v>0</v>
      </c>
      <c r="EH78" s="4" t="e">
        <f t="shared" ca="1" si="340"/>
        <v>#NAME?</v>
      </c>
      <c r="EI78" s="4" t="e">
        <f t="shared" ca="1" si="341"/>
        <v>#NAME?</v>
      </c>
      <c r="EJ78" s="4" t="e">
        <f t="shared" ca="1" si="342"/>
        <v>#NAME?</v>
      </c>
      <c r="EK78" s="4">
        <f t="shared" si="343"/>
        <v>2</v>
      </c>
      <c r="EL78" s="4">
        <f t="shared" si="344"/>
        <v>0</v>
      </c>
      <c r="EM78" s="4"/>
      <c r="EN78" s="4" t="e">
        <f t="shared" ca="1" si="406"/>
        <v>#NAME?</v>
      </c>
      <c r="EO78" s="4" t="e">
        <f t="shared" ca="1" si="345"/>
        <v>#NAME?</v>
      </c>
      <c r="EP78" s="4">
        <f t="shared" si="407"/>
        <v>0</v>
      </c>
      <c r="EQ78" s="4" t="e">
        <f t="shared" ca="1" si="346"/>
        <v>#NAME?</v>
      </c>
      <c r="ER78" s="4">
        <v>0</v>
      </c>
      <c r="ES78" s="4" t="e">
        <f t="shared" ca="1" si="419"/>
        <v>#NAME?</v>
      </c>
      <c r="ET78" s="4"/>
      <c r="EU78" s="4" t="e">
        <f t="shared" ca="1" si="408"/>
        <v>#NAME?</v>
      </c>
      <c r="EV78" s="4" t="e">
        <f t="shared" ca="1" si="347"/>
        <v>#NAME?</v>
      </c>
      <c r="EW78" s="4">
        <f t="shared" si="409"/>
        <v>0</v>
      </c>
      <c r="EX78" s="4" t="e">
        <f t="shared" ca="1" si="348"/>
        <v>#NAME?</v>
      </c>
      <c r="EY78" s="4">
        <v>0</v>
      </c>
      <c r="EZ78" s="4" t="e">
        <f t="shared" ca="1" si="420"/>
        <v>#NAME?</v>
      </c>
      <c r="FA78" s="4" t="e">
        <f t="shared" ca="1" si="410"/>
        <v>#NAME?</v>
      </c>
      <c r="FB78" s="1" t="e">
        <f t="shared" ca="1" si="349"/>
        <v>#NAME?</v>
      </c>
      <c r="FC78" s="4">
        <f t="shared" si="411"/>
        <v>0</v>
      </c>
      <c r="FD78" s="4">
        <f t="shared" si="412"/>
        <v>0</v>
      </c>
      <c r="FE78" s="4">
        <f t="shared" si="350"/>
        <v>0</v>
      </c>
      <c r="FF78" s="4">
        <f t="shared" si="351"/>
        <v>0</v>
      </c>
      <c r="FG78" s="4">
        <f t="shared" ca="1" si="352"/>
        <v>0</v>
      </c>
      <c r="FH78" s="17" t="e">
        <f t="shared" ca="1" si="353"/>
        <v>#NAME?</v>
      </c>
      <c r="FI78" s="4" t="e">
        <f t="shared" ca="1" si="354"/>
        <v>#NAME?</v>
      </c>
      <c r="FJ78" s="4"/>
      <c r="FK78" s="4" t="e">
        <f t="shared" ca="1" si="355"/>
        <v>#NAME?</v>
      </c>
      <c r="FL78" s="4"/>
      <c r="FM78" s="4">
        <v>0</v>
      </c>
      <c r="FN78" s="4">
        <v>0</v>
      </c>
      <c r="FO78" s="4">
        <v>0</v>
      </c>
      <c r="FP78" s="4">
        <v>0</v>
      </c>
      <c r="FQ78" s="4">
        <v>0</v>
      </c>
      <c r="FR78" s="4">
        <v>0</v>
      </c>
      <c r="FS78" s="4">
        <f t="shared" si="356"/>
        <v>0</v>
      </c>
      <c r="FT78" s="4">
        <f t="shared" si="357"/>
        <v>0</v>
      </c>
      <c r="FU78" s="4"/>
      <c r="FV78" s="3">
        <f t="shared" si="358"/>
        <v>0</v>
      </c>
      <c r="FW78" s="3">
        <f t="shared" si="359"/>
        <v>0</v>
      </c>
      <c r="FX78" s="4">
        <f t="shared" si="413"/>
        <v>2088</v>
      </c>
      <c r="FY78" s="4">
        <f t="shared" si="360"/>
        <v>0</v>
      </c>
      <c r="FZ78" s="4">
        <f t="shared" si="361"/>
        <v>0</v>
      </c>
      <c r="GA78" s="4">
        <f t="shared" si="362"/>
        <v>0</v>
      </c>
      <c r="GB78" s="4">
        <f t="shared" si="363"/>
        <v>0</v>
      </c>
      <c r="GC78" s="4" t="e">
        <f t="shared" ca="1" si="364"/>
        <v>#NAME?</v>
      </c>
      <c r="GD78" s="4" t="e">
        <f t="shared" ca="1" si="365"/>
        <v>#NAME?</v>
      </c>
      <c r="GE78" s="4" t="e">
        <f t="shared" ca="1" si="366"/>
        <v>#NAME?</v>
      </c>
      <c r="GF78" s="4" t="e">
        <f t="shared" ca="1" si="367"/>
        <v>#NAME?</v>
      </c>
      <c r="GG78" s="18" t="e">
        <f t="shared" ca="1" si="368"/>
        <v>#NAME?</v>
      </c>
      <c r="GH78" s="18" t="e">
        <f t="shared" ca="1" si="369"/>
        <v>#NAME?</v>
      </c>
      <c r="GI78" s="4"/>
      <c r="GJ78" s="4">
        <f t="shared" si="421"/>
        <v>2088</v>
      </c>
      <c r="GK78" s="4" t="e">
        <f t="shared" ca="1" si="370"/>
        <v>#NAME?</v>
      </c>
      <c r="GL78" s="4" t="e">
        <f t="shared" ca="1" si="371"/>
        <v>#NAME?</v>
      </c>
      <c r="GM78" s="4" t="e">
        <f t="shared" ca="1" si="372"/>
        <v>#NAME?</v>
      </c>
      <c r="GN78" s="4" t="e">
        <f t="shared" ca="1" si="373"/>
        <v>#NAME?</v>
      </c>
      <c r="GO78" s="4"/>
      <c r="GP78" s="3" t="e">
        <f t="shared" ca="1" si="414"/>
        <v>#NAME?</v>
      </c>
      <c r="GQ78" s="3" t="e">
        <f t="shared" ca="1" si="374"/>
        <v>#NAME?</v>
      </c>
      <c r="GR78" s="3" t="e">
        <f t="shared" ca="1" si="375"/>
        <v>#NAME?</v>
      </c>
      <c r="GS78" s="3" t="e">
        <f t="shared" ca="1" si="376"/>
        <v>#NAME?</v>
      </c>
      <c r="GT78" s="3" t="e">
        <f t="array" aca="1" ref="GT78" ca="1">SUM(GP78:GS78*$GU$6:$GX$6)</f>
        <v>#NAME?</v>
      </c>
      <c r="GU78" s="3" t="e">
        <f t="shared" ca="1" si="415"/>
        <v>#NAME?</v>
      </c>
      <c r="GV78" s="3" t="e">
        <f t="shared" ca="1" si="416"/>
        <v>#NAME?</v>
      </c>
      <c r="GW78" s="3" t="e">
        <f t="shared" ca="1" si="417"/>
        <v>#NAME?</v>
      </c>
      <c r="GX78" s="3" t="e">
        <f t="shared" ca="1" si="418"/>
        <v>#NAME?</v>
      </c>
      <c r="GY78" s="11"/>
      <c r="HJ78">
        <f t="shared" si="422"/>
        <v>2081</v>
      </c>
      <c r="HK78" s="28">
        <f t="shared" si="163"/>
        <v>91900</v>
      </c>
      <c r="HL78" s="27">
        <f t="shared" si="155"/>
        <v>20000</v>
      </c>
      <c r="HM78" s="28">
        <f t="shared" si="156"/>
        <v>19923.877094783285</v>
      </c>
    </row>
    <row r="79" spans="1:226" x14ac:dyDescent="0.25">
      <c r="A79" t="s">
        <v>313</v>
      </c>
      <c r="B79" s="62">
        <f>Inputs_Summary!AK75</f>
        <v>2</v>
      </c>
      <c r="D79">
        <f t="shared" si="377"/>
        <v>2089</v>
      </c>
      <c r="E79">
        <f t="shared" si="377"/>
        <v>94</v>
      </c>
      <c r="F79" s="8"/>
      <c r="G79" s="8"/>
      <c r="H79" s="8"/>
      <c r="I79" s="8"/>
      <c r="J79" s="92"/>
      <c r="K79" s="91"/>
      <c r="L79" s="91"/>
      <c r="N79" s="93">
        <f t="shared" si="378"/>
        <v>0.05</v>
      </c>
      <c r="O79" s="23">
        <f t="shared" si="379"/>
        <v>0</v>
      </c>
      <c r="P79" s="23">
        <f t="shared" si="380"/>
        <v>0.4</v>
      </c>
      <c r="Q79" s="4">
        <f t="shared" si="276"/>
        <v>0</v>
      </c>
      <c r="R79" s="4">
        <f t="shared" si="381"/>
        <v>0</v>
      </c>
      <c r="S79" s="4">
        <f t="shared" si="277"/>
        <v>0</v>
      </c>
      <c r="T79" s="4">
        <f t="shared" ca="1" si="278"/>
        <v>0</v>
      </c>
      <c r="V79" s="18" t="e">
        <f t="shared" ca="1" si="279"/>
        <v>#NAME?</v>
      </c>
      <c r="W79" s="18" t="e">
        <f t="shared" ca="1" si="280"/>
        <v>#NAME?</v>
      </c>
      <c r="X79" s="18">
        <f t="shared" si="281"/>
        <v>0</v>
      </c>
      <c r="Y79" s="18" t="e">
        <f t="shared" ca="1" si="282"/>
        <v>#NAME?</v>
      </c>
      <c r="Z79" s="18" t="e">
        <f t="shared" ca="1" si="283"/>
        <v>#NAME?</v>
      </c>
      <c r="AA79" s="18" t="e">
        <f t="shared" ca="1" si="284"/>
        <v>#NAME?</v>
      </c>
      <c r="AB79" s="18" t="e">
        <f t="shared" ca="1" si="285"/>
        <v>#NAME?</v>
      </c>
      <c r="AC79" s="18" t="e">
        <f t="shared" ca="1" si="286"/>
        <v>#NAME?</v>
      </c>
      <c r="AD79" s="18" t="e">
        <f t="shared" ca="1" si="287"/>
        <v>#NAME?</v>
      </c>
      <c r="AE79" s="18" t="e">
        <f t="shared" ca="1" si="288"/>
        <v>#NAME?</v>
      </c>
      <c r="AF79" s="18" t="e">
        <f t="shared" ca="1" si="289"/>
        <v>#NAME?</v>
      </c>
      <c r="AG79" s="18" t="e">
        <f t="shared" ca="1" si="290"/>
        <v>#NAME?</v>
      </c>
      <c r="AI79">
        <f>Person1!E79</f>
        <v>94</v>
      </c>
      <c r="AJ79">
        <f>Person1!AZ79</f>
        <v>3</v>
      </c>
      <c r="AK79">
        <f>IF(AZ79&lt;&gt;3,Person1!FM79,0)</f>
        <v>0</v>
      </c>
      <c r="AL79" s="4">
        <f>IF($AZ79&lt;&gt;3,Person1!FN79+Person1!FT79,0)</f>
        <v>0</v>
      </c>
      <c r="AM79">
        <f>IF($AZ79&lt;&gt;3,Person1!FO79,0)</f>
        <v>0</v>
      </c>
      <c r="AN79">
        <f>IF($AZ79&lt;&gt;3,Person1!FP79,0)</f>
        <v>0</v>
      </c>
      <c r="AO79">
        <f>IF($AZ79&lt;&gt;3,Person1!FQ79,0)</f>
        <v>0</v>
      </c>
      <c r="AP79">
        <f>IF($AZ79&lt;&gt;3,Person1!FR79,0)</f>
        <v>0</v>
      </c>
      <c r="AQ79" s="4">
        <f t="shared" si="291"/>
        <v>0</v>
      </c>
      <c r="AR79" s="4">
        <f>Person1!FS79</f>
        <v>0</v>
      </c>
      <c r="AS79" s="4">
        <f>$B$41*MAX(0,CHOOSE($AZ79,0,IF(AND(Person1!AW79&gt;=Person1!$B$36,AV79&gt;=$B$93),Person1!$B$35*(1+Person1!$B$37)^(Person1!$B$36-Person1!$B$11)*(1+Person1!$B$38)^(Person1!AW79-Person1!$B$36)-CHOOSE(Person1!$B$39+1,0,BD79,BE79,BD79+BE79),0),0,0))</f>
        <v>0</v>
      </c>
      <c r="AT79" s="4">
        <f t="shared" si="292"/>
        <v>0</v>
      </c>
      <c r="AV79">
        <f t="shared" si="382"/>
        <v>2089</v>
      </c>
      <c r="AW79">
        <f t="shared" si="382"/>
        <v>94</v>
      </c>
      <c r="AX79">
        <f t="shared" si="383"/>
        <v>4.1611403750515157</v>
      </c>
      <c r="AY79">
        <f t="shared" si="384"/>
        <v>0.24031873714128663</v>
      </c>
      <c r="AZ79">
        <f t="shared" si="385"/>
        <v>3</v>
      </c>
      <c r="BB79" s="4">
        <f t="shared" si="293"/>
        <v>0</v>
      </c>
      <c r="BC79">
        <f t="shared" si="294"/>
        <v>0</v>
      </c>
      <c r="BD79" s="4">
        <f t="shared" si="295"/>
        <v>0</v>
      </c>
      <c r="BE79" s="4">
        <f t="shared" si="386"/>
        <v>0</v>
      </c>
      <c r="BF79" s="4">
        <f t="shared" si="387"/>
        <v>0</v>
      </c>
      <c r="BG79" s="4">
        <f t="shared" si="388"/>
        <v>0</v>
      </c>
      <c r="BH79" s="4">
        <f t="shared" si="296"/>
        <v>0</v>
      </c>
      <c r="BI79" s="4">
        <f t="shared" si="389"/>
        <v>0</v>
      </c>
      <c r="BJ79" s="4"/>
      <c r="BK79" s="4">
        <f t="shared" si="297"/>
        <v>0</v>
      </c>
      <c r="BL79" s="4">
        <f t="shared" si="390"/>
        <v>0</v>
      </c>
      <c r="BM79" s="4">
        <f t="shared" si="391"/>
        <v>0</v>
      </c>
      <c r="BN79" s="4">
        <v>0</v>
      </c>
      <c r="BO79" s="4">
        <f t="shared" si="392"/>
        <v>0</v>
      </c>
      <c r="BP79" s="4">
        <f t="shared" si="393"/>
        <v>0</v>
      </c>
      <c r="BQ79" s="4"/>
      <c r="BR79" s="4">
        <v>0</v>
      </c>
      <c r="BS79" s="4" t="e">
        <f t="shared" ca="1" si="298"/>
        <v>#NAME?</v>
      </c>
      <c r="BT79" s="4">
        <f t="shared" si="299"/>
        <v>0</v>
      </c>
      <c r="BU79" s="4">
        <f t="shared" si="300"/>
        <v>0</v>
      </c>
      <c r="BV79" s="4">
        <f t="shared" si="301"/>
        <v>0</v>
      </c>
      <c r="BW79" s="4" t="e">
        <f t="shared" ca="1" si="302"/>
        <v>#NAME?</v>
      </c>
      <c r="BX79" s="4" t="e">
        <f t="shared" ca="1" si="303"/>
        <v>#NAME?</v>
      </c>
      <c r="BY79" s="4" t="e">
        <f t="shared" ca="1" si="304"/>
        <v>#NAME?</v>
      </c>
      <c r="BZ79" s="4" t="e">
        <f t="shared" ca="1" si="305"/>
        <v>#NAME?</v>
      </c>
      <c r="CA79" s="4" t="e">
        <f t="shared" ca="1" si="306"/>
        <v>#NAME?</v>
      </c>
      <c r="CB79" s="4" t="e">
        <f t="shared" ca="1" si="423"/>
        <v>#NAME?</v>
      </c>
      <c r="CC79" s="4"/>
      <c r="CD79" s="4" t="e">
        <f t="shared" ca="1" si="307"/>
        <v>#NAME?</v>
      </c>
      <c r="CE79" s="4">
        <f t="shared" si="394"/>
        <v>0</v>
      </c>
      <c r="CF79" s="16">
        <f t="shared" si="308"/>
        <v>1</v>
      </c>
      <c r="CG79" s="4">
        <f t="shared" si="309"/>
        <v>0</v>
      </c>
      <c r="CH79" s="4" t="e">
        <f t="shared" ca="1" si="310"/>
        <v>#NAME?</v>
      </c>
      <c r="CI79" s="4" t="e">
        <f t="shared" ca="1" si="311"/>
        <v>#NAME?</v>
      </c>
      <c r="CJ79" s="4" t="e">
        <f t="shared" ca="1" si="395"/>
        <v>#NAME?</v>
      </c>
      <c r="CK79" s="4" t="e">
        <f t="shared" ca="1" si="312"/>
        <v>#NAME?</v>
      </c>
      <c r="CL79" s="4" t="e">
        <f t="shared" ca="1" si="313"/>
        <v>#NAME?</v>
      </c>
      <c r="CM79" s="16"/>
      <c r="CN79" s="4">
        <f t="shared" si="314"/>
        <v>0</v>
      </c>
      <c r="CO79" s="4">
        <f t="shared" si="315"/>
        <v>0</v>
      </c>
      <c r="CP79" s="4" t="e">
        <f t="shared" ca="1" si="271"/>
        <v>#NAME?</v>
      </c>
      <c r="CQ79" s="4"/>
      <c r="CR79" s="4" t="e">
        <f t="shared" ca="1" si="316"/>
        <v>#NAME?</v>
      </c>
      <c r="CS79" s="4">
        <f t="shared" ca="1" si="317"/>
        <v>107680</v>
      </c>
      <c r="CT79" s="4">
        <f t="shared" ca="1" si="318"/>
        <v>0</v>
      </c>
      <c r="CU79" s="4"/>
      <c r="CV79" s="4" t="e">
        <f t="shared" ca="1" si="396"/>
        <v>#NAME?</v>
      </c>
      <c r="CW79" s="4">
        <f t="shared" ca="1" si="319"/>
        <v>0</v>
      </c>
      <c r="CX79" s="4">
        <f t="shared" si="320"/>
        <v>0</v>
      </c>
      <c r="CY79" s="4" t="e">
        <f t="shared" ca="1" si="397"/>
        <v>#NAME?</v>
      </c>
      <c r="CZ79" s="4"/>
      <c r="DA79" s="4" t="e">
        <f t="shared" ca="1" si="321"/>
        <v>#NAME?</v>
      </c>
      <c r="DB79" s="4">
        <f t="shared" si="322"/>
        <v>0</v>
      </c>
      <c r="DC79" s="4">
        <f t="shared" si="398"/>
        <v>0</v>
      </c>
      <c r="DD79" s="4">
        <f t="shared" si="323"/>
        <v>0</v>
      </c>
      <c r="DE79" s="4" t="e">
        <f t="shared" ca="1" si="324"/>
        <v>#NAME?</v>
      </c>
      <c r="DF79" s="4" t="e">
        <f t="shared" ca="1" si="399"/>
        <v>#NAME?</v>
      </c>
      <c r="DG79" s="4" t="e">
        <f t="shared" ca="1" si="400"/>
        <v>#NAME?</v>
      </c>
      <c r="DH79" s="4">
        <f t="shared" si="325"/>
        <v>0</v>
      </c>
      <c r="DI79" s="4"/>
      <c r="DJ79" s="4" t="e">
        <f t="shared" ca="1" si="326"/>
        <v>#NAME?</v>
      </c>
      <c r="DK79" s="4">
        <f t="shared" ca="1" si="327"/>
        <v>23500</v>
      </c>
      <c r="DL79" s="4">
        <f t="shared" ca="1" si="328"/>
        <v>23500</v>
      </c>
      <c r="DM79" s="4">
        <f t="shared" si="329"/>
        <v>0</v>
      </c>
      <c r="DN79" s="4" t="e">
        <f t="shared" ca="1" si="330"/>
        <v>#NAME?</v>
      </c>
      <c r="DO79" s="4" t="e">
        <f t="shared" ca="1" si="331"/>
        <v>#NAME?</v>
      </c>
      <c r="DP79" s="4"/>
      <c r="DQ79" s="4" t="e">
        <f t="shared" ca="1" si="332"/>
        <v>#NAME?</v>
      </c>
      <c r="DR79" s="4"/>
      <c r="DS79" s="4">
        <f t="shared" si="401"/>
        <v>0</v>
      </c>
      <c r="DT79" s="4">
        <f t="shared" si="274"/>
        <v>0</v>
      </c>
      <c r="DU79" s="4">
        <f t="shared" si="333"/>
        <v>0</v>
      </c>
      <c r="DV79" s="4"/>
      <c r="DW79" s="4" t="e">
        <f t="shared" ca="1" si="402"/>
        <v>#NAME?</v>
      </c>
      <c r="DX79" s="4" t="e">
        <f t="shared" ca="1" si="334"/>
        <v>#NAME?</v>
      </c>
      <c r="DY79" s="4">
        <f t="shared" si="403"/>
        <v>0</v>
      </c>
      <c r="DZ79" s="4" t="e">
        <f t="shared" ca="1" si="335"/>
        <v>#NAME?</v>
      </c>
      <c r="EA79" s="4" t="e">
        <f t="shared" ca="1" si="336"/>
        <v>#NAME?</v>
      </c>
      <c r="EB79" s="4" t="e">
        <f t="shared" ca="1" si="337"/>
        <v>#NAME?</v>
      </c>
      <c r="EC79" s="4">
        <f t="shared" si="338"/>
        <v>2</v>
      </c>
      <c r="ED79" s="4"/>
      <c r="EE79" s="4" t="e">
        <f t="shared" ca="1" si="404"/>
        <v>#NAME?</v>
      </c>
      <c r="EF79" s="4">
        <f t="shared" si="339"/>
        <v>0</v>
      </c>
      <c r="EG79" s="4">
        <f t="shared" si="405"/>
        <v>0</v>
      </c>
      <c r="EH79" s="4" t="e">
        <f t="shared" ca="1" si="340"/>
        <v>#NAME?</v>
      </c>
      <c r="EI79" s="4" t="e">
        <f t="shared" ca="1" si="341"/>
        <v>#NAME?</v>
      </c>
      <c r="EJ79" s="4" t="e">
        <f t="shared" ca="1" si="342"/>
        <v>#NAME?</v>
      </c>
      <c r="EK79" s="4">
        <f t="shared" si="343"/>
        <v>2</v>
      </c>
      <c r="EL79" s="4">
        <f t="shared" si="344"/>
        <v>0</v>
      </c>
      <c r="EM79" s="4"/>
      <c r="EN79" s="4" t="e">
        <f t="shared" ca="1" si="406"/>
        <v>#NAME?</v>
      </c>
      <c r="EO79" s="4" t="e">
        <f t="shared" ca="1" si="345"/>
        <v>#NAME?</v>
      </c>
      <c r="EP79" s="4">
        <f t="shared" si="407"/>
        <v>0</v>
      </c>
      <c r="EQ79" s="4" t="e">
        <f t="shared" ca="1" si="346"/>
        <v>#NAME?</v>
      </c>
      <c r="ER79" s="4">
        <v>0</v>
      </c>
      <c r="ES79" s="4" t="e">
        <f t="shared" ca="1" si="419"/>
        <v>#NAME?</v>
      </c>
      <c r="ET79" s="4"/>
      <c r="EU79" s="4" t="e">
        <f t="shared" ca="1" si="408"/>
        <v>#NAME?</v>
      </c>
      <c r="EV79" s="4" t="e">
        <f t="shared" ca="1" si="347"/>
        <v>#NAME?</v>
      </c>
      <c r="EW79" s="4">
        <f t="shared" si="409"/>
        <v>0</v>
      </c>
      <c r="EX79" s="4" t="e">
        <f t="shared" ca="1" si="348"/>
        <v>#NAME?</v>
      </c>
      <c r="EY79" s="4">
        <v>0</v>
      </c>
      <c r="EZ79" s="4" t="e">
        <f t="shared" ca="1" si="420"/>
        <v>#NAME?</v>
      </c>
      <c r="FA79" s="4" t="e">
        <f t="shared" ca="1" si="410"/>
        <v>#NAME?</v>
      </c>
      <c r="FB79" s="1" t="e">
        <f t="shared" ca="1" si="349"/>
        <v>#NAME?</v>
      </c>
      <c r="FC79" s="4">
        <f t="shared" si="411"/>
        <v>0</v>
      </c>
      <c r="FD79" s="4">
        <f t="shared" si="412"/>
        <v>0</v>
      </c>
      <c r="FE79" s="4">
        <f t="shared" si="350"/>
        <v>0</v>
      </c>
      <c r="FF79" s="4">
        <f t="shared" si="351"/>
        <v>0</v>
      </c>
      <c r="FG79" s="4">
        <f t="shared" ca="1" si="352"/>
        <v>0</v>
      </c>
      <c r="FH79" s="17" t="e">
        <f t="shared" ca="1" si="353"/>
        <v>#NAME?</v>
      </c>
      <c r="FI79" s="4" t="e">
        <f t="shared" ca="1" si="354"/>
        <v>#NAME?</v>
      </c>
      <c r="FJ79" s="4"/>
      <c r="FK79" s="4" t="e">
        <f t="shared" ca="1" si="355"/>
        <v>#NAME?</v>
      </c>
      <c r="FL79" s="4"/>
      <c r="FM79" s="4">
        <v>0</v>
      </c>
      <c r="FN79" s="4">
        <v>0</v>
      </c>
      <c r="FO79" s="4">
        <v>0</v>
      </c>
      <c r="FP79" s="4">
        <v>0</v>
      </c>
      <c r="FQ79" s="4">
        <v>0</v>
      </c>
      <c r="FR79" s="4">
        <v>0</v>
      </c>
      <c r="FS79" s="4">
        <f t="shared" si="356"/>
        <v>0</v>
      </c>
      <c r="FT79" s="4">
        <f t="shared" si="357"/>
        <v>0</v>
      </c>
      <c r="FU79" s="4"/>
      <c r="FV79" s="3">
        <f t="shared" si="358"/>
        <v>0</v>
      </c>
      <c r="FW79" s="3">
        <f t="shared" si="359"/>
        <v>0</v>
      </c>
      <c r="FX79" s="4">
        <f t="shared" si="413"/>
        <v>2089</v>
      </c>
      <c r="FY79" s="4">
        <f t="shared" si="360"/>
        <v>0</v>
      </c>
      <c r="FZ79" s="4">
        <f t="shared" si="361"/>
        <v>0</v>
      </c>
      <c r="GA79" s="4">
        <f t="shared" si="362"/>
        <v>0</v>
      </c>
      <c r="GB79" s="4">
        <f t="shared" si="363"/>
        <v>0</v>
      </c>
      <c r="GC79" s="4" t="e">
        <f t="shared" ca="1" si="364"/>
        <v>#NAME?</v>
      </c>
      <c r="GD79" s="4" t="e">
        <f t="shared" ca="1" si="365"/>
        <v>#NAME?</v>
      </c>
      <c r="GE79" s="4" t="e">
        <f t="shared" ca="1" si="366"/>
        <v>#NAME?</v>
      </c>
      <c r="GF79" s="4" t="e">
        <f t="shared" ca="1" si="367"/>
        <v>#NAME?</v>
      </c>
      <c r="GG79" s="18" t="e">
        <f t="shared" ca="1" si="368"/>
        <v>#NAME?</v>
      </c>
      <c r="GH79" s="18" t="e">
        <f t="shared" ca="1" si="369"/>
        <v>#NAME?</v>
      </c>
      <c r="GI79" s="4"/>
      <c r="GJ79" s="4">
        <f t="shared" si="421"/>
        <v>2089</v>
      </c>
      <c r="GK79" s="4" t="e">
        <f t="shared" ca="1" si="370"/>
        <v>#NAME?</v>
      </c>
      <c r="GL79" s="4" t="e">
        <f t="shared" ca="1" si="371"/>
        <v>#NAME?</v>
      </c>
      <c r="GM79" s="4" t="e">
        <f t="shared" ca="1" si="372"/>
        <v>#NAME?</v>
      </c>
      <c r="GN79" s="4" t="e">
        <f t="shared" ca="1" si="373"/>
        <v>#NAME?</v>
      </c>
      <c r="GO79" s="4"/>
      <c r="GP79" s="3" t="e">
        <f t="shared" ca="1" si="414"/>
        <v>#NAME?</v>
      </c>
      <c r="GQ79" s="3" t="e">
        <f t="shared" ca="1" si="374"/>
        <v>#NAME?</v>
      </c>
      <c r="GR79" s="3" t="e">
        <f t="shared" ca="1" si="375"/>
        <v>#NAME?</v>
      </c>
      <c r="GS79" s="3" t="e">
        <f t="shared" ca="1" si="376"/>
        <v>#NAME?</v>
      </c>
      <c r="GT79" s="3" t="e">
        <f t="array" aca="1" ref="GT79" ca="1">SUM(GP79:GS79*$GU$6:$GX$6)</f>
        <v>#NAME?</v>
      </c>
      <c r="GU79" s="3" t="e">
        <f t="shared" ca="1" si="415"/>
        <v>#NAME?</v>
      </c>
      <c r="GV79" s="3" t="e">
        <f t="shared" ca="1" si="416"/>
        <v>#NAME?</v>
      </c>
      <c r="GW79" s="3" t="e">
        <f t="shared" ca="1" si="417"/>
        <v>#NAME?</v>
      </c>
      <c r="GX79" s="3" t="e">
        <f t="shared" ca="1" si="418"/>
        <v>#NAME?</v>
      </c>
      <c r="GY79" s="11"/>
      <c r="HJ79">
        <f t="shared" si="422"/>
        <v>2082</v>
      </c>
      <c r="HK79" s="28">
        <f t="shared" ref="HK79:HK142" si="424">ROUND(HK$13*(1+$B$15)^(HJ79-HJ$13)/10,0)*10</f>
        <v>93740</v>
      </c>
      <c r="HL79" s="27">
        <f t="shared" ref="HL79:HL142" si="425">ROUND(HM79/500,0)*500</f>
        <v>20500</v>
      </c>
      <c r="HM79" s="28">
        <f t="shared" ref="HM79:HM142" si="426">HM78*(1+$B$15)</f>
        <v>20322.354636678952</v>
      </c>
    </row>
    <row r="80" spans="1:226" x14ac:dyDescent="0.25">
      <c r="A80" t="s">
        <v>650</v>
      </c>
      <c r="B80" s="62">
        <f>Inputs_Summary!AK76</f>
        <v>8000</v>
      </c>
      <c r="D80">
        <f t="shared" si="377"/>
        <v>2090</v>
      </c>
      <c r="E80">
        <f t="shared" si="377"/>
        <v>95</v>
      </c>
      <c r="F80" s="8"/>
      <c r="G80" s="8"/>
      <c r="H80" s="8"/>
      <c r="I80" s="8"/>
      <c r="J80" s="92"/>
      <c r="K80" s="91"/>
      <c r="L80" s="91"/>
      <c r="N80" s="93">
        <f t="shared" si="378"/>
        <v>0.05</v>
      </c>
      <c r="O80" s="23">
        <f t="shared" si="379"/>
        <v>0</v>
      </c>
      <c r="P80" s="23">
        <f t="shared" si="380"/>
        <v>0.4</v>
      </c>
      <c r="Q80" s="4">
        <f t="shared" si="276"/>
        <v>0</v>
      </c>
      <c r="R80" s="4">
        <f t="shared" si="381"/>
        <v>0</v>
      </c>
      <c r="S80" s="4">
        <f t="shared" si="277"/>
        <v>0</v>
      </c>
      <c r="T80" s="4">
        <f t="shared" ca="1" si="278"/>
        <v>0</v>
      </c>
      <c r="V80" s="18" t="e">
        <f t="shared" ca="1" si="279"/>
        <v>#NAME?</v>
      </c>
      <c r="W80" s="18" t="e">
        <f t="shared" ca="1" si="280"/>
        <v>#NAME?</v>
      </c>
      <c r="X80" s="18">
        <f t="shared" si="281"/>
        <v>0</v>
      </c>
      <c r="Y80" s="18" t="e">
        <f t="shared" ca="1" si="282"/>
        <v>#NAME?</v>
      </c>
      <c r="Z80" s="18" t="e">
        <f t="shared" ca="1" si="283"/>
        <v>#NAME?</v>
      </c>
      <c r="AA80" s="18" t="e">
        <f t="shared" ca="1" si="284"/>
        <v>#NAME?</v>
      </c>
      <c r="AB80" s="18" t="e">
        <f t="shared" ca="1" si="285"/>
        <v>#NAME?</v>
      </c>
      <c r="AC80" s="18" t="e">
        <f t="shared" ca="1" si="286"/>
        <v>#NAME?</v>
      </c>
      <c r="AD80" s="18" t="e">
        <f t="shared" ca="1" si="287"/>
        <v>#NAME?</v>
      </c>
      <c r="AE80" s="18" t="e">
        <f t="shared" ca="1" si="288"/>
        <v>#NAME?</v>
      </c>
      <c r="AF80" s="18" t="e">
        <f t="shared" ca="1" si="289"/>
        <v>#NAME?</v>
      </c>
      <c r="AG80" s="18" t="e">
        <f t="shared" ca="1" si="290"/>
        <v>#NAME?</v>
      </c>
      <c r="AI80">
        <f>Person1!E80</f>
        <v>95</v>
      </c>
      <c r="AJ80">
        <f>Person1!AZ80</f>
        <v>3</v>
      </c>
      <c r="AK80">
        <f>IF(AZ80&lt;&gt;3,Person1!FM80,0)</f>
        <v>0</v>
      </c>
      <c r="AL80" s="4">
        <f>IF($AZ80&lt;&gt;3,Person1!FN80+Person1!FT80,0)</f>
        <v>0</v>
      </c>
      <c r="AM80">
        <f>IF($AZ80&lt;&gt;3,Person1!FO80,0)</f>
        <v>0</v>
      </c>
      <c r="AN80">
        <f>IF($AZ80&lt;&gt;3,Person1!FP80,0)</f>
        <v>0</v>
      </c>
      <c r="AO80">
        <f>IF($AZ80&lt;&gt;3,Person1!FQ80,0)</f>
        <v>0</v>
      </c>
      <c r="AP80">
        <f>IF($AZ80&lt;&gt;3,Person1!FR80,0)</f>
        <v>0</v>
      </c>
      <c r="AQ80" s="4">
        <f t="shared" si="291"/>
        <v>0</v>
      </c>
      <c r="AR80" s="4">
        <f>Person1!FS80</f>
        <v>0</v>
      </c>
      <c r="AS80" s="4">
        <f>$B$41*MAX(0,CHOOSE($AZ80,0,IF(AND(Person1!AW80&gt;=Person1!$B$36,AV80&gt;=$B$93),Person1!$B$35*(1+Person1!$B$37)^(Person1!$B$36-Person1!$B$11)*(1+Person1!$B$38)^(Person1!AW80-Person1!$B$36)-CHOOSE(Person1!$B$39+1,0,BD80,BE80,BD80+BE80),0),0,0))</f>
        <v>0</v>
      </c>
      <c r="AT80" s="4">
        <f t="shared" si="292"/>
        <v>0</v>
      </c>
      <c r="AV80">
        <f t="shared" si="382"/>
        <v>2090</v>
      </c>
      <c r="AW80">
        <f t="shared" si="382"/>
        <v>95</v>
      </c>
      <c r="AX80">
        <f t="shared" si="383"/>
        <v>4.2443631825525463</v>
      </c>
      <c r="AY80">
        <f t="shared" si="384"/>
        <v>0.23560660504047706</v>
      </c>
      <c r="AZ80">
        <f t="shared" si="385"/>
        <v>3</v>
      </c>
      <c r="BB80" s="4">
        <f t="shared" si="293"/>
        <v>0</v>
      </c>
      <c r="BC80">
        <f t="shared" si="294"/>
        <v>0</v>
      </c>
      <c r="BD80" s="4">
        <f t="shared" si="295"/>
        <v>0</v>
      </c>
      <c r="BE80" s="4">
        <f t="shared" si="386"/>
        <v>0</v>
      </c>
      <c r="BF80" s="4">
        <f t="shared" si="387"/>
        <v>0</v>
      </c>
      <c r="BG80" s="4">
        <f t="shared" si="388"/>
        <v>0</v>
      </c>
      <c r="BH80" s="4">
        <f t="shared" si="296"/>
        <v>0</v>
      </c>
      <c r="BI80" s="4">
        <f t="shared" si="389"/>
        <v>0</v>
      </c>
      <c r="BJ80" s="4"/>
      <c r="BK80" s="4">
        <f t="shared" si="297"/>
        <v>0</v>
      </c>
      <c r="BL80" s="4">
        <f t="shared" si="390"/>
        <v>0</v>
      </c>
      <c r="BM80" s="4">
        <f t="shared" si="391"/>
        <v>0</v>
      </c>
      <c r="BN80" s="4">
        <v>0</v>
      </c>
      <c r="BO80" s="4">
        <f t="shared" si="392"/>
        <v>0</v>
      </c>
      <c r="BP80" s="4">
        <f t="shared" si="393"/>
        <v>0</v>
      </c>
      <c r="BQ80" s="4"/>
      <c r="BR80" s="4">
        <v>0</v>
      </c>
      <c r="BS80" s="4" t="e">
        <f t="shared" ca="1" si="298"/>
        <v>#NAME?</v>
      </c>
      <c r="BT80" s="4">
        <f t="shared" si="299"/>
        <v>0</v>
      </c>
      <c r="BU80" s="4">
        <f t="shared" si="300"/>
        <v>0</v>
      </c>
      <c r="BV80" s="4">
        <f t="shared" si="301"/>
        <v>0</v>
      </c>
      <c r="BW80" s="4" t="e">
        <f t="shared" ca="1" si="302"/>
        <v>#NAME?</v>
      </c>
      <c r="BX80" s="4" t="e">
        <f t="shared" ca="1" si="303"/>
        <v>#NAME?</v>
      </c>
      <c r="BY80" s="4" t="e">
        <f t="shared" ca="1" si="304"/>
        <v>#NAME?</v>
      </c>
      <c r="BZ80" s="4" t="e">
        <f t="shared" ca="1" si="305"/>
        <v>#NAME?</v>
      </c>
      <c r="CA80" s="4" t="e">
        <f t="shared" ca="1" si="306"/>
        <v>#NAME?</v>
      </c>
      <c r="CB80" s="4" t="e">
        <f t="shared" ca="1" si="423"/>
        <v>#NAME?</v>
      </c>
      <c r="CC80" s="4"/>
      <c r="CD80" s="4" t="e">
        <f t="shared" ca="1" si="307"/>
        <v>#NAME?</v>
      </c>
      <c r="CE80" s="4">
        <f t="shared" si="394"/>
        <v>0</v>
      </c>
      <c r="CF80" s="16">
        <f t="shared" si="308"/>
        <v>1</v>
      </c>
      <c r="CG80" s="4">
        <f t="shared" si="309"/>
        <v>0</v>
      </c>
      <c r="CH80" s="4" t="e">
        <f t="shared" ca="1" si="310"/>
        <v>#NAME?</v>
      </c>
      <c r="CI80" s="4" t="e">
        <f t="shared" ca="1" si="311"/>
        <v>#NAME?</v>
      </c>
      <c r="CJ80" s="4" t="e">
        <f t="shared" ca="1" si="395"/>
        <v>#NAME?</v>
      </c>
      <c r="CK80" s="4" t="e">
        <f t="shared" ca="1" si="312"/>
        <v>#NAME?</v>
      </c>
      <c r="CL80" s="4" t="e">
        <f t="shared" ca="1" si="313"/>
        <v>#NAME?</v>
      </c>
      <c r="CM80" s="16"/>
      <c r="CN80" s="4">
        <f t="shared" si="314"/>
        <v>0</v>
      </c>
      <c r="CO80" s="4">
        <f t="shared" si="315"/>
        <v>0</v>
      </c>
      <c r="CP80" s="4" t="e">
        <f t="shared" ca="1" si="271"/>
        <v>#NAME?</v>
      </c>
      <c r="CQ80" s="4"/>
      <c r="CR80" s="4" t="e">
        <f t="shared" ca="1" si="316"/>
        <v>#NAME?</v>
      </c>
      <c r="CS80" s="4">
        <f t="shared" ca="1" si="317"/>
        <v>109830</v>
      </c>
      <c r="CT80" s="4">
        <f t="shared" ca="1" si="318"/>
        <v>0</v>
      </c>
      <c r="CU80" s="4"/>
      <c r="CV80" s="4" t="e">
        <f t="shared" ca="1" si="396"/>
        <v>#NAME?</v>
      </c>
      <c r="CW80" s="4">
        <f t="shared" ca="1" si="319"/>
        <v>0</v>
      </c>
      <c r="CX80" s="4">
        <f t="shared" si="320"/>
        <v>0</v>
      </c>
      <c r="CY80" s="4" t="e">
        <f t="shared" ca="1" si="397"/>
        <v>#NAME?</v>
      </c>
      <c r="CZ80" s="4"/>
      <c r="DA80" s="4" t="e">
        <f t="shared" ca="1" si="321"/>
        <v>#NAME?</v>
      </c>
      <c r="DB80" s="4">
        <f t="shared" si="322"/>
        <v>0</v>
      </c>
      <c r="DC80" s="4">
        <f t="shared" si="398"/>
        <v>0</v>
      </c>
      <c r="DD80" s="4">
        <f t="shared" si="323"/>
        <v>0</v>
      </c>
      <c r="DE80" s="4" t="e">
        <f t="shared" ca="1" si="324"/>
        <v>#NAME?</v>
      </c>
      <c r="DF80" s="4" t="e">
        <f t="shared" ca="1" si="399"/>
        <v>#NAME?</v>
      </c>
      <c r="DG80" s="4" t="e">
        <f t="shared" ca="1" si="400"/>
        <v>#NAME?</v>
      </c>
      <c r="DH80" s="4">
        <f t="shared" si="325"/>
        <v>0</v>
      </c>
      <c r="DI80" s="4"/>
      <c r="DJ80" s="4" t="e">
        <f t="shared" ca="1" si="326"/>
        <v>#NAME?</v>
      </c>
      <c r="DK80" s="4">
        <f t="shared" ca="1" si="327"/>
        <v>24000</v>
      </c>
      <c r="DL80" s="4">
        <f t="shared" ca="1" si="328"/>
        <v>24000</v>
      </c>
      <c r="DM80" s="4">
        <f t="shared" si="329"/>
        <v>0</v>
      </c>
      <c r="DN80" s="4" t="e">
        <f t="shared" ca="1" si="330"/>
        <v>#NAME?</v>
      </c>
      <c r="DO80" s="4" t="e">
        <f t="shared" ca="1" si="331"/>
        <v>#NAME?</v>
      </c>
      <c r="DP80" s="4"/>
      <c r="DQ80" s="4" t="e">
        <f t="shared" ca="1" si="332"/>
        <v>#NAME?</v>
      </c>
      <c r="DR80" s="4"/>
      <c r="DS80" s="4">
        <f t="shared" si="401"/>
        <v>0</v>
      </c>
      <c r="DT80" s="4">
        <f t="shared" si="274"/>
        <v>0</v>
      </c>
      <c r="DU80" s="4">
        <f t="shared" si="333"/>
        <v>0</v>
      </c>
      <c r="DV80" s="4"/>
      <c r="DW80" s="4" t="e">
        <f t="shared" ca="1" si="402"/>
        <v>#NAME?</v>
      </c>
      <c r="DX80" s="4" t="e">
        <f t="shared" ca="1" si="334"/>
        <v>#NAME?</v>
      </c>
      <c r="DY80" s="4">
        <f t="shared" si="403"/>
        <v>0</v>
      </c>
      <c r="DZ80" s="4" t="e">
        <f t="shared" ca="1" si="335"/>
        <v>#NAME?</v>
      </c>
      <c r="EA80" s="4" t="e">
        <f t="shared" ca="1" si="336"/>
        <v>#NAME?</v>
      </c>
      <c r="EB80" s="4" t="e">
        <f t="shared" ca="1" si="337"/>
        <v>#NAME?</v>
      </c>
      <c r="EC80" s="4">
        <f t="shared" si="338"/>
        <v>2</v>
      </c>
      <c r="ED80" s="4"/>
      <c r="EE80" s="4" t="e">
        <f t="shared" ca="1" si="404"/>
        <v>#NAME?</v>
      </c>
      <c r="EF80" s="4">
        <f t="shared" si="339"/>
        <v>0</v>
      </c>
      <c r="EG80" s="4">
        <f t="shared" si="405"/>
        <v>0</v>
      </c>
      <c r="EH80" s="4" t="e">
        <f t="shared" ca="1" si="340"/>
        <v>#NAME?</v>
      </c>
      <c r="EI80" s="4" t="e">
        <f t="shared" ca="1" si="341"/>
        <v>#NAME?</v>
      </c>
      <c r="EJ80" s="4" t="e">
        <f t="shared" ca="1" si="342"/>
        <v>#NAME?</v>
      </c>
      <c r="EK80" s="4">
        <f t="shared" si="343"/>
        <v>2</v>
      </c>
      <c r="EL80" s="4">
        <f t="shared" si="344"/>
        <v>0</v>
      </c>
      <c r="EM80" s="4"/>
      <c r="EN80" s="4" t="e">
        <f t="shared" ca="1" si="406"/>
        <v>#NAME?</v>
      </c>
      <c r="EO80" s="4" t="e">
        <f t="shared" ca="1" si="345"/>
        <v>#NAME?</v>
      </c>
      <c r="EP80" s="4">
        <f t="shared" si="407"/>
        <v>0</v>
      </c>
      <c r="EQ80" s="4" t="e">
        <f t="shared" ca="1" si="346"/>
        <v>#NAME?</v>
      </c>
      <c r="ER80" s="4">
        <v>0</v>
      </c>
      <c r="ES80" s="4" t="e">
        <f t="shared" ca="1" si="419"/>
        <v>#NAME?</v>
      </c>
      <c r="ET80" s="4"/>
      <c r="EU80" s="4" t="e">
        <f t="shared" ca="1" si="408"/>
        <v>#NAME?</v>
      </c>
      <c r="EV80" s="4" t="e">
        <f t="shared" ca="1" si="347"/>
        <v>#NAME?</v>
      </c>
      <c r="EW80" s="4">
        <f t="shared" si="409"/>
        <v>0</v>
      </c>
      <c r="EX80" s="4" t="e">
        <f t="shared" ca="1" si="348"/>
        <v>#NAME?</v>
      </c>
      <c r="EY80" s="4">
        <v>0</v>
      </c>
      <c r="EZ80" s="4" t="e">
        <f t="shared" ca="1" si="420"/>
        <v>#NAME?</v>
      </c>
      <c r="FA80" s="4" t="e">
        <f t="shared" ca="1" si="410"/>
        <v>#NAME?</v>
      </c>
      <c r="FB80" s="1" t="e">
        <f t="shared" ca="1" si="349"/>
        <v>#NAME?</v>
      </c>
      <c r="FC80" s="4">
        <f t="shared" si="411"/>
        <v>0</v>
      </c>
      <c r="FD80" s="4">
        <f t="shared" si="412"/>
        <v>0</v>
      </c>
      <c r="FE80" s="4">
        <f t="shared" si="350"/>
        <v>0</v>
      </c>
      <c r="FF80" s="4">
        <f t="shared" si="351"/>
        <v>0</v>
      </c>
      <c r="FG80" s="4">
        <f t="shared" ca="1" si="352"/>
        <v>0</v>
      </c>
      <c r="FH80" s="17" t="e">
        <f t="shared" ca="1" si="353"/>
        <v>#NAME?</v>
      </c>
      <c r="FI80" s="4" t="e">
        <f t="shared" ca="1" si="354"/>
        <v>#NAME?</v>
      </c>
      <c r="FJ80" s="4"/>
      <c r="FK80" s="4" t="e">
        <f t="shared" ca="1" si="355"/>
        <v>#NAME?</v>
      </c>
      <c r="FL80" s="4"/>
      <c r="FM80" s="4">
        <v>0</v>
      </c>
      <c r="FN80" s="4">
        <v>0</v>
      </c>
      <c r="FO80" s="4">
        <v>0</v>
      </c>
      <c r="FP80" s="4">
        <v>0</v>
      </c>
      <c r="FQ80" s="4">
        <v>0</v>
      </c>
      <c r="FR80" s="4">
        <v>0</v>
      </c>
      <c r="FS80" s="4">
        <f t="shared" si="356"/>
        <v>0</v>
      </c>
      <c r="FT80" s="4">
        <f t="shared" si="357"/>
        <v>0</v>
      </c>
      <c r="FU80" s="4"/>
      <c r="FV80" s="3">
        <f t="shared" si="358"/>
        <v>0</v>
      </c>
      <c r="FW80" s="3">
        <f t="shared" si="359"/>
        <v>0</v>
      </c>
      <c r="FX80" s="4">
        <f t="shared" si="413"/>
        <v>2090</v>
      </c>
      <c r="FY80" s="4">
        <f t="shared" si="360"/>
        <v>0</v>
      </c>
      <c r="FZ80" s="4">
        <f t="shared" si="361"/>
        <v>0</v>
      </c>
      <c r="GA80" s="4">
        <f t="shared" si="362"/>
        <v>0</v>
      </c>
      <c r="GB80" s="4">
        <f t="shared" si="363"/>
        <v>0</v>
      </c>
      <c r="GC80" s="4" t="e">
        <f t="shared" ca="1" si="364"/>
        <v>#NAME?</v>
      </c>
      <c r="GD80" s="4" t="e">
        <f t="shared" ca="1" si="365"/>
        <v>#NAME?</v>
      </c>
      <c r="GE80" s="4" t="e">
        <f t="shared" ca="1" si="366"/>
        <v>#NAME?</v>
      </c>
      <c r="GF80" s="4" t="e">
        <f t="shared" ca="1" si="367"/>
        <v>#NAME?</v>
      </c>
      <c r="GG80" s="18" t="e">
        <f t="shared" ca="1" si="368"/>
        <v>#NAME?</v>
      </c>
      <c r="GH80" s="18" t="e">
        <f t="shared" ca="1" si="369"/>
        <v>#NAME?</v>
      </c>
      <c r="GI80" s="4"/>
      <c r="GJ80" s="4">
        <f t="shared" si="421"/>
        <v>2090</v>
      </c>
      <c r="GK80" s="4" t="e">
        <f t="shared" ca="1" si="370"/>
        <v>#NAME?</v>
      </c>
      <c r="GL80" s="4" t="e">
        <f t="shared" ca="1" si="371"/>
        <v>#NAME?</v>
      </c>
      <c r="GM80" s="4" t="e">
        <f t="shared" ca="1" si="372"/>
        <v>#NAME?</v>
      </c>
      <c r="GN80" s="4" t="e">
        <f t="shared" ca="1" si="373"/>
        <v>#NAME?</v>
      </c>
      <c r="GO80" s="4"/>
      <c r="GP80" s="3" t="e">
        <f t="shared" ca="1" si="414"/>
        <v>#NAME?</v>
      </c>
      <c r="GQ80" s="3" t="e">
        <f t="shared" ca="1" si="374"/>
        <v>#NAME?</v>
      </c>
      <c r="GR80" s="3" t="e">
        <f t="shared" ca="1" si="375"/>
        <v>#NAME?</v>
      </c>
      <c r="GS80" s="3" t="e">
        <f t="shared" ca="1" si="376"/>
        <v>#NAME?</v>
      </c>
      <c r="GT80" s="3" t="e">
        <f t="array" aca="1" ref="GT80" ca="1">SUM(GP80:GS80*$GU$6:$GX$6)</f>
        <v>#NAME?</v>
      </c>
      <c r="GU80" s="3" t="e">
        <f t="shared" ca="1" si="415"/>
        <v>#NAME?</v>
      </c>
      <c r="GV80" s="3" t="e">
        <f t="shared" ca="1" si="416"/>
        <v>#NAME?</v>
      </c>
      <c r="GW80" s="3" t="e">
        <f t="shared" ca="1" si="417"/>
        <v>#NAME?</v>
      </c>
      <c r="GX80" s="3" t="e">
        <f t="shared" ca="1" si="418"/>
        <v>#NAME?</v>
      </c>
      <c r="GY80" s="11"/>
      <c r="HJ80">
        <f t="shared" si="422"/>
        <v>2083</v>
      </c>
      <c r="HK80" s="28">
        <f t="shared" si="424"/>
        <v>95620</v>
      </c>
      <c r="HL80" s="27">
        <f t="shared" si="425"/>
        <v>20500</v>
      </c>
      <c r="HM80" s="28">
        <f t="shared" si="426"/>
        <v>20728.801729412531</v>
      </c>
    </row>
    <row r="81" spans="1:221" x14ac:dyDescent="0.25">
      <c r="A81" t="s">
        <v>686</v>
      </c>
      <c r="B81" s="62">
        <f>Inputs_Summary!AK77</f>
        <v>6846</v>
      </c>
      <c r="D81">
        <f t="shared" si="377"/>
        <v>2091</v>
      </c>
      <c r="E81">
        <f t="shared" si="377"/>
        <v>96</v>
      </c>
      <c r="F81" s="8"/>
      <c r="G81" s="8"/>
      <c r="H81" s="8"/>
      <c r="I81" s="8"/>
      <c r="J81" s="92"/>
      <c r="K81" s="91"/>
      <c r="L81" s="91"/>
      <c r="N81" s="93">
        <f t="shared" si="378"/>
        <v>0.05</v>
      </c>
      <c r="O81" s="23">
        <f t="shared" si="379"/>
        <v>0</v>
      </c>
      <c r="P81" s="23">
        <f t="shared" si="380"/>
        <v>0.4</v>
      </c>
      <c r="Q81" s="4">
        <f t="shared" si="276"/>
        <v>0</v>
      </c>
      <c r="R81" s="4">
        <f t="shared" si="381"/>
        <v>0</v>
      </c>
      <c r="S81" s="4">
        <f t="shared" si="277"/>
        <v>0</v>
      </c>
      <c r="T81" s="4">
        <f t="shared" ca="1" si="278"/>
        <v>0</v>
      </c>
      <c r="V81" s="18" t="e">
        <f t="shared" ca="1" si="279"/>
        <v>#NAME?</v>
      </c>
      <c r="W81" s="18" t="e">
        <f t="shared" ca="1" si="280"/>
        <v>#NAME?</v>
      </c>
      <c r="X81" s="18">
        <f t="shared" si="281"/>
        <v>0</v>
      </c>
      <c r="Y81" s="18" t="e">
        <f t="shared" ca="1" si="282"/>
        <v>#NAME?</v>
      </c>
      <c r="Z81" s="18" t="e">
        <f t="shared" ca="1" si="283"/>
        <v>#NAME?</v>
      </c>
      <c r="AA81" s="18" t="e">
        <f t="shared" ca="1" si="284"/>
        <v>#NAME?</v>
      </c>
      <c r="AB81" s="18" t="e">
        <f t="shared" ca="1" si="285"/>
        <v>#NAME?</v>
      </c>
      <c r="AC81" s="18" t="e">
        <f t="shared" ca="1" si="286"/>
        <v>#NAME?</v>
      </c>
      <c r="AD81" s="18" t="e">
        <f t="shared" ca="1" si="287"/>
        <v>#NAME?</v>
      </c>
      <c r="AE81" s="18" t="e">
        <f t="shared" ca="1" si="288"/>
        <v>#NAME?</v>
      </c>
      <c r="AF81" s="18" t="e">
        <f t="shared" ca="1" si="289"/>
        <v>#NAME?</v>
      </c>
      <c r="AG81" s="18" t="e">
        <f t="shared" ca="1" si="290"/>
        <v>#NAME?</v>
      </c>
      <c r="AI81">
        <f>Person1!E81</f>
        <v>96</v>
      </c>
      <c r="AJ81">
        <f>Person1!AZ81</f>
        <v>3</v>
      </c>
      <c r="AK81">
        <f>IF(AZ81&lt;&gt;3,Person1!FM81,0)</f>
        <v>0</v>
      </c>
      <c r="AL81" s="4">
        <f>IF($AZ81&lt;&gt;3,Person1!FN81+Person1!FT81,0)</f>
        <v>0</v>
      </c>
      <c r="AM81">
        <f>IF($AZ81&lt;&gt;3,Person1!FO81,0)</f>
        <v>0</v>
      </c>
      <c r="AN81">
        <f>IF($AZ81&lt;&gt;3,Person1!FP81,0)</f>
        <v>0</v>
      </c>
      <c r="AO81">
        <f>IF($AZ81&lt;&gt;3,Person1!FQ81,0)</f>
        <v>0</v>
      </c>
      <c r="AP81">
        <f>IF($AZ81&lt;&gt;3,Person1!FR81,0)</f>
        <v>0</v>
      </c>
      <c r="AQ81" s="4">
        <f t="shared" si="291"/>
        <v>0</v>
      </c>
      <c r="AR81" s="4">
        <f>Person1!FS81</f>
        <v>0</v>
      </c>
      <c r="AS81" s="4">
        <f>$B$41*MAX(0,CHOOSE($AZ81,0,IF(AND(Person1!AW81&gt;=Person1!$B$36,AV81&gt;=$B$93),Person1!$B$35*(1+Person1!$B$37)^(Person1!$B$36-Person1!$B$11)*(1+Person1!$B$38)^(Person1!AW81-Person1!$B$36)-CHOOSE(Person1!$B$39+1,0,BD81,BE81,BD81+BE81),0),0,0))</f>
        <v>0</v>
      </c>
      <c r="AT81" s="4">
        <f t="shared" si="292"/>
        <v>0</v>
      </c>
      <c r="AV81">
        <f t="shared" si="382"/>
        <v>2091</v>
      </c>
      <c r="AW81">
        <f t="shared" si="382"/>
        <v>96</v>
      </c>
      <c r="AX81">
        <f t="shared" si="383"/>
        <v>4.3292504462035977</v>
      </c>
      <c r="AY81">
        <f t="shared" si="384"/>
        <v>0.2309868676867422</v>
      </c>
      <c r="AZ81">
        <f t="shared" si="385"/>
        <v>3</v>
      </c>
      <c r="BB81" s="4">
        <f t="shared" si="293"/>
        <v>0</v>
      </c>
      <c r="BC81">
        <f t="shared" si="294"/>
        <v>0</v>
      </c>
      <c r="BD81" s="4">
        <f t="shared" si="295"/>
        <v>0</v>
      </c>
      <c r="BE81" s="4">
        <f t="shared" si="386"/>
        <v>0</v>
      </c>
      <c r="BF81" s="4">
        <f t="shared" si="387"/>
        <v>0</v>
      </c>
      <c r="BG81" s="4">
        <f t="shared" si="388"/>
        <v>0</v>
      </c>
      <c r="BH81" s="4">
        <f t="shared" si="296"/>
        <v>0</v>
      </c>
      <c r="BI81" s="4">
        <f t="shared" si="389"/>
        <v>0</v>
      </c>
      <c r="BJ81" s="4"/>
      <c r="BK81" s="4">
        <f t="shared" si="297"/>
        <v>0</v>
      </c>
      <c r="BL81" s="4">
        <f t="shared" si="390"/>
        <v>0</v>
      </c>
      <c r="BM81" s="4">
        <f t="shared" si="391"/>
        <v>0</v>
      </c>
      <c r="BN81" s="4">
        <v>0</v>
      </c>
      <c r="BO81" s="4">
        <f t="shared" si="392"/>
        <v>0</v>
      </c>
      <c r="BP81" s="4">
        <f t="shared" si="393"/>
        <v>0</v>
      </c>
      <c r="BQ81" s="4"/>
      <c r="BR81" s="4">
        <v>0</v>
      </c>
      <c r="BS81" s="4" t="e">
        <f t="shared" ca="1" si="298"/>
        <v>#NAME?</v>
      </c>
      <c r="BT81" s="4">
        <f t="shared" si="299"/>
        <v>0</v>
      </c>
      <c r="BU81" s="4">
        <f t="shared" si="300"/>
        <v>0</v>
      </c>
      <c r="BV81" s="4">
        <f t="shared" si="301"/>
        <v>0</v>
      </c>
      <c r="BW81" s="4" t="e">
        <f t="shared" ca="1" si="302"/>
        <v>#NAME?</v>
      </c>
      <c r="BX81" s="4" t="e">
        <f t="shared" ca="1" si="303"/>
        <v>#NAME?</v>
      </c>
      <c r="BY81" s="4" t="e">
        <f t="shared" ca="1" si="304"/>
        <v>#NAME?</v>
      </c>
      <c r="BZ81" s="4" t="e">
        <f t="shared" ca="1" si="305"/>
        <v>#NAME?</v>
      </c>
      <c r="CA81" s="4" t="e">
        <f t="shared" ca="1" si="306"/>
        <v>#NAME?</v>
      </c>
      <c r="CB81" s="4" t="e">
        <f t="shared" ca="1" si="423"/>
        <v>#NAME?</v>
      </c>
      <c r="CC81" s="4"/>
      <c r="CD81" s="4" t="e">
        <f t="shared" ca="1" si="307"/>
        <v>#NAME?</v>
      </c>
      <c r="CE81" s="4">
        <f t="shared" si="394"/>
        <v>0</v>
      </c>
      <c r="CF81" s="16">
        <f t="shared" si="308"/>
        <v>1</v>
      </c>
      <c r="CG81" s="4">
        <f t="shared" si="309"/>
        <v>0</v>
      </c>
      <c r="CH81" s="4" t="e">
        <f t="shared" ca="1" si="310"/>
        <v>#NAME?</v>
      </c>
      <c r="CI81" s="4" t="e">
        <f t="shared" ca="1" si="311"/>
        <v>#NAME?</v>
      </c>
      <c r="CJ81" s="4" t="e">
        <f t="shared" ca="1" si="395"/>
        <v>#NAME?</v>
      </c>
      <c r="CK81" s="4" t="e">
        <f t="shared" ca="1" si="312"/>
        <v>#NAME?</v>
      </c>
      <c r="CL81" s="4" t="e">
        <f t="shared" ca="1" si="313"/>
        <v>#NAME?</v>
      </c>
      <c r="CM81" s="16"/>
      <c r="CN81" s="4">
        <f t="shared" si="314"/>
        <v>0</v>
      </c>
      <c r="CO81" s="4">
        <f t="shared" si="315"/>
        <v>0</v>
      </c>
      <c r="CP81" s="4" t="e">
        <f t="shared" ca="1" si="271"/>
        <v>#NAME?</v>
      </c>
      <c r="CQ81" s="4"/>
      <c r="CR81" s="4" t="e">
        <f t="shared" ca="1" si="316"/>
        <v>#NAME?</v>
      </c>
      <c r="CS81" s="4">
        <f t="shared" ca="1" si="317"/>
        <v>112030</v>
      </c>
      <c r="CT81" s="4">
        <f t="shared" ca="1" si="318"/>
        <v>0</v>
      </c>
      <c r="CU81" s="4"/>
      <c r="CV81" s="4" t="e">
        <f t="shared" ca="1" si="396"/>
        <v>#NAME?</v>
      </c>
      <c r="CW81" s="4">
        <f t="shared" ca="1" si="319"/>
        <v>0</v>
      </c>
      <c r="CX81" s="4">
        <f t="shared" si="320"/>
        <v>0</v>
      </c>
      <c r="CY81" s="4" t="e">
        <f t="shared" ca="1" si="397"/>
        <v>#NAME?</v>
      </c>
      <c r="CZ81" s="4"/>
      <c r="DA81" s="4" t="e">
        <f t="shared" ca="1" si="321"/>
        <v>#NAME?</v>
      </c>
      <c r="DB81" s="4">
        <f t="shared" si="322"/>
        <v>0</v>
      </c>
      <c r="DC81" s="4">
        <f t="shared" si="398"/>
        <v>0</v>
      </c>
      <c r="DD81" s="4">
        <f t="shared" si="323"/>
        <v>0</v>
      </c>
      <c r="DE81" s="4" t="e">
        <f t="shared" ca="1" si="324"/>
        <v>#NAME?</v>
      </c>
      <c r="DF81" s="4" t="e">
        <f t="shared" ca="1" si="399"/>
        <v>#NAME?</v>
      </c>
      <c r="DG81" s="4" t="e">
        <f t="shared" ca="1" si="400"/>
        <v>#NAME?</v>
      </c>
      <c r="DH81" s="4">
        <f t="shared" si="325"/>
        <v>0</v>
      </c>
      <c r="DI81" s="4"/>
      <c r="DJ81" s="4" t="e">
        <f t="shared" ca="1" si="326"/>
        <v>#NAME?</v>
      </c>
      <c r="DK81" s="4">
        <f t="shared" ca="1" si="327"/>
        <v>24500</v>
      </c>
      <c r="DL81" s="4">
        <f t="shared" ca="1" si="328"/>
        <v>24500</v>
      </c>
      <c r="DM81" s="4">
        <f t="shared" si="329"/>
        <v>0</v>
      </c>
      <c r="DN81" s="4" t="e">
        <f t="shared" ca="1" si="330"/>
        <v>#NAME?</v>
      </c>
      <c r="DO81" s="4" t="e">
        <f t="shared" ca="1" si="331"/>
        <v>#NAME?</v>
      </c>
      <c r="DP81" s="4"/>
      <c r="DQ81" s="4" t="e">
        <f t="shared" ca="1" si="332"/>
        <v>#NAME?</v>
      </c>
      <c r="DR81" s="4"/>
      <c r="DS81" s="4">
        <f t="shared" si="401"/>
        <v>0</v>
      </c>
      <c r="DT81" s="4">
        <f t="shared" si="274"/>
        <v>0</v>
      </c>
      <c r="DU81" s="4">
        <f t="shared" si="333"/>
        <v>0</v>
      </c>
      <c r="DV81" s="4"/>
      <c r="DW81" s="4" t="e">
        <f t="shared" ca="1" si="402"/>
        <v>#NAME?</v>
      </c>
      <c r="DX81" s="4" t="e">
        <f t="shared" ca="1" si="334"/>
        <v>#NAME?</v>
      </c>
      <c r="DY81" s="4">
        <f t="shared" si="403"/>
        <v>0</v>
      </c>
      <c r="DZ81" s="4" t="e">
        <f t="shared" ca="1" si="335"/>
        <v>#NAME?</v>
      </c>
      <c r="EA81" s="4" t="e">
        <f t="shared" ca="1" si="336"/>
        <v>#NAME?</v>
      </c>
      <c r="EB81" s="4" t="e">
        <f t="shared" ca="1" si="337"/>
        <v>#NAME?</v>
      </c>
      <c r="EC81" s="4">
        <f t="shared" si="338"/>
        <v>2</v>
      </c>
      <c r="ED81" s="4"/>
      <c r="EE81" s="4" t="e">
        <f t="shared" ca="1" si="404"/>
        <v>#NAME?</v>
      </c>
      <c r="EF81" s="4">
        <f t="shared" si="339"/>
        <v>0</v>
      </c>
      <c r="EG81" s="4">
        <f t="shared" si="405"/>
        <v>0</v>
      </c>
      <c r="EH81" s="4" t="e">
        <f t="shared" ca="1" si="340"/>
        <v>#NAME?</v>
      </c>
      <c r="EI81" s="4" t="e">
        <f t="shared" ca="1" si="341"/>
        <v>#NAME?</v>
      </c>
      <c r="EJ81" s="4" t="e">
        <f t="shared" ca="1" si="342"/>
        <v>#NAME?</v>
      </c>
      <c r="EK81" s="4">
        <f t="shared" si="343"/>
        <v>2</v>
      </c>
      <c r="EL81" s="4">
        <f t="shared" si="344"/>
        <v>0</v>
      </c>
      <c r="EM81" s="4"/>
      <c r="EN81" s="4" t="e">
        <f t="shared" ca="1" si="406"/>
        <v>#NAME?</v>
      </c>
      <c r="EO81" s="4" t="e">
        <f t="shared" ca="1" si="345"/>
        <v>#NAME?</v>
      </c>
      <c r="EP81" s="4">
        <f t="shared" si="407"/>
        <v>0</v>
      </c>
      <c r="EQ81" s="4" t="e">
        <f t="shared" ca="1" si="346"/>
        <v>#NAME?</v>
      </c>
      <c r="ER81" s="4">
        <v>0</v>
      </c>
      <c r="ES81" s="4" t="e">
        <f t="shared" ca="1" si="419"/>
        <v>#NAME?</v>
      </c>
      <c r="ET81" s="4"/>
      <c r="EU81" s="4" t="e">
        <f t="shared" ca="1" si="408"/>
        <v>#NAME?</v>
      </c>
      <c r="EV81" s="4" t="e">
        <f t="shared" ca="1" si="347"/>
        <v>#NAME?</v>
      </c>
      <c r="EW81" s="4">
        <f t="shared" si="409"/>
        <v>0</v>
      </c>
      <c r="EX81" s="4" t="e">
        <f t="shared" ca="1" si="348"/>
        <v>#NAME?</v>
      </c>
      <c r="EY81" s="4">
        <v>0</v>
      </c>
      <c r="EZ81" s="4" t="e">
        <f t="shared" ca="1" si="420"/>
        <v>#NAME?</v>
      </c>
      <c r="FA81" s="4" t="e">
        <f t="shared" ca="1" si="410"/>
        <v>#NAME?</v>
      </c>
      <c r="FB81" s="1" t="e">
        <f t="shared" ca="1" si="349"/>
        <v>#NAME?</v>
      </c>
      <c r="FC81" s="4">
        <f t="shared" si="411"/>
        <v>0</v>
      </c>
      <c r="FD81" s="4">
        <f t="shared" si="412"/>
        <v>0</v>
      </c>
      <c r="FE81" s="4">
        <f t="shared" si="350"/>
        <v>0</v>
      </c>
      <c r="FF81" s="4">
        <f t="shared" si="351"/>
        <v>0</v>
      </c>
      <c r="FG81" s="4">
        <f t="shared" ca="1" si="352"/>
        <v>0</v>
      </c>
      <c r="FH81" s="17" t="e">
        <f t="shared" ca="1" si="353"/>
        <v>#NAME?</v>
      </c>
      <c r="FI81" s="4" t="e">
        <f t="shared" ca="1" si="354"/>
        <v>#NAME?</v>
      </c>
      <c r="FJ81" s="4"/>
      <c r="FK81" s="4" t="e">
        <f t="shared" ca="1" si="355"/>
        <v>#NAME?</v>
      </c>
      <c r="FL81" s="4"/>
      <c r="FM81" s="4">
        <v>0</v>
      </c>
      <c r="FN81" s="4">
        <v>0</v>
      </c>
      <c r="FO81" s="4">
        <v>0</v>
      </c>
      <c r="FP81" s="4">
        <v>0</v>
      </c>
      <c r="FQ81" s="4">
        <v>0</v>
      </c>
      <c r="FR81" s="4">
        <v>0</v>
      </c>
      <c r="FS81" s="4">
        <f t="shared" si="356"/>
        <v>0</v>
      </c>
      <c r="FT81" s="4">
        <f t="shared" si="357"/>
        <v>0</v>
      </c>
      <c r="FU81" s="4"/>
      <c r="FV81" s="3">
        <f t="shared" si="358"/>
        <v>0</v>
      </c>
      <c r="FW81" s="3">
        <f t="shared" si="359"/>
        <v>0</v>
      </c>
      <c r="FX81" s="4">
        <f t="shared" si="413"/>
        <v>2091</v>
      </c>
      <c r="FY81" s="4">
        <f t="shared" si="360"/>
        <v>0</v>
      </c>
      <c r="FZ81" s="4">
        <f t="shared" si="361"/>
        <v>0</v>
      </c>
      <c r="GA81" s="4">
        <f t="shared" si="362"/>
        <v>0</v>
      </c>
      <c r="GB81" s="4">
        <f t="shared" si="363"/>
        <v>0</v>
      </c>
      <c r="GC81" s="4" t="e">
        <f t="shared" ca="1" si="364"/>
        <v>#NAME?</v>
      </c>
      <c r="GD81" s="4" t="e">
        <f t="shared" ca="1" si="365"/>
        <v>#NAME?</v>
      </c>
      <c r="GE81" s="4" t="e">
        <f t="shared" ca="1" si="366"/>
        <v>#NAME?</v>
      </c>
      <c r="GF81" s="4" t="e">
        <f t="shared" ca="1" si="367"/>
        <v>#NAME?</v>
      </c>
      <c r="GG81" s="18" t="e">
        <f t="shared" ca="1" si="368"/>
        <v>#NAME?</v>
      </c>
      <c r="GH81" s="18" t="e">
        <f t="shared" ca="1" si="369"/>
        <v>#NAME?</v>
      </c>
      <c r="GI81" s="4"/>
      <c r="GJ81" s="4">
        <f t="shared" si="421"/>
        <v>2091</v>
      </c>
      <c r="GK81" s="4" t="e">
        <f t="shared" ca="1" si="370"/>
        <v>#NAME?</v>
      </c>
      <c r="GL81" s="4" t="e">
        <f t="shared" ca="1" si="371"/>
        <v>#NAME?</v>
      </c>
      <c r="GM81" s="4" t="e">
        <f t="shared" ca="1" si="372"/>
        <v>#NAME?</v>
      </c>
      <c r="GN81" s="4" t="e">
        <f t="shared" ca="1" si="373"/>
        <v>#NAME?</v>
      </c>
      <c r="GO81" s="4"/>
      <c r="GP81" s="3" t="e">
        <f t="shared" ca="1" si="414"/>
        <v>#NAME?</v>
      </c>
      <c r="GQ81" s="3" t="e">
        <f t="shared" ca="1" si="374"/>
        <v>#NAME?</v>
      </c>
      <c r="GR81" s="3" t="e">
        <f t="shared" ca="1" si="375"/>
        <v>#NAME?</v>
      </c>
      <c r="GS81" s="3" t="e">
        <f t="shared" ca="1" si="376"/>
        <v>#NAME?</v>
      </c>
      <c r="GT81" s="3" t="e">
        <f t="array" aca="1" ref="GT81" ca="1">SUM(GP81:GS81*$GU$6:$GX$6)</f>
        <v>#NAME?</v>
      </c>
      <c r="GU81" s="3" t="e">
        <f t="shared" ca="1" si="415"/>
        <v>#NAME?</v>
      </c>
      <c r="GV81" s="3" t="e">
        <f t="shared" ca="1" si="416"/>
        <v>#NAME?</v>
      </c>
      <c r="GW81" s="3" t="e">
        <f t="shared" ca="1" si="417"/>
        <v>#NAME?</v>
      </c>
      <c r="GX81" s="3" t="e">
        <f t="shared" ca="1" si="418"/>
        <v>#NAME?</v>
      </c>
      <c r="GY81" s="11"/>
      <c r="HJ81">
        <f t="shared" si="422"/>
        <v>2084</v>
      </c>
      <c r="HK81" s="28">
        <f t="shared" si="424"/>
        <v>97530</v>
      </c>
      <c r="HL81" s="27">
        <f t="shared" si="425"/>
        <v>21000</v>
      </c>
      <c r="HM81" s="28">
        <f t="shared" si="426"/>
        <v>21143.377764000783</v>
      </c>
    </row>
    <row r="82" spans="1:221" x14ac:dyDescent="0.25">
      <c r="D82">
        <f t="shared" si="377"/>
        <v>2092</v>
      </c>
      <c r="E82">
        <f t="shared" si="377"/>
        <v>97</v>
      </c>
      <c r="F82" s="8"/>
      <c r="G82" s="8"/>
      <c r="H82" s="8"/>
      <c r="I82" s="8"/>
      <c r="J82" s="92"/>
      <c r="K82" s="91"/>
      <c r="L82" s="91"/>
      <c r="N82" s="93">
        <f t="shared" si="378"/>
        <v>0.05</v>
      </c>
      <c r="O82" s="23">
        <f t="shared" si="379"/>
        <v>0</v>
      </c>
      <c r="P82" s="23">
        <f t="shared" si="380"/>
        <v>0.4</v>
      </c>
      <c r="Q82" s="4">
        <f t="shared" si="276"/>
        <v>0</v>
      </c>
      <c r="R82" s="4">
        <f t="shared" si="381"/>
        <v>0</v>
      </c>
      <c r="S82" s="4">
        <f t="shared" si="277"/>
        <v>0</v>
      </c>
      <c r="T82" s="4">
        <f t="shared" ca="1" si="278"/>
        <v>0</v>
      </c>
      <c r="V82" s="18" t="e">
        <f t="shared" ca="1" si="279"/>
        <v>#NAME?</v>
      </c>
      <c r="W82" s="18" t="e">
        <f t="shared" ca="1" si="280"/>
        <v>#NAME?</v>
      </c>
      <c r="X82" s="18">
        <f t="shared" si="281"/>
        <v>0</v>
      </c>
      <c r="Y82" s="18" t="e">
        <f t="shared" ca="1" si="282"/>
        <v>#NAME?</v>
      </c>
      <c r="Z82" s="18" t="e">
        <f t="shared" ca="1" si="283"/>
        <v>#NAME?</v>
      </c>
      <c r="AA82" s="18" t="e">
        <f t="shared" ca="1" si="284"/>
        <v>#NAME?</v>
      </c>
      <c r="AB82" s="18" t="e">
        <f t="shared" ca="1" si="285"/>
        <v>#NAME?</v>
      </c>
      <c r="AC82" s="18" t="e">
        <f t="shared" ca="1" si="286"/>
        <v>#NAME?</v>
      </c>
      <c r="AD82" s="18" t="e">
        <f t="shared" ca="1" si="287"/>
        <v>#NAME?</v>
      </c>
      <c r="AE82" s="18" t="e">
        <f t="shared" ca="1" si="288"/>
        <v>#NAME?</v>
      </c>
      <c r="AF82" s="18" t="e">
        <f t="shared" ca="1" si="289"/>
        <v>#NAME?</v>
      </c>
      <c r="AG82" s="18" t="e">
        <f t="shared" ca="1" si="290"/>
        <v>#NAME?</v>
      </c>
      <c r="AI82">
        <f>Person1!E82</f>
        <v>97</v>
      </c>
      <c r="AJ82">
        <f>Person1!AZ82</f>
        <v>3</v>
      </c>
      <c r="AK82">
        <f>IF(AZ82&lt;&gt;3,Person1!FM82,0)</f>
        <v>0</v>
      </c>
      <c r="AL82" s="4">
        <f>IF($AZ82&lt;&gt;3,Person1!FN82+Person1!FT82,0)</f>
        <v>0</v>
      </c>
      <c r="AM82">
        <f>IF($AZ82&lt;&gt;3,Person1!FO82,0)</f>
        <v>0</v>
      </c>
      <c r="AN82">
        <f>IF($AZ82&lt;&gt;3,Person1!FP82,0)</f>
        <v>0</v>
      </c>
      <c r="AO82">
        <f>IF($AZ82&lt;&gt;3,Person1!FQ82,0)</f>
        <v>0</v>
      </c>
      <c r="AP82">
        <f>IF($AZ82&lt;&gt;3,Person1!FR82,0)</f>
        <v>0</v>
      </c>
      <c r="AQ82" s="4">
        <f t="shared" si="291"/>
        <v>0</v>
      </c>
      <c r="AR82" s="4">
        <f>Person1!FS82</f>
        <v>0</v>
      </c>
      <c r="AS82" s="4">
        <f>$B$41*MAX(0,CHOOSE($AZ82,0,IF(AND(Person1!AW82&gt;=Person1!$B$36,AV82&gt;=$B$93),Person1!$B$35*(1+Person1!$B$37)^(Person1!$B$36-Person1!$B$11)*(1+Person1!$B$38)^(Person1!AW82-Person1!$B$36)-CHOOSE(Person1!$B$39+1,0,BD82,BE82,BD82+BE82),0),0,0))</f>
        <v>0</v>
      </c>
      <c r="AT82" s="4">
        <f t="shared" si="292"/>
        <v>0</v>
      </c>
      <c r="AV82">
        <f t="shared" si="382"/>
        <v>2092</v>
      </c>
      <c r="AW82">
        <f t="shared" si="382"/>
        <v>97</v>
      </c>
      <c r="AX82">
        <f t="shared" si="383"/>
        <v>4.4158354551276693</v>
      </c>
      <c r="AY82">
        <f t="shared" si="384"/>
        <v>0.2264577134183747</v>
      </c>
      <c r="AZ82">
        <f t="shared" si="385"/>
        <v>3</v>
      </c>
      <c r="BB82" s="4">
        <f t="shared" si="293"/>
        <v>0</v>
      </c>
      <c r="BC82">
        <f t="shared" si="294"/>
        <v>0</v>
      </c>
      <c r="BD82" s="4">
        <f t="shared" si="295"/>
        <v>0</v>
      </c>
      <c r="BE82" s="4">
        <f t="shared" si="386"/>
        <v>0</v>
      </c>
      <c r="BF82" s="4">
        <f t="shared" si="387"/>
        <v>0</v>
      </c>
      <c r="BG82" s="4">
        <f t="shared" si="388"/>
        <v>0</v>
      </c>
      <c r="BH82" s="4">
        <f t="shared" si="296"/>
        <v>0</v>
      </c>
      <c r="BI82" s="4">
        <f t="shared" si="389"/>
        <v>0</v>
      </c>
      <c r="BJ82" s="4"/>
      <c r="BK82" s="4">
        <f t="shared" si="297"/>
        <v>0</v>
      </c>
      <c r="BL82" s="4">
        <f t="shared" si="390"/>
        <v>0</v>
      </c>
      <c r="BM82" s="4">
        <f t="shared" si="391"/>
        <v>0</v>
      </c>
      <c r="BN82" s="4">
        <v>0</v>
      </c>
      <c r="BO82" s="4">
        <f t="shared" si="392"/>
        <v>0</v>
      </c>
      <c r="BP82" s="4">
        <f t="shared" si="393"/>
        <v>0</v>
      </c>
      <c r="BQ82" s="4"/>
      <c r="BR82" s="4">
        <v>0</v>
      </c>
      <c r="BS82" s="4" t="e">
        <f t="shared" ca="1" si="298"/>
        <v>#NAME?</v>
      </c>
      <c r="BT82" s="4">
        <f t="shared" si="299"/>
        <v>0</v>
      </c>
      <c r="BU82" s="4">
        <f t="shared" si="300"/>
        <v>0</v>
      </c>
      <c r="BV82" s="4">
        <f t="shared" si="301"/>
        <v>0</v>
      </c>
      <c r="BW82" s="4" t="e">
        <f t="shared" ca="1" si="302"/>
        <v>#NAME?</v>
      </c>
      <c r="BX82" s="4" t="e">
        <f t="shared" ca="1" si="303"/>
        <v>#NAME?</v>
      </c>
      <c r="BY82" s="4" t="e">
        <f t="shared" ca="1" si="304"/>
        <v>#NAME?</v>
      </c>
      <c r="BZ82" s="4" t="e">
        <f t="shared" ca="1" si="305"/>
        <v>#NAME?</v>
      </c>
      <c r="CA82" s="4" t="e">
        <f t="shared" ca="1" si="306"/>
        <v>#NAME?</v>
      </c>
      <c r="CB82" s="4" t="e">
        <f t="shared" ca="1" si="423"/>
        <v>#NAME?</v>
      </c>
      <c r="CC82" s="4"/>
      <c r="CD82" s="4" t="e">
        <f t="shared" ca="1" si="307"/>
        <v>#NAME?</v>
      </c>
      <c r="CE82" s="4">
        <f t="shared" si="394"/>
        <v>0</v>
      </c>
      <c r="CF82" s="16">
        <f t="shared" si="308"/>
        <v>1</v>
      </c>
      <c r="CG82" s="4">
        <f t="shared" si="309"/>
        <v>0</v>
      </c>
      <c r="CH82" s="4" t="e">
        <f t="shared" ca="1" si="310"/>
        <v>#NAME?</v>
      </c>
      <c r="CI82" s="4" t="e">
        <f t="shared" ca="1" si="311"/>
        <v>#NAME?</v>
      </c>
      <c r="CJ82" s="4" t="e">
        <f t="shared" ca="1" si="395"/>
        <v>#NAME?</v>
      </c>
      <c r="CK82" s="4" t="e">
        <f t="shared" ca="1" si="312"/>
        <v>#NAME?</v>
      </c>
      <c r="CL82" s="4" t="e">
        <f t="shared" ca="1" si="313"/>
        <v>#NAME?</v>
      </c>
      <c r="CM82" s="16"/>
      <c r="CN82" s="4">
        <f t="shared" si="314"/>
        <v>0</v>
      </c>
      <c r="CO82" s="4">
        <f t="shared" si="315"/>
        <v>0</v>
      </c>
      <c r="CP82" s="4" t="e">
        <f t="shared" ca="1" si="271"/>
        <v>#NAME?</v>
      </c>
      <c r="CQ82" s="4"/>
      <c r="CR82" s="4" t="e">
        <f t="shared" ca="1" si="316"/>
        <v>#NAME?</v>
      </c>
      <c r="CS82" s="4">
        <f t="shared" ca="1" si="317"/>
        <v>114270</v>
      </c>
      <c r="CT82" s="4">
        <f t="shared" ca="1" si="318"/>
        <v>0</v>
      </c>
      <c r="CU82" s="4"/>
      <c r="CV82" s="4" t="e">
        <f t="shared" ca="1" si="396"/>
        <v>#NAME?</v>
      </c>
      <c r="CW82" s="4">
        <f t="shared" ca="1" si="319"/>
        <v>0</v>
      </c>
      <c r="CX82" s="4">
        <f t="shared" si="320"/>
        <v>0</v>
      </c>
      <c r="CY82" s="4" t="e">
        <f t="shared" ca="1" si="397"/>
        <v>#NAME?</v>
      </c>
      <c r="CZ82" s="4"/>
      <c r="DA82" s="4" t="e">
        <f t="shared" ca="1" si="321"/>
        <v>#NAME?</v>
      </c>
      <c r="DB82" s="4">
        <f t="shared" si="322"/>
        <v>0</v>
      </c>
      <c r="DC82" s="4">
        <f t="shared" si="398"/>
        <v>0</v>
      </c>
      <c r="DD82" s="4">
        <f t="shared" si="323"/>
        <v>0</v>
      </c>
      <c r="DE82" s="4" t="e">
        <f t="shared" ca="1" si="324"/>
        <v>#NAME?</v>
      </c>
      <c r="DF82" s="4" t="e">
        <f t="shared" ca="1" si="399"/>
        <v>#NAME?</v>
      </c>
      <c r="DG82" s="4" t="e">
        <f t="shared" ca="1" si="400"/>
        <v>#NAME?</v>
      </c>
      <c r="DH82" s="4">
        <f t="shared" si="325"/>
        <v>0</v>
      </c>
      <c r="DI82" s="4"/>
      <c r="DJ82" s="4" t="e">
        <f t="shared" ca="1" si="326"/>
        <v>#NAME?</v>
      </c>
      <c r="DK82" s="4">
        <f t="shared" ca="1" si="327"/>
        <v>25000</v>
      </c>
      <c r="DL82" s="4">
        <f t="shared" ca="1" si="328"/>
        <v>25000</v>
      </c>
      <c r="DM82" s="4">
        <f t="shared" si="329"/>
        <v>0</v>
      </c>
      <c r="DN82" s="4" t="e">
        <f t="shared" ca="1" si="330"/>
        <v>#NAME?</v>
      </c>
      <c r="DO82" s="4" t="e">
        <f t="shared" ca="1" si="331"/>
        <v>#NAME?</v>
      </c>
      <c r="DP82" s="4"/>
      <c r="DQ82" s="4" t="e">
        <f t="shared" ca="1" si="332"/>
        <v>#NAME?</v>
      </c>
      <c r="DR82" s="4"/>
      <c r="DS82" s="4">
        <f t="shared" si="401"/>
        <v>0</v>
      </c>
      <c r="DT82" s="4">
        <f t="shared" si="274"/>
        <v>0</v>
      </c>
      <c r="DU82" s="4">
        <f t="shared" si="333"/>
        <v>0</v>
      </c>
      <c r="DV82" s="4"/>
      <c r="DW82" s="4" t="e">
        <f t="shared" ca="1" si="402"/>
        <v>#NAME?</v>
      </c>
      <c r="DX82" s="4" t="e">
        <f t="shared" ca="1" si="334"/>
        <v>#NAME?</v>
      </c>
      <c r="DY82" s="4">
        <f t="shared" si="403"/>
        <v>0</v>
      </c>
      <c r="DZ82" s="4" t="e">
        <f t="shared" ca="1" si="335"/>
        <v>#NAME?</v>
      </c>
      <c r="EA82" s="4" t="e">
        <f t="shared" ca="1" si="336"/>
        <v>#NAME?</v>
      </c>
      <c r="EB82" s="4" t="e">
        <f t="shared" ca="1" si="337"/>
        <v>#NAME?</v>
      </c>
      <c r="EC82" s="4">
        <f t="shared" si="338"/>
        <v>2</v>
      </c>
      <c r="ED82" s="4"/>
      <c r="EE82" s="4" t="e">
        <f t="shared" ca="1" si="404"/>
        <v>#NAME?</v>
      </c>
      <c r="EF82" s="4">
        <f t="shared" si="339"/>
        <v>0</v>
      </c>
      <c r="EG82" s="4">
        <f t="shared" si="405"/>
        <v>0</v>
      </c>
      <c r="EH82" s="4" t="e">
        <f t="shared" ca="1" si="340"/>
        <v>#NAME?</v>
      </c>
      <c r="EI82" s="4" t="e">
        <f t="shared" ca="1" si="341"/>
        <v>#NAME?</v>
      </c>
      <c r="EJ82" s="4" t="e">
        <f t="shared" ca="1" si="342"/>
        <v>#NAME?</v>
      </c>
      <c r="EK82" s="4">
        <f t="shared" si="343"/>
        <v>2</v>
      </c>
      <c r="EL82" s="4">
        <f t="shared" si="344"/>
        <v>0</v>
      </c>
      <c r="EM82" s="4"/>
      <c r="EN82" s="4" t="e">
        <f t="shared" ca="1" si="406"/>
        <v>#NAME?</v>
      </c>
      <c r="EO82" s="4" t="e">
        <f t="shared" ca="1" si="345"/>
        <v>#NAME?</v>
      </c>
      <c r="EP82" s="4">
        <f t="shared" si="407"/>
        <v>0</v>
      </c>
      <c r="EQ82" s="4" t="e">
        <f t="shared" ca="1" si="346"/>
        <v>#NAME?</v>
      </c>
      <c r="ER82" s="4">
        <v>0</v>
      </c>
      <c r="ES82" s="4" t="e">
        <f t="shared" ca="1" si="419"/>
        <v>#NAME?</v>
      </c>
      <c r="ET82" s="4"/>
      <c r="EU82" s="4" t="e">
        <f t="shared" ca="1" si="408"/>
        <v>#NAME?</v>
      </c>
      <c r="EV82" s="4" t="e">
        <f t="shared" ca="1" si="347"/>
        <v>#NAME?</v>
      </c>
      <c r="EW82" s="4">
        <f t="shared" si="409"/>
        <v>0</v>
      </c>
      <c r="EX82" s="4" t="e">
        <f t="shared" ca="1" si="348"/>
        <v>#NAME?</v>
      </c>
      <c r="EY82" s="4">
        <v>0</v>
      </c>
      <c r="EZ82" s="4" t="e">
        <f t="shared" ca="1" si="420"/>
        <v>#NAME?</v>
      </c>
      <c r="FA82" s="4" t="e">
        <f t="shared" ca="1" si="410"/>
        <v>#NAME?</v>
      </c>
      <c r="FB82" s="1" t="e">
        <f t="shared" ca="1" si="349"/>
        <v>#NAME?</v>
      </c>
      <c r="FC82" s="4">
        <f t="shared" si="411"/>
        <v>0</v>
      </c>
      <c r="FD82" s="4">
        <f t="shared" si="412"/>
        <v>0</v>
      </c>
      <c r="FE82" s="4">
        <f t="shared" si="350"/>
        <v>0</v>
      </c>
      <c r="FF82" s="4">
        <f t="shared" si="351"/>
        <v>0</v>
      </c>
      <c r="FG82" s="4">
        <f t="shared" ca="1" si="352"/>
        <v>0</v>
      </c>
      <c r="FH82" s="17" t="e">
        <f t="shared" ca="1" si="353"/>
        <v>#NAME?</v>
      </c>
      <c r="FI82" s="4" t="e">
        <f t="shared" ca="1" si="354"/>
        <v>#NAME?</v>
      </c>
      <c r="FJ82" s="4"/>
      <c r="FK82" s="4" t="e">
        <f t="shared" ca="1" si="355"/>
        <v>#NAME?</v>
      </c>
      <c r="FL82" s="4"/>
      <c r="FM82" s="4">
        <v>0</v>
      </c>
      <c r="FN82" s="4">
        <v>0</v>
      </c>
      <c r="FO82" s="4">
        <v>0</v>
      </c>
      <c r="FP82" s="4">
        <v>0</v>
      </c>
      <c r="FQ82" s="4">
        <v>0</v>
      </c>
      <c r="FR82" s="4">
        <v>0</v>
      </c>
      <c r="FS82" s="4">
        <f t="shared" si="356"/>
        <v>0</v>
      </c>
      <c r="FT82" s="4">
        <f t="shared" si="357"/>
        <v>0</v>
      </c>
      <c r="FU82" s="4"/>
      <c r="FV82" s="3">
        <f t="shared" si="358"/>
        <v>0</v>
      </c>
      <c r="FW82" s="3">
        <f t="shared" si="359"/>
        <v>0</v>
      </c>
      <c r="FX82" s="4">
        <f t="shared" si="413"/>
        <v>2092</v>
      </c>
      <c r="FY82" s="4">
        <f t="shared" si="360"/>
        <v>0</v>
      </c>
      <c r="FZ82" s="4">
        <f t="shared" si="361"/>
        <v>0</v>
      </c>
      <c r="GA82" s="4">
        <f t="shared" si="362"/>
        <v>0</v>
      </c>
      <c r="GB82" s="4">
        <f t="shared" si="363"/>
        <v>0</v>
      </c>
      <c r="GC82" s="4" t="e">
        <f t="shared" ca="1" si="364"/>
        <v>#NAME?</v>
      </c>
      <c r="GD82" s="4" t="e">
        <f t="shared" ca="1" si="365"/>
        <v>#NAME?</v>
      </c>
      <c r="GE82" s="4" t="e">
        <f t="shared" ca="1" si="366"/>
        <v>#NAME?</v>
      </c>
      <c r="GF82" s="4" t="e">
        <f t="shared" ca="1" si="367"/>
        <v>#NAME?</v>
      </c>
      <c r="GG82" s="18" t="e">
        <f t="shared" ca="1" si="368"/>
        <v>#NAME?</v>
      </c>
      <c r="GH82" s="18" t="e">
        <f t="shared" ca="1" si="369"/>
        <v>#NAME?</v>
      </c>
      <c r="GI82" s="4"/>
      <c r="GJ82" s="4">
        <f t="shared" si="421"/>
        <v>2092</v>
      </c>
      <c r="GK82" s="4" t="e">
        <f t="shared" ca="1" si="370"/>
        <v>#NAME?</v>
      </c>
      <c r="GL82" s="4" t="e">
        <f t="shared" ca="1" si="371"/>
        <v>#NAME?</v>
      </c>
      <c r="GM82" s="4" t="e">
        <f t="shared" ca="1" si="372"/>
        <v>#NAME?</v>
      </c>
      <c r="GN82" s="4" t="e">
        <f t="shared" ca="1" si="373"/>
        <v>#NAME?</v>
      </c>
      <c r="GO82" s="4"/>
      <c r="GP82" s="3" t="e">
        <f t="shared" ca="1" si="414"/>
        <v>#NAME?</v>
      </c>
      <c r="GQ82" s="3" t="e">
        <f t="shared" ca="1" si="374"/>
        <v>#NAME?</v>
      </c>
      <c r="GR82" s="3" t="e">
        <f t="shared" ca="1" si="375"/>
        <v>#NAME?</v>
      </c>
      <c r="GS82" s="3" t="e">
        <f t="shared" ca="1" si="376"/>
        <v>#NAME?</v>
      </c>
      <c r="GT82" s="3" t="e">
        <f t="array" aca="1" ref="GT82" ca="1">SUM(GP82:GS82*$GU$6:$GX$6)</f>
        <v>#NAME?</v>
      </c>
      <c r="GU82" s="3" t="e">
        <f t="shared" ca="1" si="415"/>
        <v>#NAME?</v>
      </c>
      <c r="GV82" s="3" t="e">
        <f t="shared" ca="1" si="416"/>
        <v>#NAME?</v>
      </c>
      <c r="GW82" s="3" t="e">
        <f t="shared" ca="1" si="417"/>
        <v>#NAME?</v>
      </c>
      <c r="GX82" s="3" t="e">
        <f t="shared" ca="1" si="418"/>
        <v>#NAME?</v>
      </c>
      <c r="GY82" s="11"/>
      <c r="HJ82">
        <f t="shared" si="422"/>
        <v>2085</v>
      </c>
      <c r="HK82" s="28">
        <f t="shared" si="424"/>
        <v>99480</v>
      </c>
      <c r="HL82" s="27">
        <f t="shared" si="425"/>
        <v>21500</v>
      </c>
      <c r="HM82" s="28">
        <f t="shared" si="426"/>
        <v>21566.245319280799</v>
      </c>
    </row>
    <row r="83" spans="1:221" x14ac:dyDescent="0.25">
      <c r="A83" t="s">
        <v>695</v>
      </c>
      <c r="B83" s="62">
        <f>Inputs_Summary!AK79</f>
        <v>35148</v>
      </c>
      <c r="D83">
        <f t="shared" si="377"/>
        <v>2093</v>
      </c>
      <c r="E83">
        <f t="shared" si="377"/>
        <v>98</v>
      </c>
      <c r="F83" s="8"/>
      <c r="G83" s="8"/>
      <c r="H83" s="8"/>
      <c r="I83" s="8"/>
      <c r="J83" s="92"/>
      <c r="K83" s="91"/>
      <c r="L83" s="91"/>
      <c r="N83" s="93">
        <f t="shared" si="378"/>
        <v>0.05</v>
      </c>
      <c r="O83" s="23">
        <f t="shared" si="379"/>
        <v>0</v>
      </c>
      <c r="P83" s="23">
        <f t="shared" si="380"/>
        <v>0.4</v>
      </c>
      <c r="Q83" s="4">
        <f t="shared" si="276"/>
        <v>0</v>
      </c>
      <c r="R83" s="4">
        <f t="shared" si="381"/>
        <v>0</v>
      </c>
      <c r="S83" s="4">
        <f t="shared" si="277"/>
        <v>0</v>
      </c>
      <c r="T83" s="4">
        <f t="shared" ca="1" si="278"/>
        <v>0</v>
      </c>
      <c r="V83" s="18" t="e">
        <f t="shared" ca="1" si="279"/>
        <v>#NAME?</v>
      </c>
      <c r="W83" s="18" t="e">
        <f t="shared" ca="1" si="280"/>
        <v>#NAME?</v>
      </c>
      <c r="X83" s="18">
        <f t="shared" si="281"/>
        <v>0</v>
      </c>
      <c r="Y83" s="18" t="e">
        <f t="shared" ca="1" si="282"/>
        <v>#NAME?</v>
      </c>
      <c r="Z83" s="18" t="e">
        <f t="shared" ca="1" si="283"/>
        <v>#NAME?</v>
      </c>
      <c r="AA83" s="18" t="e">
        <f t="shared" ca="1" si="284"/>
        <v>#NAME?</v>
      </c>
      <c r="AB83" s="18" t="e">
        <f t="shared" ca="1" si="285"/>
        <v>#NAME?</v>
      </c>
      <c r="AC83" s="18" t="e">
        <f t="shared" ca="1" si="286"/>
        <v>#NAME?</v>
      </c>
      <c r="AD83" s="18" t="e">
        <f t="shared" ca="1" si="287"/>
        <v>#NAME?</v>
      </c>
      <c r="AE83" s="18" t="e">
        <f t="shared" ca="1" si="288"/>
        <v>#NAME?</v>
      </c>
      <c r="AF83" s="18" t="e">
        <f t="shared" ca="1" si="289"/>
        <v>#NAME?</v>
      </c>
      <c r="AG83" s="18" t="e">
        <f t="shared" ca="1" si="290"/>
        <v>#NAME?</v>
      </c>
      <c r="AI83">
        <f>Person1!E83</f>
        <v>98</v>
      </c>
      <c r="AJ83">
        <f>Person1!AZ83</f>
        <v>3</v>
      </c>
      <c r="AK83">
        <f>IF(AZ83&lt;&gt;3,Person1!FM83,0)</f>
        <v>0</v>
      </c>
      <c r="AL83" s="4">
        <f>IF($AZ83&lt;&gt;3,Person1!FN83+Person1!FT83,0)</f>
        <v>0</v>
      </c>
      <c r="AM83">
        <f>IF($AZ83&lt;&gt;3,Person1!FO83,0)</f>
        <v>0</v>
      </c>
      <c r="AN83">
        <f>IF($AZ83&lt;&gt;3,Person1!FP83,0)</f>
        <v>0</v>
      </c>
      <c r="AO83">
        <f>IF($AZ83&lt;&gt;3,Person1!FQ83,0)</f>
        <v>0</v>
      </c>
      <c r="AP83">
        <f>IF($AZ83&lt;&gt;3,Person1!FR83,0)</f>
        <v>0</v>
      </c>
      <c r="AQ83" s="4">
        <f t="shared" si="291"/>
        <v>0</v>
      </c>
      <c r="AR83" s="4">
        <f>Person1!FS83</f>
        <v>0</v>
      </c>
      <c r="AS83" s="4">
        <f>$B$41*MAX(0,CHOOSE($AZ83,0,IF(AND(Person1!AW83&gt;=Person1!$B$36,AV83&gt;=$B$93),Person1!$B$35*(1+Person1!$B$37)^(Person1!$B$36-Person1!$B$11)*(1+Person1!$B$38)^(Person1!AW83-Person1!$B$36)-CHOOSE(Person1!$B$39+1,0,BD83,BE83,BD83+BE83),0),0,0))</f>
        <v>0</v>
      </c>
      <c r="AT83" s="4">
        <f t="shared" si="292"/>
        <v>0</v>
      </c>
      <c r="AV83">
        <f t="shared" si="382"/>
        <v>2093</v>
      </c>
      <c r="AW83">
        <f t="shared" si="382"/>
        <v>98</v>
      </c>
      <c r="AX83">
        <f t="shared" si="383"/>
        <v>4.5041521642302227</v>
      </c>
      <c r="AY83">
        <f t="shared" si="384"/>
        <v>0.22201736609644579</v>
      </c>
      <c r="AZ83">
        <f t="shared" si="385"/>
        <v>3</v>
      </c>
      <c r="BB83" s="4">
        <f t="shared" si="293"/>
        <v>0</v>
      </c>
      <c r="BC83">
        <f t="shared" si="294"/>
        <v>0</v>
      </c>
      <c r="BD83" s="4">
        <f t="shared" si="295"/>
        <v>0</v>
      </c>
      <c r="BE83" s="4">
        <f t="shared" si="386"/>
        <v>0</v>
      </c>
      <c r="BF83" s="4">
        <f t="shared" si="387"/>
        <v>0</v>
      </c>
      <c r="BG83" s="4">
        <f t="shared" si="388"/>
        <v>0</v>
      </c>
      <c r="BH83" s="4">
        <f t="shared" si="296"/>
        <v>0</v>
      </c>
      <c r="BI83" s="4">
        <f t="shared" si="389"/>
        <v>0</v>
      </c>
      <c r="BJ83" s="4"/>
      <c r="BK83" s="4">
        <f t="shared" si="297"/>
        <v>0</v>
      </c>
      <c r="BL83" s="4">
        <f t="shared" si="390"/>
        <v>0</v>
      </c>
      <c r="BM83" s="4">
        <f t="shared" si="391"/>
        <v>0</v>
      </c>
      <c r="BN83" s="4">
        <v>0</v>
      </c>
      <c r="BO83" s="4">
        <f t="shared" si="392"/>
        <v>0</v>
      </c>
      <c r="BP83" s="4">
        <f t="shared" si="393"/>
        <v>0</v>
      </c>
      <c r="BQ83" s="4"/>
      <c r="BR83" s="4">
        <v>0</v>
      </c>
      <c r="BS83" s="4" t="e">
        <f t="shared" ca="1" si="298"/>
        <v>#NAME?</v>
      </c>
      <c r="BT83" s="4">
        <f t="shared" si="299"/>
        <v>0</v>
      </c>
      <c r="BU83" s="4">
        <f t="shared" si="300"/>
        <v>0</v>
      </c>
      <c r="BV83" s="4">
        <f t="shared" si="301"/>
        <v>0</v>
      </c>
      <c r="BW83" s="4" t="e">
        <f t="shared" ca="1" si="302"/>
        <v>#NAME?</v>
      </c>
      <c r="BX83" s="4" t="e">
        <f t="shared" ca="1" si="303"/>
        <v>#NAME?</v>
      </c>
      <c r="BY83" s="4" t="e">
        <f t="shared" ca="1" si="304"/>
        <v>#NAME?</v>
      </c>
      <c r="BZ83" s="4" t="e">
        <f t="shared" ca="1" si="305"/>
        <v>#NAME?</v>
      </c>
      <c r="CA83" s="4" t="e">
        <f t="shared" ca="1" si="306"/>
        <v>#NAME?</v>
      </c>
      <c r="CB83" s="4" t="e">
        <f t="shared" ca="1" si="423"/>
        <v>#NAME?</v>
      </c>
      <c r="CC83" s="4"/>
      <c r="CD83" s="4" t="e">
        <f t="shared" ca="1" si="307"/>
        <v>#NAME?</v>
      </c>
      <c r="CE83" s="4">
        <f t="shared" si="394"/>
        <v>0</v>
      </c>
      <c r="CF83" s="16">
        <f t="shared" si="308"/>
        <v>1</v>
      </c>
      <c r="CG83" s="4">
        <f t="shared" si="309"/>
        <v>0</v>
      </c>
      <c r="CH83" s="4" t="e">
        <f t="shared" ca="1" si="310"/>
        <v>#NAME?</v>
      </c>
      <c r="CI83" s="4" t="e">
        <f t="shared" ca="1" si="311"/>
        <v>#NAME?</v>
      </c>
      <c r="CJ83" s="4" t="e">
        <f t="shared" ca="1" si="395"/>
        <v>#NAME?</v>
      </c>
      <c r="CK83" s="4" t="e">
        <f t="shared" ca="1" si="312"/>
        <v>#NAME?</v>
      </c>
      <c r="CL83" s="4" t="e">
        <f t="shared" ca="1" si="313"/>
        <v>#NAME?</v>
      </c>
      <c r="CM83" s="16"/>
      <c r="CN83" s="4">
        <f t="shared" si="314"/>
        <v>0</v>
      </c>
      <c r="CO83" s="4">
        <f t="shared" si="315"/>
        <v>0</v>
      </c>
      <c r="CP83" s="4" t="e">
        <f t="shared" ca="1" si="271"/>
        <v>#NAME?</v>
      </c>
      <c r="CQ83" s="4"/>
      <c r="CR83" s="4" t="e">
        <f t="shared" ca="1" si="316"/>
        <v>#NAME?</v>
      </c>
      <c r="CS83" s="4">
        <f t="shared" ca="1" si="317"/>
        <v>116560</v>
      </c>
      <c r="CT83" s="4">
        <f t="shared" ca="1" si="318"/>
        <v>0</v>
      </c>
      <c r="CU83" s="4"/>
      <c r="CV83" s="4" t="e">
        <f t="shared" ca="1" si="396"/>
        <v>#NAME?</v>
      </c>
      <c r="CW83" s="4">
        <f t="shared" ca="1" si="319"/>
        <v>0</v>
      </c>
      <c r="CX83" s="4">
        <f t="shared" si="320"/>
        <v>0</v>
      </c>
      <c r="CY83" s="4" t="e">
        <f t="shared" ca="1" si="397"/>
        <v>#NAME?</v>
      </c>
      <c r="CZ83" s="4"/>
      <c r="DA83" s="4" t="e">
        <f t="shared" ca="1" si="321"/>
        <v>#NAME?</v>
      </c>
      <c r="DB83" s="4">
        <f t="shared" si="322"/>
        <v>0</v>
      </c>
      <c r="DC83" s="4">
        <f t="shared" si="398"/>
        <v>0</v>
      </c>
      <c r="DD83" s="4">
        <f t="shared" si="323"/>
        <v>0</v>
      </c>
      <c r="DE83" s="4" t="e">
        <f t="shared" ca="1" si="324"/>
        <v>#NAME?</v>
      </c>
      <c r="DF83" s="4" t="e">
        <f t="shared" ca="1" si="399"/>
        <v>#NAME?</v>
      </c>
      <c r="DG83" s="4" t="e">
        <f t="shared" ca="1" si="400"/>
        <v>#NAME?</v>
      </c>
      <c r="DH83" s="4">
        <f t="shared" si="325"/>
        <v>0</v>
      </c>
      <c r="DI83" s="4"/>
      <c r="DJ83" s="4" t="e">
        <f t="shared" ca="1" si="326"/>
        <v>#NAME?</v>
      </c>
      <c r="DK83" s="4">
        <f t="shared" ca="1" si="327"/>
        <v>25500</v>
      </c>
      <c r="DL83" s="4">
        <f t="shared" ca="1" si="328"/>
        <v>25500</v>
      </c>
      <c r="DM83" s="4">
        <f t="shared" si="329"/>
        <v>0</v>
      </c>
      <c r="DN83" s="4" t="e">
        <f t="shared" ca="1" si="330"/>
        <v>#NAME?</v>
      </c>
      <c r="DO83" s="4" t="e">
        <f t="shared" ca="1" si="331"/>
        <v>#NAME?</v>
      </c>
      <c r="DP83" s="4"/>
      <c r="DQ83" s="4" t="e">
        <f t="shared" ca="1" si="332"/>
        <v>#NAME?</v>
      </c>
      <c r="DR83" s="4"/>
      <c r="DS83" s="4">
        <f t="shared" si="401"/>
        <v>0</v>
      </c>
      <c r="DT83" s="4">
        <f t="shared" si="274"/>
        <v>0</v>
      </c>
      <c r="DU83" s="4">
        <f t="shared" si="333"/>
        <v>0</v>
      </c>
      <c r="DV83" s="4"/>
      <c r="DW83" s="4" t="e">
        <f t="shared" ca="1" si="402"/>
        <v>#NAME?</v>
      </c>
      <c r="DX83" s="4" t="e">
        <f t="shared" ca="1" si="334"/>
        <v>#NAME?</v>
      </c>
      <c r="DY83" s="4">
        <f t="shared" si="403"/>
        <v>0</v>
      </c>
      <c r="DZ83" s="4" t="e">
        <f t="shared" ca="1" si="335"/>
        <v>#NAME?</v>
      </c>
      <c r="EA83" s="4" t="e">
        <f t="shared" ca="1" si="336"/>
        <v>#NAME?</v>
      </c>
      <c r="EB83" s="4" t="e">
        <f t="shared" ca="1" si="337"/>
        <v>#NAME?</v>
      </c>
      <c r="EC83" s="4">
        <f t="shared" si="338"/>
        <v>2</v>
      </c>
      <c r="ED83" s="4"/>
      <c r="EE83" s="4" t="e">
        <f t="shared" ca="1" si="404"/>
        <v>#NAME?</v>
      </c>
      <c r="EF83" s="4">
        <f t="shared" si="339"/>
        <v>0</v>
      </c>
      <c r="EG83" s="4">
        <f t="shared" si="405"/>
        <v>0</v>
      </c>
      <c r="EH83" s="4" t="e">
        <f t="shared" ca="1" si="340"/>
        <v>#NAME?</v>
      </c>
      <c r="EI83" s="4" t="e">
        <f t="shared" ca="1" si="341"/>
        <v>#NAME?</v>
      </c>
      <c r="EJ83" s="4" t="e">
        <f t="shared" ca="1" si="342"/>
        <v>#NAME?</v>
      </c>
      <c r="EK83" s="4">
        <f t="shared" si="343"/>
        <v>2</v>
      </c>
      <c r="EL83" s="4">
        <f t="shared" si="344"/>
        <v>0</v>
      </c>
      <c r="EM83" s="4"/>
      <c r="EN83" s="4" t="e">
        <f t="shared" ca="1" si="406"/>
        <v>#NAME?</v>
      </c>
      <c r="EO83" s="4" t="e">
        <f t="shared" ca="1" si="345"/>
        <v>#NAME?</v>
      </c>
      <c r="EP83" s="4">
        <f t="shared" si="407"/>
        <v>0</v>
      </c>
      <c r="EQ83" s="4" t="e">
        <f t="shared" ca="1" si="346"/>
        <v>#NAME?</v>
      </c>
      <c r="ER83" s="4">
        <v>0</v>
      </c>
      <c r="ES83" s="4" t="e">
        <f t="shared" ca="1" si="419"/>
        <v>#NAME?</v>
      </c>
      <c r="ET83" s="4"/>
      <c r="EU83" s="4" t="e">
        <f t="shared" ca="1" si="408"/>
        <v>#NAME?</v>
      </c>
      <c r="EV83" s="4" t="e">
        <f t="shared" ca="1" si="347"/>
        <v>#NAME?</v>
      </c>
      <c r="EW83" s="4">
        <f t="shared" si="409"/>
        <v>0</v>
      </c>
      <c r="EX83" s="4" t="e">
        <f t="shared" ca="1" si="348"/>
        <v>#NAME?</v>
      </c>
      <c r="EY83" s="4">
        <v>0</v>
      </c>
      <c r="EZ83" s="4" t="e">
        <f t="shared" ca="1" si="420"/>
        <v>#NAME?</v>
      </c>
      <c r="FA83" s="4" t="e">
        <f t="shared" ca="1" si="410"/>
        <v>#NAME?</v>
      </c>
      <c r="FB83" s="1" t="e">
        <f t="shared" ca="1" si="349"/>
        <v>#NAME?</v>
      </c>
      <c r="FC83" s="4">
        <f t="shared" si="411"/>
        <v>0</v>
      </c>
      <c r="FD83" s="4">
        <f t="shared" si="412"/>
        <v>0</v>
      </c>
      <c r="FE83" s="4">
        <f t="shared" si="350"/>
        <v>0</v>
      </c>
      <c r="FF83" s="4">
        <f t="shared" si="351"/>
        <v>0</v>
      </c>
      <c r="FG83" s="4">
        <f t="shared" ca="1" si="352"/>
        <v>0</v>
      </c>
      <c r="FH83" s="17" t="e">
        <f t="shared" ca="1" si="353"/>
        <v>#NAME?</v>
      </c>
      <c r="FI83" s="4" t="e">
        <f t="shared" ca="1" si="354"/>
        <v>#NAME?</v>
      </c>
      <c r="FJ83" s="4"/>
      <c r="FK83" s="4" t="e">
        <f t="shared" ca="1" si="355"/>
        <v>#NAME?</v>
      </c>
      <c r="FL83" s="4"/>
      <c r="FM83" s="4">
        <v>0</v>
      </c>
      <c r="FN83" s="4">
        <v>0</v>
      </c>
      <c r="FO83" s="4">
        <v>0</v>
      </c>
      <c r="FP83" s="4">
        <v>0</v>
      </c>
      <c r="FQ83" s="4">
        <v>0</v>
      </c>
      <c r="FR83" s="4">
        <v>0</v>
      </c>
      <c r="FS83" s="4">
        <f t="shared" si="356"/>
        <v>0</v>
      </c>
      <c r="FT83" s="4">
        <f t="shared" si="357"/>
        <v>0</v>
      </c>
      <c r="FU83" s="4"/>
      <c r="FV83" s="3">
        <f t="shared" si="358"/>
        <v>0</v>
      </c>
      <c r="FW83" s="3">
        <f t="shared" si="359"/>
        <v>0</v>
      </c>
      <c r="FX83" s="4">
        <f t="shared" si="413"/>
        <v>2093</v>
      </c>
      <c r="FY83" s="4">
        <f t="shared" si="360"/>
        <v>0</v>
      </c>
      <c r="FZ83" s="4">
        <f t="shared" si="361"/>
        <v>0</v>
      </c>
      <c r="GA83" s="4">
        <f t="shared" si="362"/>
        <v>0</v>
      </c>
      <c r="GB83" s="4">
        <f t="shared" si="363"/>
        <v>0</v>
      </c>
      <c r="GC83" s="4" t="e">
        <f t="shared" ca="1" si="364"/>
        <v>#NAME?</v>
      </c>
      <c r="GD83" s="4" t="e">
        <f t="shared" ca="1" si="365"/>
        <v>#NAME?</v>
      </c>
      <c r="GE83" s="4" t="e">
        <f t="shared" ca="1" si="366"/>
        <v>#NAME?</v>
      </c>
      <c r="GF83" s="4" t="e">
        <f t="shared" ca="1" si="367"/>
        <v>#NAME?</v>
      </c>
      <c r="GG83" s="18" t="e">
        <f t="shared" ca="1" si="368"/>
        <v>#NAME?</v>
      </c>
      <c r="GH83" s="18" t="e">
        <f t="shared" ca="1" si="369"/>
        <v>#NAME?</v>
      </c>
      <c r="GI83" s="4"/>
      <c r="GJ83" s="4">
        <f t="shared" si="421"/>
        <v>2093</v>
      </c>
      <c r="GK83" s="4" t="e">
        <f t="shared" ca="1" si="370"/>
        <v>#NAME?</v>
      </c>
      <c r="GL83" s="4" t="e">
        <f t="shared" ca="1" si="371"/>
        <v>#NAME?</v>
      </c>
      <c r="GM83" s="4" t="e">
        <f t="shared" ca="1" si="372"/>
        <v>#NAME?</v>
      </c>
      <c r="GN83" s="4" t="e">
        <f t="shared" ca="1" si="373"/>
        <v>#NAME?</v>
      </c>
      <c r="GO83" s="4"/>
      <c r="GP83" s="3" t="e">
        <f t="shared" ca="1" si="414"/>
        <v>#NAME?</v>
      </c>
      <c r="GQ83" s="3" t="e">
        <f t="shared" ca="1" si="374"/>
        <v>#NAME?</v>
      </c>
      <c r="GR83" s="3" t="e">
        <f t="shared" ca="1" si="375"/>
        <v>#NAME?</v>
      </c>
      <c r="GS83" s="3" t="e">
        <f t="shared" ca="1" si="376"/>
        <v>#NAME?</v>
      </c>
      <c r="GT83" s="3" t="e">
        <f t="array" aca="1" ref="GT83" ca="1">SUM(GP83:GS83*$GU$6:$GX$6)</f>
        <v>#NAME?</v>
      </c>
      <c r="GU83" s="3" t="e">
        <f t="shared" ca="1" si="415"/>
        <v>#NAME?</v>
      </c>
      <c r="GV83" s="3" t="e">
        <f t="shared" ca="1" si="416"/>
        <v>#NAME?</v>
      </c>
      <c r="GW83" s="3" t="e">
        <f t="shared" ca="1" si="417"/>
        <v>#NAME?</v>
      </c>
      <c r="GX83" s="3" t="e">
        <f t="shared" ca="1" si="418"/>
        <v>#NAME?</v>
      </c>
      <c r="GY83" s="11"/>
      <c r="HJ83">
        <f t="shared" si="422"/>
        <v>2086</v>
      </c>
      <c r="HK83" s="28">
        <f t="shared" si="424"/>
        <v>101470</v>
      </c>
      <c r="HL83" s="27">
        <f t="shared" si="425"/>
        <v>22000</v>
      </c>
      <c r="HM83" s="28">
        <f t="shared" si="426"/>
        <v>21997.570225666415</v>
      </c>
    </row>
    <row r="84" spans="1:221" x14ac:dyDescent="0.25">
      <c r="D84">
        <f t="shared" si="377"/>
        <v>2094</v>
      </c>
      <c r="E84">
        <f t="shared" si="377"/>
        <v>99</v>
      </c>
      <c r="F84" s="8"/>
      <c r="G84" s="8"/>
      <c r="H84" s="8"/>
      <c r="I84" s="8"/>
      <c r="J84" s="92"/>
      <c r="K84" s="91"/>
      <c r="L84" s="91"/>
      <c r="N84" s="93">
        <f t="shared" si="378"/>
        <v>0.05</v>
      </c>
      <c r="O84" s="23">
        <f t="shared" si="379"/>
        <v>0</v>
      </c>
      <c r="P84" s="23">
        <f t="shared" si="380"/>
        <v>0.4</v>
      </c>
      <c r="Q84" s="4">
        <f t="shared" si="276"/>
        <v>0</v>
      </c>
      <c r="R84" s="4">
        <f t="shared" si="381"/>
        <v>0</v>
      </c>
      <c r="S84" s="4">
        <f t="shared" si="277"/>
        <v>0</v>
      </c>
      <c r="T84" s="4">
        <f t="shared" ca="1" si="278"/>
        <v>0</v>
      </c>
      <c r="V84" s="18" t="e">
        <f t="shared" ca="1" si="279"/>
        <v>#NAME?</v>
      </c>
      <c r="W84" s="18" t="e">
        <f t="shared" ca="1" si="280"/>
        <v>#NAME?</v>
      </c>
      <c r="X84" s="18">
        <f t="shared" si="281"/>
        <v>0</v>
      </c>
      <c r="Y84" s="18" t="e">
        <f t="shared" ca="1" si="282"/>
        <v>#NAME?</v>
      </c>
      <c r="Z84" s="18" t="e">
        <f t="shared" ca="1" si="283"/>
        <v>#NAME?</v>
      </c>
      <c r="AA84" s="18" t="e">
        <f t="shared" ca="1" si="284"/>
        <v>#NAME?</v>
      </c>
      <c r="AB84" s="18" t="e">
        <f t="shared" ca="1" si="285"/>
        <v>#NAME?</v>
      </c>
      <c r="AC84" s="18" t="e">
        <f t="shared" ca="1" si="286"/>
        <v>#NAME?</v>
      </c>
      <c r="AD84" s="18" t="e">
        <f t="shared" ca="1" si="287"/>
        <v>#NAME?</v>
      </c>
      <c r="AE84" s="18" t="e">
        <f t="shared" ca="1" si="288"/>
        <v>#NAME?</v>
      </c>
      <c r="AF84" s="18" t="e">
        <f t="shared" ca="1" si="289"/>
        <v>#NAME?</v>
      </c>
      <c r="AG84" s="18" t="e">
        <f t="shared" ca="1" si="290"/>
        <v>#NAME?</v>
      </c>
      <c r="AI84">
        <f>Person1!E84</f>
        <v>99</v>
      </c>
      <c r="AJ84">
        <f>Person1!AZ84</f>
        <v>3</v>
      </c>
      <c r="AK84">
        <f>IF(AZ84&lt;&gt;3,Person1!FM84,0)</f>
        <v>0</v>
      </c>
      <c r="AL84" s="4">
        <f>IF($AZ84&lt;&gt;3,Person1!FN84+Person1!FT84,0)</f>
        <v>0</v>
      </c>
      <c r="AM84">
        <f>IF($AZ84&lt;&gt;3,Person1!FO84,0)</f>
        <v>0</v>
      </c>
      <c r="AN84">
        <f>IF($AZ84&lt;&gt;3,Person1!FP84,0)</f>
        <v>0</v>
      </c>
      <c r="AO84">
        <f>IF($AZ84&lt;&gt;3,Person1!FQ84,0)</f>
        <v>0</v>
      </c>
      <c r="AP84">
        <f>IF($AZ84&lt;&gt;3,Person1!FR84,0)</f>
        <v>0</v>
      </c>
      <c r="AQ84" s="4">
        <f t="shared" si="291"/>
        <v>0</v>
      </c>
      <c r="AR84" s="4">
        <f>Person1!FS84</f>
        <v>0</v>
      </c>
      <c r="AS84" s="4">
        <f>$B$41*MAX(0,CHOOSE($AZ84,0,IF(AND(Person1!AW84&gt;=Person1!$B$36,AV84&gt;=$B$93),Person1!$B$35*(1+Person1!$B$37)^(Person1!$B$36-Person1!$B$11)*(1+Person1!$B$38)^(Person1!AW84-Person1!$B$36)-CHOOSE(Person1!$B$39+1,0,BD84,BE84,BD84+BE84),0),0,0))</f>
        <v>0</v>
      </c>
      <c r="AT84" s="4">
        <f t="shared" si="292"/>
        <v>0</v>
      </c>
      <c r="AV84">
        <f t="shared" si="382"/>
        <v>2094</v>
      </c>
      <c r="AW84">
        <f t="shared" si="382"/>
        <v>99</v>
      </c>
      <c r="AX84">
        <f t="shared" si="383"/>
        <v>4.5942352075148269</v>
      </c>
      <c r="AY84">
        <f t="shared" si="384"/>
        <v>0.2176640844082802</v>
      </c>
      <c r="AZ84">
        <f t="shared" si="385"/>
        <v>3</v>
      </c>
      <c r="BB84" s="4">
        <f t="shared" si="293"/>
        <v>0</v>
      </c>
      <c r="BC84">
        <f t="shared" si="294"/>
        <v>0</v>
      </c>
      <c r="BD84" s="4">
        <f t="shared" si="295"/>
        <v>0</v>
      </c>
      <c r="BE84" s="4">
        <f t="shared" si="386"/>
        <v>0</v>
      </c>
      <c r="BF84" s="4">
        <f t="shared" si="387"/>
        <v>0</v>
      </c>
      <c r="BG84" s="4">
        <f t="shared" si="388"/>
        <v>0</v>
      </c>
      <c r="BH84" s="4">
        <f t="shared" si="296"/>
        <v>0</v>
      </c>
      <c r="BI84" s="4">
        <f t="shared" si="389"/>
        <v>0</v>
      </c>
      <c r="BJ84" s="4"/>
      <c r="BK84" s="4">
        <f t="shared" si="297"/>
        <v>0</v>
      </c>
      <c r="BL84" s="4">
        <f t="shared" si="390"/>
        <v>0</v>
      </c>
      <c r="BM84" s="4">
        <f t="shared" si="391"/>
        <v>0</v>
      </c>
      <c r="BN84" s="4">
        <v>0</v>
      </c>
      <c r="BO84" s="4">
        <f t="shared" si="392"/>
        <v>0</v>
      </c>
      <c r="BP84" s="4">
        <f t="shared" si="393"/>
        <v>0</v>
      </c>
      <c r="BQ84" s="4"/>
      <c r="BR84" s="4">
        <v>0</v>
      </c>
      <c r="BS84" s="4" t="e">
        <f t="shared" ca="1" si="298"/>
        <v>#NAME?</v>
      </c>
      <c r="BT84" s="4">
        <f t="shared" si="299"/>
        <v>0</v>
      </c>
      <c r="BU84" s="4">
        <f t="shared" si="300"/>
        <v>0</v>
      </c>
      <c r="BV84" s="4">
        <f t="shared" si="301"/>
        <v>0</v>
      </c>
      <c r="BW84" s="4" t="e">
        <f t="shared" ca="1" si="302"/>
        <v>#NAME?</v>
      </c>
      <c r="BX84" s="4" t="e">
        <f t="shared" ca="1" si="303"/>
        <v>#NAME?</v>
      </c>
      <c r="BY84" s="4" t="e">
        <f t="shared" ca="1" si="304"/>
        <v>#NAME?</v>
      </c>
      <c r="BZ84" s="4" t="e">
        <f t="shared" ca="1" si="305"/>
        <v>#NAME?</v>
      </c>
      <c r="CA84" s="4" t="e">
        <f t="shared" ca="1" si="306"/>
        <v>#NAME?</v>
      </c>
      <c r="CB84" s="4" t="e">
        <f t="shared" ca="1" si="423"/>
        <v>#NAME?</v>
      </c>
      <c r="CC84" s="4"/>
      <c r="CD84" s="4" t="e">
        <f t="shared" ca="1" si="307"/>
        <v>#NAME?</v>
      </c>
      <c r="CE84" s="4">
        <f t="shared" si="394"/>
        <v>0</v>
      </c>
      <c r="CF84" s="16">
        <f t="shared" si="308"/>
        <v>1</v>
      </c>
      <c r="CG84" s="4">
        <f t="shared" si="309"/>
        <v>0</v>
      </c>
      <c r="CH84" s="4" t="e">
        <f t="shared" ca="1" si="310"/>
        <v>#NAME?</v>
      </c>
      <c r="CI84" s="4" t="e">
        <f t="shared" ca="1" si="311"/>
        <v>#NAME?</v>
      </c>
      <c r="CJ84" s="4" t="e">
        <f t="shared" ca="1" si="395"/>
        <v>#NAME?</v>
      </c>
      <c r="CK84" s="4" t="e">
        <f t="shared" ca="1" si="312"/>
        <v>#NAME?</v>
      </c>
      <c r="CL84" s="4" t="e">
        <f t="shared" ca="1" si="313"/>
        <v>#NAME?</v>
      </c>
      <c r="CM84" s="16"/>
      <c r="CN84" s="4">
        <f t="shared" si="314"/>
        <v>0</v>
      </c>
      <c r="CO84" s="4">
        <f t="shared" si="315"/>
        <v>0</v>
      </c>
      <c r="CP84" s="4" t="e">
        <f t="shared" ca="1" si="271"/>
        <v>#NAME?</v>
      </c>
      <c r="CQ84" s="4"/>
      <c r="CR84" s="4" t="e">
        <f t="shared" ca="1" si="316"/>
        <v>#NAME?</v>
      </c>
      <c r="CS84" s="4">
        <f t="shared" ca="1" si="317"/>
        <v>118890</v>
      </c>
      <c r="CT84" s="4">
        <f t="shared" ca="1" si="318"/>
        <v>0</v>
      </c>
      <c r="CU84" s="4"/>
      <c r="CV84" s="4" t="e">
        <f t="shared" ca="1" si="396"/>
        <v>#NAME?</v>
      </c>
      <c r="CW84" s="4">
        <f t="shared" ca="1" si="319"/>
        <v>0</v>
      </c>
      <c r="CX84" s="4">
        <f t="shared" si="320"/>
        <v>0</v>
      </c>
      <c r="CY84" s="4" t="e">
        <f t="shared" ca="1" si="397"/>
        <v>#NAME?</v>
      </c>
      <c r="CZ84" s="4"/>
      <c r="DA84" s="4" t="e">
        <f t="shared" ca="1" si="321"/>
        <v>#NAME?</v>
      </c>
      <c r="DB84" s="4">
        <f t="shared" si="322"/>
        <v>0</v>
      </c>
      <c r="DC84" s="4">
        <f t="shared" si="398"/>
        <v>0</v>
      </c>
      <c r="DD84" s="4">
        <f t="shared" si="323"/>
        <v>0</v>
      </c>
      <c r="DE84" s="4" t="e">
        <f t="shared" ca="1" si="324"/>
        <v>#NAME?</v>
      </c>
      <c r="DF84" s="4" t="e">
        <f t="shared" ca="1" si="399"/>
        <v>#NAME?</v>
      </c>
      <c r="DG84" s="4" t="e">
        <f t="shared" ca="1" si="400"/>
        <v>#NAME?</v>
      </c>
      <c r="DH84" s="4">
        <f t="shared" si="325"/>
        <v>0</v>
      </c>
      <c r="DI84" s="4"/>
      <c r="DJ84" s="4" t="e">
        <f t="shared" ca="1" si="326"/>
        <v>#NAME?</v>
      </c>
      <c r="DK84" s="4">
        <f t="shared" ca="1" si="327"/>
        <v>26000</v>
      </c>
      <c r="DL84" s="4">
        <f t="shared" ca="1" si="328"/>
        <v>26000</v>
      </c>
      <c r="DM84" s="4">
        <f t="shared" si="329"/>
        <v>0</v>
      </c>
      <c r="DN84" s="4" t="e">
        <f t="shared" ca="1" si="330"/>
        <v>#NAME?</v>
      </c>
      <c r="DO84" s="4" t="e">
        <f t="shared" ca="1" si="331"/>
        <v>#NAME?</v>
      </c>
      <c r="DP84" s="4"/>
      <c r="DQ84" s="4" t="e">
        <f t="shared" ca="1" si="332"/>
        <v>#NAME?</v>
      </c>
      <c r="DR84" s="4"/>
      <c r="DS84" s="4">
        <f t="shared" si="401"/>
        <v>0</v>
      </c>
      <c r="DT84" s="4">
        <f t="shared" si="274"/>
        <v>0</v>
      </c>
      <c r="DU84" s="4">
        <f t="shared" si="333"/>
        <v>0</v>
      </c>
      <c r="DV84" s="4"/>
      <c r="DW84" s="4" t="e">
        <f t="shared" ca="1" si="402"/>
        <v>#NAME?</v>
      </c>
      <c r="DX84" s="4" t="e">
        <f t="shared" ca="1" si="334"/>
        <v>#NAME?</v>
      </c>
      <c r="DY84" s="4">
        <f t="shared" si="403"/>
        <v>0</v>
      </c>
      <c r="DZ84" s="4" t="e">
        <f t="shared" ca="1" si="335"/>
        <v>#NAME?</v>
      </c>
      <c r="EA84" s="4" t="e">
        <f t="shared" ca="1" si="336"/>
        <v>#NAME?</v>
      </c>
      <c r="EB84" s="4" t="e">
        <f t="shared" ca="1" si="337"/>
        <v>#NAME?</v>
      </c>
      <c r="EC84" s="4">
        <f t="shared" si="338"/>
        <v>2</v>
      </c>
      <c r="ED84" s="4"/>
      <c r="EE84" s="4" t="e">
        <f t="shared" ca="1" si="404"/>
        <v>#NAME?</v>
      </c>
      <c r="EF84" s="4">
        <f t="shared" si="339"/>
        <v>0</v>
      </c>
      <c r="EG84" s="4">
        <f t="shared" si="405"/>
        <v>0</v>
      </c>
      <c r="EH84" s="4" t="e">
        <f t="shared" ca="1" si="340"/>
        <v>#NAME?</v>
      </c>
      <c r="EI84" s="4" t="e">
        <f t="shared" ca="1" si="341"/>
        <v>#NAME?</v>
      </c>
      <c r="EJ84" s="4" t="e">
        <f t="shared" ca="1" si="342"/>
        <v>#NAME?</v>
      </c>
      <c r="EK84" s="4">
        <f t="shared" si="343"/>
        <v>2</v>
      </c>
      <c r="EL84" s="4">
        <f t="shared" si="344"/>
        <v>0</v>
      </c>
      <c r="EM84" s="4"/>
      <c r="EN84" s="4" t="e">
        <f t="shared" ca="1" si="406"/>
        <v>#NAME?</v>
      </c>
      <c r="EO84" s="4" t="e">
        <f t="shared" ca="1" si="345"/>
        <v>#NAME?</v>
      </c>
      <c r="EP84" s="4">
        <f t="shared" si="407"/>
        <v>0</v>
      </c>
      <c r="EQ84" s="4" t="e">
        <f t="shared" ca="1" si="346"/>
        <v>#NAME?</v>
      </c>
      <c r="ER84" s="4">
        <v>0</v>
      </c>
      <c r="ES84" s="4" t="e">
        <f t="shared" ca="1" si="419"/>
        <v>#NAME?</v>
      </c>
      <c r="ET84" s="4"/>
      <c r="EU84" s="4" t="e">
        <f t="shared" ca="1" si="408"/>
        <v>#NAME?</v>
      </c>
      <c r="EV84" s="4" t="e">
        <f t="shared" ca="1" si="347"/>
        <v>#NAME?</v>
      </c>
      <c r="EW84" s="4">
        <f t="shared" si="409"/>
        <v>0</v>
      </c>
      <c r="EX84" s="4" t="e">
        <f t="shared" ca="1" si="348"/>
        <v>#NAME?</v>
      </c>
      <c r="EY84" s="4">
        <v>0</v>
      </c>
      <c r="EZ84" s="4" t="e">
        <f t="shared" ca="1" si="420"/>
        <v>#NAME?</v>
      </c>
      <c r="FA84" s="4" t="e">
        <f t="shared" ca="1" si="410"/>
        <v>#NAME?</v>
      </c>
      <c r="FB84" s="1" t="e">
        <f t="shared" ca="1" si="349"/>
        <v>#NAME?</v>
      </c>
      <c r="FC84" s="4">
        <f t="shared" si="411"/>
        <v>0</v>
      </c>
      <c r="FD84" s="4">
        <f t="shared" si="412"/>
        <v>0</v>
      </c>
      <c r="FE84" s="4">
        <f t="shared" si="350"/>
        <v>0</v>
      </c>
      <c r="FF84" s="4">
        <f t="shared" si="351"/>
        <v>0</v>
      </c>
      <c r="FG84" s="4">
        <f t="shared" ca="1" si="352"/>
        <v>0</v>
      </c>
      <c r="FH84" s="17" t="e">
        <f t="shared" ca="1" si="353"/>
        <v>#NAME?</v>
      </c>
      <c r="FI84" s="4" t="e">
        <f t="shared" ca="1" si="354"/>
        <v>#NAME?</v>
      </c>
      <c r="FJ84" s="4"/>
      <c r="FK84" s="4" t="e">
        <f t="shared" ca="1" si="355"/>
        <v>#NAME?</v>
      </c>
      <c r="FL84" s="4"/>
      <c r="FM84" s="4">
        <v>0</v>
      </c>
      <c r="FN84" s="4">
        <v>0</v>
      </c>
      <c r="FO84" s="4">
        <v>0</v>
      </c>
      <c r="FP84" s="4">
        <v>0</v>
      </c>
      <c r="FQ84" s="4">
        <v>0</v>
      </c>
      <c r="FR84" s="4">
        <v>0</v>
      </c>
      <c r="FS84" s="4">
        <f t="shared" si="356"/>
        <v>0</v>
      </c>
      <c r="FT84" s="4">
        <f t="shared" si="357"/>
        <v>0</v>
      </c>
      <c r="FU84" s="4"/>
      <c r="FV84" s="3">
        <f t="shared" si="358"/>
        <v>0</v>
      </c>
      <c r="FW84" s="3">
        <f t="shared" si="359"/>
        <v>0</v>
      </c>
      <c r="FX84" s="4">
        <f t="shared" si="413"/>
        <v>2094</v>
      </c>
      <c r="FY84" s="4">
        <f t="shared" si="360"/>
        <v>0</v>
      </c>
      <c r="FZ84" s="4">
        <f t="shared" si="361"/>
        <v>0</v>
      </c>
      <c r="GA84" s="4">
        <f t="shared" si="362"/>
        <v>0</v>
      </c>
      <c r="GB84" s="4">
        <f t="shared" si="363"/>
        <v>0</v>
      </c>
      <c r="GC84" s="4" t="e">
        <f t="shared" ca="1" si="364"/>
        <v>#NAME?</v>
      </c>
      <c r="GD84" s="4" t="e">
        <f t="shared" ca="1" si="365"/>
        <v>#NAME?</v>
      </c>
      <c r="GE84" s="4" t="e">
        <f t="shared" ca="1" si="366"/>
        <v>#NAME?</v>
      </c>
      <c r="GF84" s="4" t="e">
        <f t="shared" ca="1" si="367"/>
        <v>#NAME?</v>
      </c>
      <c r="GG84" s="18" t="e">
        <f t="shared" ca="1" si="368"/>
        <v>#NAME?</v>
      </c>
      <c r="GH84" s="18" t="e">
        <f t="shared" ca="1" si="369"/>
        <v>#NAME?</v>
      </c>
      <c r="GI84" s="4"/>
      <c r="GJ84" s="4">
        <f t="shared" si="421"/>
        <v>2094</v>
      </c>
      <c r="GK84" s="4" t="e">
        <f t="shared" ca="1" si="370"/>
        <v>#NAME?</v>
      </c>
      <c r="GL84" s="4" t="e">
        <f t="shared" ca="1" si="371"/>
        <v>#NAME?</v>
      </c>
      <c r="GM84" s="4" t="e">
        <f t="shared" ca="1" si="372"/>
        <v>#NAME?</v>
      </c>
      <c r="GN84" s="4" t="e">
        <f t="shared" ca="1" si="373"/>
        <v>#NAME?</v>
      </c>
      <c r="GO84" s="4"/>
      <c r="GP84" s="3" t="e">
        <f t="shared" ca="1" si="414"/>
        <v>#NAME?</v>
      </c>
      <c r="GQ84" s="3" t="e">
        <f t="shared" ca="1" si="374"/>
        <v>#NAME?</v>
      </c>
      <c r="GR84" s="3" t="e">
        <f t="shared" ca="1" si="375"/>
        <v>#NAME?</v>
      </c>
      <c r="GS84" s="3" t="e">
        <f t="shared" ca="1" si="376"/>
        <v>#NAME?</v>
      </c>
      <c r="GT84" s="3" t="e">
        <f t="array" aca="1" ref="GT84" ca="1">SUM(GP84:GS84*$GU$6:$GX$6)</f>
        <v>#NAME?</v>
      </c>
      <c r="GU84" s="3" t="e">
        <f t="shared" ca="1" si="415"/>
        <v>#NAME?</v>
      </c>
      <c r="GV84" s="3" t="e">
        <f t="shared" ca="1" si="416"/>
        <v>#NAME?</v>
      </c>
      <c r="GW84" s="3" t="e">
        <f t="shared" ca="1" si="417"/>
        <v>#NAME?</v>
      </c>
      <c r="GX84" s="3" t="e">
        <f t="shared" ca="1" si="418"/>
        <v>#NAME?</v>
      </c>
      <c r="GY84" s="11"/>
      <c r="HJ84">
        <f t="shared" si="422"/>
        <v>2087</v>
      </c>
      <c r="HK84" s="28">
        <f t="shared" si="424"/>
        <v>103500</v>
      </c>
      <c r="HL84" s="27">
        <f t="shared" si="425"/>
        <v>22500</v>
      </c>
      <c r="HM84" s="28">
        <f t="shared" si="426"/>
        <v>22437.521630179745</v>
      </c>
    </row>
    <row r="85" spans="1:221" x14ac:dyDescent="0.25">
      <c r="A85" s="15" t="s">
        <v>60</v>
      </c>
      <c r="D85">
        <f t="shared" si="377"/>
        <v>2095</v>
      </c>
      <c r="E85">
        <f t="shared" si="377"/>
        <v>100</v>
      </c>
      <c r="F85" s="8"/>
      <c r="G85" s="8"/>
      <c r="H85" s="8"/>
      <c r="I85" s="8"/>
      <c r="J85" s="92"/>
      <c r="K85" s="91"/>
      <c r="L85" s="91"/>
      <c r="N85" s="93">
        <f t="shared" si="378"/>
        <v>0.05</v>
      </c>
      <c r="O85" s="23">
        <f t="shared" si="379"/>
        <v>0</v>
      </c>
      <c r="P85" s="23">
        <f t="shared" si="380"/>
        <v>0.4</v>
      </c>
      <c r="Q85" s="4">
        <f t="shared" si="276"/>
        <v>0</v>
      </c>
      <c r="R85" s="4">
        <f t="shared" si="381"/>
        <v>0</v>
      </c>
      <c r="S85" s="4">
        <f t="shared" si="277"/>
        <v>0</v>
      </c>
      <c r="T85" s="4">
        <f t="shared" ca="1" si="278"/>
        <v>0</v>
      </c>
      <c r="V85" s="18" t="e">
        <f t="shared" ca="1" si="279"/>
        <v>#NAME?</v>
      </c>
      <c r="W85" s="18" t="e">
        <f t="shared" ca="1" si="280"/>
        <v>#NAME?</v>
      </c>
      <c r="X85" s="18">
        <f t="shared" si="281"/>
        <v>0</v>
      </c>
      <c r="Y85" s="18" t="e">
        <f t="shared" ca="1" si="282"/>
        <v>#NAME?</v>
      </c>
      <c r="Z85" s="18" t="e">
        <f t="shared" ca="1" si="283"/>
        <v>#NAME?</v>
      </c>
      <c r="AA85" s="18" t="e">
        <f t="shared" ca="1" si="284"/>
        <v>#NAME?</v>
      </c>
      <c r="AB85" s="18" t="e">
        <f t="shared" ca="1" si="285"/>
        <v>#NAME?</v>
      </c>
      <c r="AC85" s="18" t="e">
        <f t="shared" ca="1" si="286"/>
        <v>#NAME?</v>
      </c>
      <c r="AD85" s="18" t="e">
        <f t="shared" ca="1" si="287"/>
        <v>#NAME?</v>
      </c>
      <c r="AE85" s="18" t="e">
        <f t="shared" ca="1" si="288"/>
        <v>#NAME?</v>
      </c>
      <c r="AF85" s="18" t="e">
        <f t="shared" ca="1" si="289"/>
        <v>#NAME?</v>
      </c>
      <c r="AG85" s="18" t="e">
        <f t="shared" ca="1" si="290"/>
        <v>#NAME?</v>
      </c>
      <c r="AI85">
        <f>Person1!E85</f>
        <v>100</v>
      </c>
      <c r="AJ85">
        <f>Person1!AZ85</f>
        <v>3</v>
      </c>
      <c r="AK85">
        <f>IF(AZ85&lt;&gt;3,Person1!FM85,0)</f>
        <v>0</v>
      </c>
      <c r="AL85" s="4">
        <f>IF($AZ85&lt;&gt;3,Person1!FN85+Person1!FT85,0)</f>
        <v>0</v>
      </c>
      <c r="AM85">
        <f>IF($AZ85&lt;&gt;3,Person1!FO85,0)</f>
        <v>0</v>
      </c>
      <c r="AN85">
        <f>IF($AZ85&lt;&gt;3,Person1!FP85,0)</f>
        <v>0</v>
      </c>
      <c r="AO85">
        <f>IF($AZ85&lt;&gt;3,Person1!FQ85,0)</f>
        <v>0</v>
      </c>
      <c r="AP85">
        <f>IF($AZ85&lt;&gt;3,Person1!FR85,0)</f>
        <v>0</v>
      </c>
      <c r="AQ85" s="4">
        <f t="shared" si="291"/>
        <v>0</v>
      </c>
      <c r="AR85" s="4">
        <f>Person1!FS85</f>
        <v>0</v>
      </c>
      <c r="AS85" s="4">
        <f>$B$41*MAX(0,CHOOSE($AZ85,0,IF(AND(Person1!AW85&gt;=Person1!$B$36,AV85&gt;=$B$93),Person1!$B$35*(1+Person1!$B$37)^(Person1!$B$36-Person1!$B$11)*(1+Person1!$B$38)^(Person1!AW85-Person1!$B$36)-CHOOSE(Person1!$B$39+1,0,BD85,BE85,BD85+BE85),0),0,0))</f>
        <v>0</v>
      </c>
      <c r="AT85" s="4">
        <f t="shared" si="292"/>
        <v>0</v>
      </c>
      <c r="AV85">
        <f t="shared" si="382"/>
        <v>2095</v>
      </c>
      <c r="AW85">
        <f t="shared" si="382"/>
        <v>100</v>
      </c>
      <c r="AX85">
        <f t="shared" si="383"/>
        <v>4.6861199116651235</v>
      </c>
      <c r="AY85">
        <f t="shared" si="384"/>
        <v>0.21339616118458843</v>
      </c>
      <c r="AZ85">
        <f t="shared" si="385"/>
        <v>3</v>
      </c>
      <c r="BB85" s="4">
        <f t="shared" si="293"/>
        <v>0</v>
      </c>
      <c r="BC85">
        <f t="shared" si="294"/>
        <v>0</v>
      </c>
      <c r="BD85" s="4">
        <f t="shared" si="295"/>
        <v>0</v>
      </c>
      <c r="BE85" s="4">
        <f t="shared" si="386"/>
        <v>0</v>
      </c>
      <c r="BF85" s="4">
        <f t="shared" si="387"/>
        <v>0</v>
      </c>
      <c r="BG85" s="4">
        <f t="shared" si="388"/>
        <v>0</v>
      </c>
      <c r="BH85" s="4">
        <f t="shared" si="296"/>
        <v>0</v>
      </c>
      <c r="BI85" s="4">
        <f t="shared" si="389"/>
        <v>0</v>
      </c>
      <c r="BJ85" s="4"/>
      <c r="BK85" s="4">
        <f t="shared" si="297"/>
        <v>0</v>
      </c>
      <c r="BL85" s="4">
        <f t="shared" si="390"/>
        <v>0</v>
      </c>
      <c r="BM85" s="4">
        <f t="shared" si="391"/>
        <v>0</v>
      </c>
      <c r="BN85" s="4">
        <v>0</v>
      </c>
      <c r="BO85" s="4">
        <f t="shared" si="392"/>
        <v>0</v>
      </c>
      <c r="BP85" s="4">
        <f t="shared" si="393"/>
        <v>0</v>
      </c>
      <c r="BQ85" s="4"/>
      <c r="BR85" s="4">
        <v>0</v>
      </c>
      <c r="BS85" s="4" t="e">
        <f t="shared" ca="1" si="298"/>
        <v>#NAME?</v>
      </c>
      <c r="BT85" s="4">
        <f t="shared" si="299"/>
        <v>0</v>
      </c>
      <c r="BU85" s="4">
        <f t="shared" si="300"/>
        <v>0</v>
      </c>
      <c r="BV85" s="4">
        <f t="shared" si="301"/>
        <v>0</v>
      </c>
      <c r="BW85" s="4" t="e">
        <f t="shared" ca="1" si="302"/>
        <v>#NAME?</v>
      </c>
      <c r="BX85" s="4" t="e">
        <f t="shared" ca="1" si="303"/>
        <v>#NAME?</v>
      </c>
      <c r="BY85" s="4" t="e">
        <f t="shared" ca="1" si="304"/>
        <v>#NAME?</v>
      </c>
      <c r="BZ85" s="4" t="e">
        <f t="shared" ca="1" si="305"/>
        <v>#NAME?</v>
      </c>
      <c r="CA85" s="4" t="e">
        <f t="shared" ca="1" si="306"/>
        <v>#NAME?</v>
      </c>
      <c r="CB85" s="4" t="e">
        <f t="shared" ca="1" si="423"/>
        <v>#NAME?</v>
      </c>
      <c r="CC85" s="4"/>
      <c r="CD85" s="4" t="e">
        <f t="shared" ca="1" si="307"/>
        <v>#NAME?</v>
      </c>
      <c r="CE85" s="4">
        <f t="shared" si="394"/>
        <v>0</v>
      </c>
      <c r="CF85" s="16">
        <f t="shared" si="308"/>
        <v>1</v>
      </c>
      <c r="CG85" s="4">
        <f t="shared" si="309"/>
        <v>0</v>
      </c>
      <c r="CH85" s="4" t="e">
        <f t="shared" ca="1" si="310"/>
        <v>#NAME?</v>
      </c>
      <c r="CI85" s="4" t="e">
        <f t="shared" ca="1" si="311"/>
        <v>#NAME?</v>
      </c>
      <c r="CJ85" s="4" t="e">
        <f t="shared" ca="1" si="395"/>
        <v>#NAME?</v>
      </c>
      <c r="CK85" s="4" t="e">
        <f t="shared" ca="1" si="312"/>
        <v>#NAME?</v>
      </c>
      <c r="CL85" s="4" t="e">
        <f t="shared" ca="1" si="313"/>
        <v>#NAME?</v>
      </c>
      <c r="CM85" s="16"/>
      <c r="CN85" s="4">
        <f t="shared" si="314"/>
        <v>0</v>
      </c>
      <c r="CO85" s="4">
        <f t="shared" si="315"/>
        <v>0</v>
      </c>
      <c r="CP85" s="4" t="e">
        <f t="shared" ca="1" si="271"/>
        <v>#NAME?</v>
      </c>
      <c r="CQ85" s="4"/>
      <c r="CR85" s="4" t="e">
        <f t="shared" ca="1" si="316"/>
        <v>#NAME?</v>
      </c>
      <c r="CS85" s="4">
        <f t="shared" ca="1" si="317"/>
        <v>121260</v>
      </c>
      <c r="CT85" s="4">
        <f t="shared" ca="1" si="318"/>
        <v>0</v>
      </c>
      <c r="CU85" s="4"/>
      <c r="CV85" s="4" t="e">
        <f t="shared" ca="1" si="396"/>
        <v>#NAME?</v>
      </c>
      <c r="CW85" s="4">
        <f t="shared" ca="1" si="319"/>
        <v>0</v>
      </c>
      <c r="CX85" s="4">
        <f t="shared" si="320"/>
        <v>0</v>
      </c>
      <c r="CY85" s="4" t="e">
        <f t="shared" ca="1" si="397"/>
        <v>#NAME?</v>
      </c>
      <c r="CZ85" s="4"/>
      <c r="DA85" s="4" t="e">
        <f t="shared" ca="1" si="321"/>
        <v>#NAME?</v>
      </c>
      <c r="DB85" s="4">
        <f t="shared" si="322"/>
        <v>0</v>
      </c>
      <c r="DC85" s="4">
        <f t="shared" si="398"/>
        <v>0</v>
      </c>
      <c r="DD85" s="4">
        <f t="shared" si="323"/>
        <v>0</v>
      </c>
      <c r="DE85" s="4" t="e">
        <f t="shared" ca="1" si="324"/>
        <v>#NAME?</v>
      </c>
      <c r="DF85" s="4" t="e">
        <f t="shared" ca="1" si="399"/>
        <v>#NAME?</v>
      </c>
      <c r="DG85" s="4" t="e">
        <f t="shared" ca="1" si="400"/>
        <v>#NAME?</v>
      </c>
      <c r="DH85" s="4">
        <f t="shared" si="325"/>
        <v>0</v>
      </c>
      <c r="DI85" s="4"/>
      <c r="DJ85" s="4" t="e">
        <f t="shared" ca="1" si="326"/>
        <v>#NAME?</v>
      </c>
      <c r="DK85" s="4">
        <f t="shared" ca="1" si="327"/>
        <v>26500</v>
      </c>
      <c r="DL85" s="4">
        <f t="shared" ca="1" si="328"/>
        <v>26500</v>
      </c>
      <c r="DM85" s="4">
        <f t="shared" si="329"/>
        <v>0</v>
      </c>
      <c r="DN85" s="4" t="e">
        <f t="shared" ca="1" si="330"/>
        <v>#NAME?</v>
      </c>
      <c r="DO85" s="4" t="e">
        <f t="shared" ca="1" si="331"/>
        <v>#NAME?</v>
      </c>
      <c r="DP85" s="4"/>
      <c r="DQ85" s="4" t="e">
        <f t="shared" ca="1" si="332"/>
        <v>#NAME?</v>
      </c>
      <c r="DR85" s="4"/>
      <c r="DS85" s="4">
        <f t="shared" si="401"/>
        <v>0</v>
      </c>
      <c r="DT85" s="4">
        <f t="shared" si="274"/>
        <v>0</v>
      </c>
      <c r="DU85" s="4">
        <f t="shared" si="333"/>
        <v>0</v>
      </c>
      <c r="DV85" s="4"/>
      <c r="DW85" s="4" t="e">
        <f t="shared" ca="1" si="402"/>
        <v>#NAME?</v>
      </c>
      <c r="DX85" s="4" t="e">
        <f t="shared" ca="1" si="334"/>
        <v>#NAME?</v>
      </c>
      <c r="DY85" s="4">
        <f t="shared" si="403"/>
        <v>0</v>
      </c>
      <c r="DZ85" s="4" t="e">
        <f t="shared" ca="1" si="335"/>
        <v>#NAME?</v>
      </c>
      <c r="EA85" s="4" t="e">
        <f t="shared" ca="1" si="336"/>
        <v>#NAME?</v>
      </c>
      <c r="EB85" s="4" t="e">
        <f t="shared" ca="1" si="337"/>
        <v>#NAME?</v>
      </c>
      <c r="EC85" s="4">
        <f t="shared" si="338"/>
        <v>2</v>
      </c>
      <c r="ED85" s="4"/>
      <c r="EE85" s="4" t="e">
        <f t="shared" ca="1" si="404"/>
        <v>#NAME?</v>
      </c>
      <c r="EF85" s="4">
        <f t="shared" si="339"/>
        <v>0</v>
      </c>
      <c r="EG85" s="4">
        <f t="shared" si="405"/>
        <v>0</v>
      </c>
      <c r="EH85" s="4" t="e">
        <f t="shared" ca="1" si="340"/>
        <v>#NAME?</v>
      </c>
      <c r="EI85" s="4" t="e">
        <f t="shared" ca="1" si="341"/>
        <v>#NAME?</v>
      </c>
      <c r="EJ85" s="4" t="e">
        <f t="shared" ca="1" si="342"/>
        <v>#NAME?</v>
      </c>
      <c r="EK85" s="4">
        <f t="shared" si="343"/>
        <v>2</v>
      </c>
      <c r="EL85" s="4">
        <f t="shared" si="344"/>
        <v>0</v>
      </c>
      <c r="EM85" s="4"/>
      <c r="EN85" s="4" t="e">
        <f t="shared" ca="1" si="406"/>
        <v>#NAME?</v>
      </c>
      <c r="EO85" s="4" t="e">
        <f t="shared" ca="1" si="345"/>
        <v>#NAME?</v>
      </c>
      <c r="EP85" s="4">
        <f t="shared" si="407"/>
        <v>0</v>
      </c>
      <c r="EQ85" s="4" t="e">
        <f t="shared" ca="1" si="346"/>
        <v>#NAME?</v>
      </c>
      <c r="ER85" s="4">
        <v>0</v>
      </c>
      <c r="ES85" s="4" t="e">
        <f t="shared" ca="1" si="419"/>
        <v>#NAME?</v>
      </c>
      <c r="ET85" s="4"/>
      <c r="EU85" s="4" t="e">
        <f t="shared" ca="1" si="408"/>
        <v>#NAME?</v>
      </c>
      <c r="EV85" s="4" t="e">
        <f t="shared" ca="1" si="347"/>
        <v>#NAME?</v>
      </c>
      <c r="EW85" s="4">
        <f t="shared" si="409"/>
        <v>0</v>
      </c>
      <c r="EX85" s="4" t="e">
        <f t="shared" ca="1" si="348"/>
        <v>#NAME?</v>
      </c>
      <c r="EY85" s="4">
        <v>0</v>
      </c>
      <c r="EZ85" s="4" t="e">
        <f t="shared" ca="1" si="420"/>
        <v>#NAME?</v>
      </c>
      <c r="FA85" s="4" t="e">
        <f t="shared" ca="1" si="410"/>
        <v>#NAME?</v>
      </c>
      <c r="FB85" s="1" t="e">
        <f t="shared" ca="1" si="349"/>
        <v>#NAME?</v>
      </c>
      <c r="FC85" s="4">
        <f t="shared" si="411"/>
        <v>0</v>
      </c>
      <c r="FD85" s="4">
        <f t="shared" si="412"/>
        <v>0</v>
      </c>
      <c r="FE85" s="4">
        <f t="shared" si="350"/>
        <v>0</v>
      </c>
      <c r="FF85" s="4">
        <f t="shared" si="351"/>
        <v>0</v>
      </c>
      <c r="FG85" s="4">
        <f t="shared" ca="1" si="352"/>
        <v>0</v>
      </c>
      <c r="FH85" s="17" t="e">
        <f t="shared" ca="1" si="353"/>
        <v>#NAME?</v>
      </c>
      <c r="FI85" s="4" t="e">
        <f t="shared" ca="1" si="354"/>
        <v>#NAME?</v>
      </c>
      <c r="FJ85" s="4"/>
      <c r="FK85" s="4" t="e">
        <f t="shared" ca="1" si="355"/>
        <v>#NAME?</v>
      </c>
      <c r="FL85" s="4"/>
      <c r="FM85" s="4">
        <v>0</v>
      </c>
      <c r="FN85" s="4">
        <v>0</v>
      </c>
      <c r="FO85" s="4">
        <v>0</v>
      </c>
      <c r="FP85" s="4">
        <v>0</v>
      </c>
      <c r="FQ85" s="4">
        <v>0</v>
      </c>
      <c r="FR85" s="4">
        <v>0</v>
      </c>
      <c r="FS85" s="4">
        <f t="shared" si="356"/>
        <v>0</v>
      </c>
      <c r="FT85" s="4">
        <f t="shared" si="357"/>
        <v>0</v>
      </c>
      <c r="FU85" s="4"/>
      <c r="FV85" s="3">
        <f t="shared" si="358"/>
        <v>0</v>
      </c>
      <c r="FW85" s="3">
        <f t="shared" si="359"/>
        <v>0</v>
      </c>
      <c r="FX85" s="4">
        <f t="shared" si="413"/>
        <v>2095</v>
      </c>
      <c r="FY85" s="4">
        <f t="shared" si="360"/>
        <v>0</v>
      </c>
      <c r="FZ85" s="4">
        <f t="shared" si="361"/>
        <v>0</v>
      </c>
      <c r="GA85" s="4">
        <f t="shared" si="362"/>
        <v>0</v>
      </c>
      <c r="GB85" s="4">
        <f t="shared" si="363"/>
        <v>0</v>
      </c>
      <c r="GC85" s="4" t="e">
        <f t="shared" ca="1" si="364"/>
        <v>#NAME?</v>
      </c>
      <c r="GD85" s="4" t="e">
        <f t="shared" ca="1" si="365"/>
        <v>#NAME?</v>
      </c>
      <c r="GE85" s="4" t="e">
        <f t="shared" ca="1" si="366"/>
        <v>#NAME?</v>
      </c>
      <c r="GF85" s="4" t="e">
        <f t="shared" ca="1" si="367"/>
        <v>#NAME?</v>
      </c>
      <c r="GG85" s="18" t="e">
        <f t="shared" ca="1" si="368"/>
        <v>#NAME?</v>
      </c>
      <c r="GH85" s="18" t="e">
        <f t="shared" ca="1" si="369"/>
        <v>#NAME?</v>
      </c>
      <c r="GI85" s="4"/>
      <c r="GJ85" s="4">
        <f t="shared" si="421"/>
        <v>2095</v>
      </c>
      <c r="GK85" s="4" t="e">
        <f t="shared" ca="1" si="370"/>
        <v>#NAME?</v>
      </c>
      <c r="GL85" s="4" t="e">
        <f t="shared" ca="1" si="371"/>
        <v>#NAME?</v>
      </c>
      <c r="GM85" s="4" t="e">
        <f t="shared" ca="1" si="372"/>
        <v>#NAME?</v>
      </c>
      <c r="GN85" s="4" t="e">
        <f t="shared" ca="1" si="373"/>
        <v>#NAME?</v>
      </c>
      <c r="GO85" s="4"/>
      <c r="GP85" s="3" t="e">
        <f t="shared" ca="1" si="414"/>
        <v>#NAME?</v>
      </c>
      <c r="GQ85" s="3" t="e">
        <f t="shared" ca="1" si="374"/>
        <v>#NAME?</v>
      </c>
      <c r="GR85" s="3" t="e">
        <f t="shared" ca="1" si="375"/>
        <v>#NAME?</v>
      </c>
      <c r="GS85" s="3" t="e">
        <f t="shared" ca="1" si="376"/>
        <v>#NAME?</v>
      </c>
      <c r="GT85" s="3" t="e">
        <f t="array" aca="1" ref="GT85" ca="1">SUM(GP85:GS85*$GU$6:$GX$6)</f>
        <v>#NAME?</v>
      </c>
      <c r="GU85" s="3" t="e">
        <f t="shared" ca="1" si="415"/>
        <v>#NAME?</v>
      </c>
      <c r="GV85" s="3" t="e">
        <f t="shared" ca="1" si="416"/>
        <v>#NAME?</v>
      </c>
      <c r="GW85" s="3" t="e">
        <f t="shared" ca="1" si="417"/>
        <v>#NAME?</v>
      </c>
      <c r="GX85" s="3" t="e">
        <f t="shared" ca="1" si="418"/>
        <v>#NAME?</v>
      </c>
      <c r="GY85" s="11"/>
      <c r="HJ85">
        <f t="shared" si="422"/>
        <v>2088</v>
      </c>
      <c r="HK85" s="28">
        <f t="shared" si="424"/>
        <v>105570</v>
      </c>
      <c r="HL85" s="27">
        <f t="shared" si="425"/>
        <v>23000</v>
      </c>
      <c r="HM85" s="28">
        <f t="shared" si="426"/>
        <v>22886.272062783341</v>
      </c>
    </row>
    <row r="86" spans="1:221" x14ac:dyDescent="0.25">
      <c r="A86" t="s">
        <v>8</v>
      </c>
      <c r="B86" s="62">
        <f>Inputs_Summary!AK83</f>
        <v>0</v>
      </c>
      <c r="D86">
        <f t="shared" si="377"/>
        <v>2096</v>
      </c>
      <c r="E86">
        <f t="shared" si="377"/>
        <v>101</v>
      </c>
      <c r="F86" s="8"/>
      <c r="G86" s="8"/>
      <c r="H86" s="8"/>
      <c r="I86" s="8"/>
      <c r="J86" s="92"/>
      <c r="K86" s="91"/>
      <c r="L86" s="91"/>
      <c r="N86" s="93">
        <f t="shared" si="378"/>
        <v>0.05</v>
      </c>
      <c r="O86" s="23">
        <f t="shared" si="379"/>
        <v>0</v>
      </c>
      <c r="P86" s="23">
        <f t="shared" si="380"/>
        <v>0.4</v>
      </c>
      <c r="Q86" s="4">
        <f t="shared" si="276"/>
        <v>0</v>
      </c>
      <c r="R86" s="4">
        <f t="shared" si="381"/>
        <v>0</v>
      </c>
      <c r="S86" s="4">
        <f t="shared" si="277"/>
        <v>0</v>
      </c>
      <c r="T86" s="4">
        <f t="shared" ca="1" si="278"/>
        <v>0</v>
      </c>
      <c r="V86" s="18" t="e">
        <f t="shared" ca="1" si="279"/>
        <v>#NAME?</v>
      </c>
      <c r="W86" s="18" t="e">
        <f t="shared" ca="1" si="280"/>
        <v>#NAME?</v>
      </c>
      <c r="X86" s="18">
        <f t="shared" si="281"/>
        <v>0</v>
      </c>
      <c r="Y86" s="18" t="e">
        <f t="shared" ca="1" si="282"/>
        <v>#NAME?</v>
      </c>
      <c r="Z86" s="18" t="e">
        <f t="shared" ca="1" si="283"/>
        <v>#NAME?</v>
      </c>
      <c r="AA86" s="18" t="e">
        <f t="shared" ca="1" si="284"/>
        <v>#NAME?</v>
      </c>
      <c r="AB86" s="18" t="e">
        <f t="shared" ca="1" si="285"/>
        <v>#NAME?</v>
      </c>
      <c r="AC86" s="18" t="e">
        <f t="shared" ca="1" si="286"/>
        <v>#NAME?</v>
      </c>
      <c r="AD86" s="18" t="e">
        <f t="shared" ca="1" si="287"/>
        <v>#NAME?</v>
      </c>
      <c r="AE86" s="18" t="e">
        <f t="shared" ca="1" si="288"/>
        <v>#NAME?</v>
      </c>
      <c r="AF86" s="18" t="e">
        <f t="shared" ca="1" si="289"/>
        <v>#NAME?</v>
      </c>
      <c r="AG86" s="18" t="e">
        <f t="shared" ca="1" si="290"/>
        <v>#NAME?</v>
      </c>
      <c r="AI86">
        <f>Person1!E86</f>
        <v>101</v>
      </c>
      <c r="AJ86">
        <f>Person1!AZ86</f>
        <v>3</v>
      </c>
      <c r="AK86">
        <f>IF(AZ86&lt;&gt;3,Person1!FM86,0)</f>
        <v>0</v>
      </c>
      <c r="AL86" s="4">
        <f>IF($AZ86&lt;&gt;3,Person1!FN86+Person1!FT86,0)</f>
        <v>0</v>
      </c>
      <c r="AM86">
        <f>IF($AZ86&lt;&gt;3,Person1!FO86,0)</f>
        <v>0</v>
      </c>
      <c r="AN86">
        <f>IF($AZ86&lt;&gt;3,Person1!FP86,0)</f>
        <v>0</v>
      </c>
      <c r="AO86">
        <f>IF($AZ86&lt;&gt;3,Person1!FQ86,0)</f>
        <v>0</v>
      </c>
      <c r="AP86">
        <f>IF($AZ86&lt;&gt;3,Person1!FR86,0)</f>
        <v>0</v>
      </c>
      <c r="AQ86" s="4">
        <f t="shared" si="291"/>
        <v>0</v>
      </c>
      <c r="AR86" s="4">
        <f>Person1!FS86</f>
        <v>0</v>
      </c>
      <c r="AS86" s="4">
        <f>$B$41*MAX(0,CHOOSE($AZ86,0,IF(AND(Person1!AW86&gt;=Person1!$B$36,AV86&gt;=$B$93),Person1!$B$35*(1+Person1!$B$37)^(Person1!$B$36-Person1!$B$11)*(1+Person1!$B$38)^(Person1!AW86-Person1!$B$36)-CHOOSE(Person1!$B$39+1,0,BD86,BE86,BD86+BE86),0),0,0))</f>
        <v>0</v>
      </c>
      <c r="AT86" s="4">
        <f t="shared" si="292"/>
        <v>0</v>
      </c>
      <c r="AV86">
        <f t="shared" si="382"/>
        <v>2096</v>
      </c>
      <c r="AW86">
        <f t="shared" si="382"/>
        <v>101</v>
      </c>
      <c r="AX86">
        <f t="shared" si="383"/>
        <v>4.7798423098984264</v>
      </c>
      <c r="AY86">
        <f t="shared" si="384"/>
        <v>0.20921192272998865</v>
      </c>
      <c r="AZ86">
        <f t="shared" si="385"/>
        <v>3</v>
      </c>
      <c r="BB86" s="4">
        <f t="shared" si="293"/>
        <v>0</v>
      </c>
      <c r="BC86">
        <f t="shared" si="294"/>
        <v>0</v>
      </c>
      <c r="BD86" s="4">
        <f t="shared" si="295"/>
        <v>0</v>
      </c>
      <c r="BE86" s="4">
        <f t="shared" si="386"/>
        <v>0</v>
      </c>
      <c r="BF86" s="4">
        <f t="shared" si="387"/>
        <v>0</v>
      </c>
      <c r="BG86" s="4">
        <f t="shared" si="388"/>
        <v>0</v>
      </c>
      <c r="BH86" s="4">
        <f t="shared" si="296"/>
        <v>0</v>
      </c>
      <c r="BI86" s="4">
        <f t="shared" si="389"/>
        <v>0</v>
      </c>
      <c r="BJ86" s="4"/>
      <c r="BK86" s="4">
        <f t="shared" si="297"/>
        <v>0</v>
      </c>
      <c r="BL86" s="4">
        <f t="shared" si="390"/>
        <v>0</v>
      </c>
      <c r="BM86" s="4">
        <f t="shared" si="391"/>
        <v>0</v>
      </c>
      <c r="BN86" s="4">
        <v>0</v>
      </c>
      <c r="BO86" s="4">
        <f t="shared" si="392"/>
        <v>0</v>
      </c>
      <c r="BP86" s="4">
        <f t="shared" si="393"/>
        <v>0</v>
      </c>
      <c r="BQ86" s="4"/>
      <c r="BR86" s="4">
        <v>0</v>
      </c>
      <c r="BS86" s="4" t="e">
        <f t="shared" ca="1" si="298"/>
        <v>#NAME?</v>
      </c>
      <c r="BT86" s="4">
        <f t="shared" si="299"/>
        <v>0</v>
      </c>
      <c r="BU86" s="4">
        <f t="shared" si="300"/>
        <v>0</v>
      </c>
      <c r="BV86" s="4">
        <f t="shared" si="301"/>
        <v>0</v>
      </c>
      <c r="BW86" s="4" t="e">
        <f t="shared" ca="1" si="302"/>
        <v>#NAME?</v>
      </c>
      <c r="BX86" s="4" t="e">
        <f t="shared" ca="1" si="303"/>
        <v>#NAME?</v>
      </c>
      <c r="BY86" s="4" t="e">
        <f t="shared" ca="1" si="304"/>
        <v>#NAME?</v>
      </c>
      <c r="BZ86" s="4" t="e">
        <f t="shared" ca="1" si="305"/>
        <v>#NAME?</v>
      </c>
      <c r="CA86" s="4" t="e">
        <f t="shared" ca="1" si="306"/>
        <v>#NAME?</v>
      </c>
      <c r="CB86" s="4" t="e">
        <f t="shared" ca="1" si="423"/>
        <v>#NAME?</v>
      </c>
      <c r="CC86" s="4"/>
      <c r="CD86" s="4" t="e">
        <f t="shared" ca="1" si="307"/>
        <v>#NAME?</v>
      </c>
      <c r="CE86" s="4">
        <f t="shared" si="394"/>
        <v>0</v>
      </c>
      <c r="CF86" s="16">
        <f t="shared" si="308"/>
        <v>1</v>
      </c>
      <c r="CG86" s="4">
        <f t="shared" si="309"/>
        <v>0</v>
      </c>
      <c r="CH86" s="4" t="e">
        <f t="shared" ca="1" si="310"/>
        <v>#NAME?</v>
      </c>
      <c r="CI86" s="4" t="e">
        <f t="shared" ca="1" si="311"/>
        <v>#NAME?</v>
      </c>
      <c r="CJ86" s="4" t="e">
        <f t="shared" ca="1" si="395"/>
        <v>#NAME?</v>
      </c>
      <c r="CK86" s="4" t="e">
        <f t="shared" ca="1" si="312"/>
        <v>#NAME?</v>
      </c>
      <c r="CL86" s="4" t="e">
        <f t="shared" ca="1" si="313"/>
        <v>#NAME?</v>
      </c>
      <c r="CM86" s="16"/>
      <c r="CN86" s="4">
        <f t="shared" si="314"/>
        <v>0</v>
      </c>
      <c r="CO86" s="4">
        <f t="shared" si="315"/>
        <v>0</v>
      </c>
      <c r="CP86" s="4" t="e">
        <f t="shared" ca="1" si="271"/>
        <v>#NAME?</v>
      </c>
      <c r="CQ86" s="4"/>
      <c r="CR86" s="4" t="e">
        <f t="shared" ca="1" si="316"/>
        <v>#NAME?</v>
      </c>
      <c r="CS86" s="4">
        <f t="shared" ca="1" si="317"/>
        <v>123690</v>
      </c>
      <c r="CT86" s="4">
        <f t="shared" ca="1" si="318"/>
        <v>0</v>
      </c>
      <c r="CU86" s="4"/>
      <c r="CV86" s="4" t="e">
        <f t="shared" ca="1" si="396"/>
        <v>#NAME?</v>
      </c>
      <c r="CW86" s="4">
        <f t="shared" ca="1" si="319"/>
        <v>0</v>
      </c>
      <c r="CX86" s="4">
        <f t="shared" si="320"/>
        <v>0</v>
      </c>
      <c r="CY86" s="4" t="e">
        <f t="shared" ca="1" si="397"/>
        <v>#NAME?</v>
      </c>
      <c r="CZ86" s="4"/>
      <c r="DA86" s="4" t="e">
        <f t="shared" ca="1" si="321"/>
        <v>#NAME?</v>
      </c>
      <c r="DB86" s="4">
        <f t="shared" si="322"/>
        <v>0</v>
      </c>
      <c r="DC86" s="4">
        <f t="shared" si="398"/>
        <v>0</v>
      </c>
      <c r="DD86" s="4">
        <f t="shared" si="323"/>
        <v>0</v>
      </c>
      <c r="DE86" s="4" t="e">
        <f t="shared" ca="1" si="324"/>
        <v>#NAME?</v>
      </c>
      <c r="DF86" s="4" t="e">
        <f t="shared" ca="1" si="399"/>
        <v>#NAME?</v>
      </c>
      <c r="DG86" s="4" t="e">
        <f t="shared" ca="1" si="400"/>
        <v>#NAME?</v>
      </c>
      <c r="DH86" s="4">
        <f t="shared" si="325"/>
        <v>0</v>
      </c>
      <c r="DI86" s="4"/>
      <c r="DJ86" s="4" t="e">
        <f t="shared" ca="1" si="326"/>
        <v>#NAME?</v>
      </c>
      <c r="DK86" s="4">
        <f t="shared" ca="1" si="327"/>
        <v>27000</v>
      </c>
      <c r="DL86" s="4">
        <f t="shared" ca="1" si="328"/>
        <v>27000</v>
      </c>
      <c r="DM86" s="4">
        <f t="shared" si="329"/>
        <v>0</v>
      </c>
      <c r="DN86" s="4" t="e">
        <f t="shared" ca="1" si="330"/>
        <v>#NAME?</v>
      </c>
      <c r="DO86" s="4" t="e">
        <f t="shared" ca="1" si="331"/>
        <v>#NAME?</v>
      </c>
      <c r="DP86" s="4"/>
      <c r="DQ86" s="4" t="e">
        <f t="shared" ca="1" si="332"/>
        <v>#NAME?</v>
      </c>
      <c r="DR86" s="4"/>
      <c r="DS86" s="4">
        <f t="shared" si="401"/>
        <v>0</v>
      </c>
      <c r="DT86" s="4">
        <f t="shared" si="274"/>
        <v>0</v>
      </c>
      <c r="DU86" s="4">
        <f t="shared" si="333"/>
        <v>0</v>
      </c>
      <c r="DV86" s="4"/>
      <c r="DW86" s="4" t="e">
        <f t="shared" ca="1" si="402"/>
        <v>#NAME?</v>
      </c>
      <c r="DX86" s="4" t="e">
        <f t="shared" ca="1" si="334"/>
        <v>#NAME?</v>
      </c>
      <c r="DY86" s="4">
        <f t="shared" si="403"/>
        <v>0</v>
      </c>
      <c r="DZ86" s="4" t="e">
        <f t="shared" ca="1" si="335"/>
        <v>#NAME?</v>
      </c>
      <c r="EA86" s="4" t="e">
        <f t="shared" ca="1" si="336"/>
        <v>#NAME?</v>
      </c>
      <c r="EB86" s="4" t="e">
        <f t="shared" ca="1" si="337"/>
        <v>#NAME?</v>
      </c>
      <c r="EC86" s="4">
        <f t="shared" si="338"/>
        <v>2</v>
      </c>
      <c r="ED86" s="4"/>
      <c r="EE86" s="4" t="e">
        <f t="shared" ca="1" si="404"/>
        <v>#NAME?</v>
      </c>
      <c r="EF86" s="4">
        <f t="shared" si="339"/>
        <v>0</v>
      </c>
      <c r="EG86" s="4">
        <f t="shared" si="405"/>
        <v>0</v>
      </c>
      <c r="EH86" s="4" t="e">
        <f t="shared" ca="1" si="340"/>
        <v>#NAME?</v>
      </c>
      <c r="EI86" s="4" t="e">
        <f t="shared" ca="1" si="341"/>
        <v>#NAME?</v>
      </c>
      <c r="EJ86" s="4" t="e">
        <f t="shared" ca="1" si="342"/>
        <v>#NAME?</v>
      </c>
      <c r="EK86" s="4">
        <f t="shared" si="343"/>
        <v>2</v>
      </c>
      <c r="EL86" s="4">
        <f t="shared" si="344"/>
        <v>0</v>
      </c>
      <c r="EM86" s="4"/>
      <c r="EN86" s="4" t="e">
        <f t="shared" ca="1" si="406"/>
        <v>#NAME?</v>
      </c>
      <c r="EO86" s="4" t="e">
        <f t="shared" ca="1" si="345"/>
        <v>#NAME?</v>
      </c>
      <c r="EP86" s="4">
        <f t="shared" si="407"/>
        <v>0</v>
      </c>
      <c r="EQ86" s="4" t="e">
        <f t="shared" ca="1" si="346"/>
        <v>#NAME?</v>
      </c>
      <c r="ER86" s="4">
        <v>0</v>
      </c>
      <c r="ES86" s="4" t="e">
        <f t="shared" ca="1" si="419"/>
        <v>#NAME?</v>
      </c>
      <c r="ET86" s="4"/>
      <c r="EU86" s="4" t="e">
        <f t="shared" ca="1" si="408"/>
        <v>#NAME?</v>
      </c>
      <c r="EV86" s="4" t="e">
        <f t="shared" ca="1" si="347"/>
        <v>#NAME?</v>
      </c>
      <c r="EW86" s="4">
        <f t="shared" si="409"/>
        <v>0</v>
      </c>
      <c r="EX86" s="4" t="e">
        <f t="shared" ca="1" si="348"/>
        <v>#NAME?</v>
      </c>
      <c r="EY86" s="4">
        <v>0</v>
      </c>
      <c r="EZ86" s="4" t="e">
        <f t="shared" ca="1" si="420"/>
        <v>#NAME?</v>
      </c>
      <c r="FA86" s="4" t="e">
        <f t="shared" ca="1" si="410"/>
        <v>#NAME?</v>
      </c>
      <c r="FB86" s="1" t="e">
        <f t="shared" ca="1" si="349"/>
        <v>#NAME?</v>
      </c>
      <c r="FC86" s="4">
        <f t="shared" si="411"/>
        <v>0</v>
      </c>
      <c r="FD86" s="4">
        <f t="shared" si="412"/>
        <v>0</v>
      </c>
      <c r="FE86" s="4">
        <f t="shared" si="350"/>
        <v>0</v>
      </c>
      <c r="FF86" s="4">
        <f t="shared" si="351"/>
        <v>0</v>
      </c>
      <c r="FG86" s="4">
        <f t="shared" ca="1" si="352"/>
        <v>0</v>
      </c>
      <c r="FH86" s="17" t="e">
        <f t="shared" ca="1" si="353"/>
        <v>#NAME?</v>
      </c>
      <c r="FI86" s="4" t="e">
        <f t="shared" ca="1" si="354"/>
        <v>#NAME?</v>
      </c>
      <c r="FJ86" s="4"/>
      <c r="FK86" s="4" t="e">
        <f t="shared" ca="1" si="355"/>
        <v>#NAME?</v>
      </c>
      <c r="FL86" s="4"/>
      <c r="FM86" s="4">
        <v>0</v>
      </c>
      <c r="FN86" s="4">
        <v>0</v>
      </c>
      <c r="FO86" s="4">
        <v>0</v>
      </c>
      <c r="FP86" s="4">
        <v>0</v>
      </c>
      <c r="FQ86" s="4">
        <v>0</v>
      </c>
      <c r="FR86" s="4">
        <v>0</v>
      </c>
      <c r="FS86" s="4">
        <f t="shared" si="356"/>
        <v>0</v>
      </c>
      <c r="FT86" s="4">
        <f t="shared" si="357"/>
        <v>0</v>
      </c>
      <c r="FU86" s="4"/>
      <c r="FV86" s="3">
        <f t="shared" si="358"/>
        <v>0</v>
      </c>
      <c r="FW86" s="3">
        <f t="shared" si="359"/>
        <v>0</v>
      </c>
      <c r="FX86" s="4">
        <f t="shared" si="413"/>
        <v>2096</v>
      </c>
      <c r="FY86" s="4">
        <f t="shared" si="360"/>
        <v>0</v>
      </c>
      <c r="FZ86" s="4">
        <f t="shared" si="361"/>
        <v>0</v>
      </c>
      <c r="GA86" s="4">
        <f t="shared" si="362"/>
        <v>0</v>
      </c>
      <c r="GB86" s="4">
        <f t="shared" si="363"/>
        <v>0</v>
      </c>
      <c r="GC86" s="4" t="e">
        <f t="shared" ca="1" si="364"/>
        <v>#NAME?</v>
      </c>
      <c r="GD86" s="4" t="e">
        <f t="shared" ca="1" si="365"/>
        <v>#NAME?</v>
      </c>
      <c r="GE86" s="4" t="e">
        <f t="shared" ca="1" si="366"/>
        <v>#NAME?</v>
      </c>
      <c r="GF86" s="4" t="e">
        <f t="shared" ca="1" si="367"/>
        <v>#NAME?</v>
      </c>
      <c r="GG86" s="18" t="e">
        <f t="shared" ca="1" si="368"/>
        <v>#NAME?</v>
      </c>
      <c r="GH86" s="18" t="e">
        <f t="shared" ca="1" si="369"/>
        <v>#NAME?</v>
      </c>
      <c r="GI86" s="4"/>
      <c r="GJ86" s="4">
        <f t="shared" si="421"/>
        <v>2096</v>
      </c>
      <c r="GK86" s="4" t="e">
        <f t="shared" ca="1" si="370"/>
        <v>#NAME?</v>
      </c>
      <c r="GL86" s="4" t="e">
        <f t="shared" ca="1" si="371"/>
        <v>#NAME?</v>
      </c>
      <c r="GM86" s="4" t="e">
        <f t="shared" ca="1" si="372"/>
        <v>#NAME?</v>
      </c>
      <c r="GN86" s="4" t="e">
        <f t="shared" ca="1" si="373"/>
        <v>#NAME?</v>
      </c>
      <c r="GO86" s="4"/>
      <c r="GP86" s="3" t="e">
        <f t="shared" ca="1" si="414"/>
        <v>#NAME?</v>
      </c>
      <c r="GQ86" s="3" t="e">
        <f t="shared" ca="1" si="374"/>
        <v>#NAME?</v>
      </c>
      <c r="GR86" s="3" t="e">
        <f t="shared" ca="1" si="375"/>
        <v>#NAME?</v>
      </c>
      <c r="GS86" s="3" t="e">
        <f t="shared" ca="1" si="376"/>
        <v>#NAME?</v>
      </c>
      <c r="GT86" s="3" t="e">
        <f t="array" aca="1" ref="GT86" ca="1">SUM(GP86:GS86*$GU$6:$GX$6)</f>
        <v>#NAME?</v>
      </c>
      <c r="GU86" s="3" t="e">
        <f t="shared" ca="1" si="415"/>
        <v>#NAME?</v>
      </c>
      <c r="GV86" s="3" t="e">
        <f t="shared" ca="1" si="416"/>
        <v>#NAME?</v>
      </c>
      <c r="GW86" s="3" t="e">
        <f t="shared" ca="1" si="417"/>
        <v>#NAME?</v>
      </c>
      <c r="GX86" s="3" t="e">
        <f t="shared" ca="1" si="418"/>
        <v>#NAME?</v>
      </c>
      <c r="GY86" s="11"/>
      <c r="HJ86">
        <f t="shared" si="422"/>
        <v>2089</v>
      </c>
      <c r="HK86" s="28">
        <f t="shared" si="424"/>
        <v>107680</v>
      </c>
      <c r="HL86" s="27">
        <f t="shared" si="425"/>
        <v>23500</v>
      </c>
      <c r="HM86" s="28">
        <f t="shared" si="426"/>
        <v>23343.997504039009</v>
      </c>
    </row>
    <row r="87" spans="1:221" x14ac:dyDescent="0.25">
      <c r="A87" t="s">
        <v>61</v>
      </c>
      <c r="B87" s="62">
        <f>Inputs_Summary!AK84</f>
        <v>0</v>
      </c>
      <c r="BB87" s="4"/>
      <c r="BC87" s="4"/>
      <c r="BD87" s="4"/>
      <c r="BE87" s="4"/>
      <c r="BF87" s="4"/>
      <c r="BG87" s="4"/>
      <c r="BH87" s="4"/>
      <c r="BI87" s="4"/>
      <c r="BJ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c r="EY87" s="4"/>
      <c r="EZ87" s="4"/>
      <c r="FA87" s="4"/>
      <c r="FB87" s="1"/>
      <c r="FC87" s="1"/>
      <c r="FD87" s="1"/>
      <c r="FE87" s="4"/>
      <c r="FF87" s="4"/>
      <c r="FG87" s="4"/>
      <c r="FH87" s="1"/>
      <c r="FI87" s="4"/>
      <c r="FJ87" s="4"/>
      <c r="FK87" s="4"/>
      <c r="FL87" s="4"/>
      <c r="FM87" s="4"/>
      <c r="FN87" s="4"/>
      <c r="FO87" s="4"/>
      <c r="FP87" s="4"/>
      <c r="FQ87" s="4"/>
      <c r="FR87" s="4"/>
      <c r="FS87" s="4"/>
      <c r="FT87" s="4"/>
      <c r="FU87" s="4"/>
      <c r="FV87" s="4"/>
      <c r="FW87" s="4"/>
      <c r="FX87" s="4"/>
      <c r="FY87" s="4"/>
      <c r="FZ87" s="4"/>
      <c r="GA87" s="4"/>
      <c r="GB87" s="4"/>
      <c r="GC87" s="4"/>
      <c r="GD87" s="4"/>
      <c r="GE87" s="4"/>
      <c r="GF87" s="4"/>
      <c r="GG87" s="4"/>
      <c r="GH87" s="4"/>
      <c r="GI87" s="4"/>
      <c r="GJ87" s="4"/>
      <c r="GK87" s="4"/>
      <c r="GL87" s="4"/>
      <c r="GM87" s="4"/>
      <c r="GN87" s="4"/>
      <c r="GO87" s="4"/>
      <c r="GP87" s="3"/>
      <c r="GQ87" s="3"/>
      <c r="GR87" s="3"/>
      <c r="GS87" s="3"/>
      <c r="GT87" s="3"/>
      <c r="GU87" s="3"/>
      <c r="GV87" s="3"/>
      <c r="GW87" s="3"/>
      <c r="GX87" s="3"/>
      <c r="GY87" s="11"/>
      <c r="HJ87">
        <f t="shared" si="422"/>
        <v>2090</v>
      </c>
      <c r="HK87" s="28">
        <f t="shared" si="424"/>
        <v>109830</v>
      </c>
      <c r="HL87" s="27">
        <f t="shared" si="425"/>
        <v>24000</v>
      </c>
      <c r="HM87" s="28">
        <f t="shared" si="426"/>
        <v>23810.877454119789</v>
      </c>
    </row>
    <row r="88" spans="1:221" x14ac:dyDescent="0.25">
      <c r="A88" t="s">
        <v>29</v>
      </c>
      <c r="B88" s="62">
        <f>Inputs_Summary!AK85</f>
        <v>0</v>
      </c>
      <c r="BB88" s="4"/>
      <c r="BC88" s="4"/>
      <c r="BD88" s="4"/>
      <c r="BE88" s="4"/>
      <c r="BF88" s="4"/>
      <c r="BG88" s="4"/>
      <c r="BH88" s="4"/>
      <c r="BI88" s="4"/>
      <c r="BJ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1"/>
      <c r="FC88" s="1"/>
      <c r="FD88" s="1"/>
      <c r="FE88" s="4"/>
      <c r="FF88" s="4"/>
      <c r="FG88" s="4"/>
      <c r="FH88" s="1"/>
      <c r="FI88" s="4"/>
      <c r="FJ88" s="4"/>
      <c r="FK88" s="4"/>
      <c r="FL88" s="4"/>
      <c r="FM88" s="4"/>
      <c r="FN88" s="4"/>
      <c r="FO88" s="4"/>
      <c r="FP88" s="4"/>
      <c r="FQ88" s="4"/>
      <c r="FR88" s="4"/>
      <c r="FS88" s="4"/>
      <c r="FT88" s="4"/>
      <c r="FU88" s="4"/>
      <c r="FV88" s="4"/>
      <c r="FW88" s="4"/>
      <c r="FX88" s="4"/>
      <c r="FY88" s="4"/>
      <c r="FZ88" s="4"/>
      <c r="GA88" s="4"/>
      <c r="GB88" s="4"/>
      <c r="GC88" s="4"/>
      <c r="GD88" s="4"/>
      <c r="GE88" s="4"/>
      <c r="GF88" s="4"/>
      <c r="GG88" s="4"/>
      <c r="GH88" s="4"/>
      <c r="GI88" s="4"/>
      <c r="GJ88" s="4"/>
      <c r="GK88" s="4"/>
      <c r="GL88" s="4"/>
      <c r="GM88" s="4"/>
      <c r="GN88" s="4"/>
      <c r="GO88" s="4"/>
      <c r="GP88" s="3"/>
      <c r="GQ88" s="3"/>
      <c r="GR88" s="3"/>
      <c r="GS88" s="3"/>
      <c r="GT88" s="3"/>
      <c r="GU88" s="3"/>
      <c r="GV88" s="3"/>
      <c r="GW88" s="3"/>
      <c r="GX88" s="3"/>
      <c r="GY88" s="11"/>
      <c r="HJ88">
        <f t="shared" si="422"/>
        <v>2091</v>
      </c>
      <c r="HK88" s="28">
        <f t="shared" si="424"/>
        <v>112030</v>
      </c>
      <c r="HL88" s="27">
        <f t="shared" si="425"/>
        <v>24500</v>
      </c>
      <c r="HM88" s="28">
        <f t="shared" si="426"/>
        <v>24287.095003202186</v>
      </c>
    </row>
    <row r="89" spans="1:221" x14ac:dyDescent="0.25">
      <c r="A89" t="s">
        <v>39</v>
      </c>
      <c r="B89" s="62">
        <f>Inputs_Summary!AK86</f>
        <v>0</v>
      </c>
      <c r="BB89" s="4"/>
      <c r="BC89" s="4"/>
      <c r="BD89" s="4"/>
      <c r="BE89" s="4"/>
      <c r="BF89" s="4"/>
      <c r="BG89" s="4"/>
      <c r="BH89" s="4"/>
      <c r="BI89" s="4"/>
      <c r="BJ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c r="EH89" s="4"/>
      <c r="EI89" s="4"/>
      <c r="EJ89" s="4"/>
      <c r="EK89" s="4"/>
      <c r="EL89" s="4"/>
      <c r="EM89" s="4"/>
      <c r="EN89" s="4"/>
      <c r="EO89" s="4"/>
      <c r="EP89" s="4"/>
      <c r="EQ89" s="4"/>
      <c r="ER89" s="4"/>
      <c r="ES89" s="4"/>
      <c r="ET89" s="4"/>
      <c r="EU89" s="4"/>
      <c r="EV89" s="4"/>
      <c r="EW89" s="4"/>
      <c r="EX89" s="4"/>
      <c r="EY89" s="4"/>
      <c r="EZ89" s="4"/>
      <c r="FA89" s="4"/>
      <c r="FB89" s="1"/>
      <c r="FC89" s="1"/>
      <c r="FD89" s="1"/>
      <c r="FE89" s="4"/>
      <c r="FF89" s="4"/>
      <c r="FG89" s="4"/>
      <c r="FH89" s="1"/>
      <c r="FI89" s="4"/>
      <c r="FJ89" s="4"/>
      <c r="FK89" s="4"/>
      <c r="FL89" s="4"/>
      <c r="FM89" s="4"/>
      <c r="FN89" s="4"/>
      <c r="FO89" s="4"/>
      <c r="FP89" s="4"/>
      <c r="FQ89" s="4"/>
      <c r="FR89" s="4"/>
      <c r="FS89" s="4"/>
      <c r="FT89" s="4"/>
      <c r="FU89" s="4"/>
      <c r="FV89" s="4"/>
      <c r="FW89" s="4"/>
      <c r="FX89" s="4"/>
      <c r="FY89" s="4"/>
      <c r="FZ89" s="4"/>
      <c r="GA89" s="4"/>
      <c r="GB89" s="4"/>
      <c r="GC89" s="4"/>
      <c r="GD89" s="4"/>
      <c r="GE89" s="4"/>
      <c r="GF89" s="4"/>
      <c r="GG89" s="4"/>
      <c r="GH89" s="4"/>
      <c r="GI89" s="4"/>
      <c r="GJ89" s="4"/>
      <c r="GK89" s="4"/>
      <c r="GL89" s="4"/>
      <c r="GM89" s="4"/>
      <c r="GN89" s="4"/>
      <c r="GO89" s="4"/>
      <c r="GP89" s="3"/>
      <c r="GQ89" s="3"/>
      <c r="GR89" s="3"/>
      <c r="GS89" s="3"/>
      <c r="GT89" s="3"/>
      <c r="GU89" s="3"/>
      <c r="GV89" s="3"/>
      <c r="GW89" s="3"/>
      <c r="GX89" s="3"/>
      <c r="GY89" s="11"/>
      <c r="HJ89">
        <f t="shared" si="422"/>
        <v>2092</v>
      </c>
      <c r="HK89" s="28">
        <f t="shared" si="424"/>
        <v>114270</v>
      </c>
      <c r="HL89" s="27">
        <f t="shared" si="425"/>
        <v>25000</v>
      </c>
      <c r="HM89" s="28">
        <f t="shared" si="426"/>
        <v>24772.83690326623</v>
      </c>
    </row>
    <row r="90" spans="1:221" x14ac:dyDescent="0.25">
      <c r="A90" t="s">
        <v>62</v>
      </c>
      <c r="B90" s="62">
        <f>Inputs_Summary!AK87</f>
        <v>0</v>
      </c>
      <c r="BB90" s="4"/>
      <c r="BC90" s="4"/>
      <c r="BD90" s="4"/>
      <c r="BE90" s="4"/>
      <c r="BF90" s="4"/>
      <c r="BG90" s="4"/>
      <c r="BH90" s="4"/>
      <c r="BI90" s="4"/>
      <c r="BJ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c r="EY90" s="4"/>
      <c r="EZ90" s="4"/>
      <c r="FA90" s="4"/>
      <c r="FB90" s="1"/>
      <c r="FC90" s="1"/>
      <c r="FD90" s="1"/>
      <c r="FE90" s="4"/>
      <c r="FF90" s="4"/>
      <c r="FG90" s="4"/>
      <c r="FH90" s="1"/>
      <c r="FI90" s="4"/>
      <c r="FJ90" s="4"/>
      <c r="FK90" s="4"/>
      <c r="FL90" s="4"/>
      <c r="FM90" s="4"/>
      <c r="FN90" s="4"/>
      <c r="FO90" s="4"/>
      <c r="FP90" s="4"/>
      <c r="FQ90" s="4"/>
      <c r="FR90" s="4"/>
      <c r="FS90" s="4"/>
      <c r="FT90" s="4"/>
      <c r="FU90" s="4"/>
      <c r="FV90" s="4"/>
      <c r="FW90" s="4"/>
      <c r="FX90" s="4"/>
      <c r="FY90" s="4"/>
      <c r="FZ90" s="4"/>
      <c r="GA90" s="4"/>
      <c r="GB90" s="4"/>
      <c r="GC90" s="4"/>
      <c r="GD90" s="4"/>
      <c r="GE90" s="4"/>
      <c r="GF90" s="4"/>
      <c r="GG90" s="4"/>
      <c r="GH90" s="4"/>
      <c r="GI90" s="4"/>
      <c r="GJ90" s="4"/>
      <c r="GK90" s="4"/>
      <c r="GL90" s="4"/>
      <c r="GM90" s="4"/>
      <c r="GN90" s="4"/>
      <c r="GO90" s="4"/>
      <c r="GP90" s="3"/>
      <c r="GQ90" s="3"/>
      <c r="GR90" s="3"/>
      <c r="GS90" s="3"/>
      <c r="GT90" s="3"/>
      <c r="GU90" s="3"/>
      <c r="GV90" s="3"/>
      <c r="GW90" s="3"/>
      <c r="GX90" s="3"/>
      <c r="GY90" s="11"/>
      <c r="HJ90">
        <f t="shared" si="422"/>
        <v>2093</v>
      </c>
      <c r="HK90" s="28">
        <f t="shared" si="424"/>
        <v>116560</v>
      </c>
      <c r="HL90" s="27">
        <f t="shared" si="425"/>
        <v>25500</v>
      </c>
      <c r="HM90" s="28">
        <f t="shared" si="426"/>
        <v>25268.293641331555</v>
      </c>
    </row>
    <row r="91" spans="1:221" x14ac:dyDescent="0.25">
      <c r="BB91" s="4"/>
      <c r="BC91" s="4"/>
      <c r="BD91" s="4"/>
      <c r="BE91" s="4"/>
      <c r="BF91" s="4"/>
      <c r="BG91" s="4"/>
      <c r="BH91" s="4"/>
      <c r="BI91" s="4"/>
      <c r="BJ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c r="DW91" s="4"/>
      <c r="DX91" s="4"/>
      <c r="DY91" s="4"/>
      <c r="DZ91" s="4"/>
      <c r="EA91" s="4"/>
      <c r="EB91" s="4"/>
      <c r="EC91" s="4"/>
      <c r="ED91" s="4"/>
      <c r="EE91" s="4"/>
      <c r="EF91" s="4"/>
      <c r="EG91" s="4"/>
      <c r="EH91" s="4"/>
      <c r="EI91" s="4"/>
      <c r="EJ91" s="4"/>
      <c r="EK91" s="4"/>
      <c r="EL91" s="4"/>
      <c r="EM91" s="4"/>
      <c r="EN91" s="4"/>
      <c r="EO91" s="4"/>
      <c r="EP91" s="4"/>
      <c r="EQ91" s="4"/>
      <c r="ER91" s="4"/>
      <c r="ES91" s="4"/>
      <c r="ET91" s="4"/>
      <c r="EU91" s="4"/>
      <c r="EV91" s="4"/>
      <c r="EW91" s="4"/>
      <c r="EX91" s="4"/>
      <c r="EY91" s="4"/>
      <c r="EZ91" s="4"/>
      <c r="FA91" s="4"/>
      <c r="FB91" s="1"/>
      <c r="FC91" s="1"/>
      <c r="FD91" s="1"/>
      <c r="FE91" s="4"/>
      <c r="FF91" s="4"/>
      <c r="FG91" s="4"/>
      <c r="FH91" s="1"/>
      <c r="FI91" s="4"/>
      <c r="FJ91" s="4"/>
      <c r="FK91" s="4"/>
      <c r="FL91" s="4"/>
      <c r="FM91" s="4"/>
      <c r="FN91" s="4"/>
      <c r="FO91" s="4"/>
      <c r="FP91" s="4"/>
      <c r="FQ91" s="4"/>
      <c r="FR91" s="4"/>
      <c r="FS91" s="4"/>
      <c r="FT91" s="4"/>
      <c r="FU91" s="4"/>
      <c r="FV91" s="4"/>
      <c r="FW91" s="4"/>
      <c r="FX91" s="4"/>
      <c r="FY91" s="4"/>
      <c r="FZ91" s="4"/>
      <c r="GA91" s="4"/>
      <c r="GB91" s="4"/>
      <c r="GC91" s="4"/>
      <c r="GD91" s="4"/>
      <c r="GE91" s="4"/>
      <c r="GF91" s="4"/>
      <c r="GG91" s="4"/>
      <c r="GH91" s="4"/>
      <c r="GI91" s="4"/>
      <c r="GJ91" s="4"/>
      <c r="GK91" s="4"/>
      <c r="GL91" s="4"/>
      <c r="GM91" s="4"/>
      <c r="GN91" s="4"/>
      <c r="GO91" s="4"/>
      <c r="GP91" s="3"/>
      <c r="GQ91" s="3"/>
      <c r="GR91" s="3"/>
      <c r="GS91" s="3"/>
      <c r="GT91" s="3"/>
      <c r="GU91" s="3"/>
      <c r="GV91" s="3"/>
      <c r="GW91" s="3"/>
      <c r="GX91" s="3"/>
      <c r="GY91" s="11"/>
      <c r="HJ91">
        <f t="shared" si="422"/>
        <v>2094</v>
      </c>
      <c r="HK91" s="28">
        <f t="shared" si="424"/>
        <v>118890</v>
      </c>
      <c r="HL91" s="27">
        <f t="shared" si="425"/>
        <v>26000</v>
      </c>
      <c r="HM91" s="28">
        <f t="shared" si="426"/>
        <v>25773.659514158186</v>
      </c>
    </row>
    <row r="92" spans="1:221" x14ac:dyDescent="0.25">
      <c r="BB92" s="4"/>
      <c r="BC92" s="4"/>
      <c r="BD92" s="4"/>
      <c r="BE92" s="4"/>
      <c r="BF92" s="4"/>
      <c r="BG92" s="4"/>
      <c r="BH92" s="4"/>
      <c r="BI92" s="4"/>
      <c r="BJ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c r="DW92" s="4"/>
      <c r="DX92" s="4"/>
      <c r="DY92" s="4"/>
      <c r="DZ92" s="4"/>
      <c r="EA92" s="4"/>
      <c r="EB92" s="4"/>
      <c r="EC92" s="4"/>
      <c r="ED92" s="4"/>
      <c r="EE92" s="4"/>
      <c r="EF92" s="4"/>
      <c r="EG92" s="4"/>
      <c r="EH92" s="4"/>
      <c r="EI92" s="4"/>
      <c r="EJ92" s="4"/>
      <c r="EK92" s="4"/>
      <c r="EL92" s="4"/>
      <c r="EM92" s="4"/>
      <c r="EN92" s="4"/>
      <c r="EO92" s="4"/>
      <c r="EP92" s="4"/>
      <c r="EQ92" s="4"/>
      <c r="ER92" s="4"/>
      <c r="ES92" s="4"/>
      <c r="ET92" s="4"/>
      <c r="EU92" s="4"/>
      <c r="EV92" s="4"/>
      <c r="EW92" s="4"/>
      <c r="EX92" s="4"/>
      <c r="EY92" s="4"/>
      <c r="EZ92" s="4"/>
      <c r="FA92" s="4"/>
      <c r="FB92" s="1"/>
      <c r="FC92" s="1"/>
      <c r="FD92" s="1"/>
      <c r="FE92" s="4"/>
      <c r="FF92" s="4"/>
      <c r="FG92" s="4"/>
      <c r="FH92" s="1"/>
      <c r="FI92" s="4"/>
      <c r="FJ92" s="4"/>
      <c r="FK92" s="4"/>
      <c r="FL92" s="4"/>
      <c r="FM92" s="4"/>
      <c r="FN92" s="4"/>
      <c r="FO92" s="4"/>
      <c r="FP92" s="4"/>
      <c r="FQ92" s="4"/>
      <c r="FR92" s="4"/>
      <c r="FS92" s="4"/>
      <c r="FT92" s="4"/>
      <c r="FU92" s="4"/>
      <c r="FV92" s="4"/>
      <c r="FW92" s="4"/>
      <c r="FX92" s="4"/>
      <c r="FY92" s="4"/>
      <c r="FZ92" s="4"/>
      <c r="GA92" s="4"/>
      <c r="GB92" s="4"/>
      <c r="GC92" s="4"/>
      <c r="GD92" s="4"/>
      <c r="GE92" s="4"/>
      <c r="GF92" s="4"/>
      <c r="GG92" s="4"/>
      <c r="GH92" s="4"/>
      <c r="GI92" s="4"/>
      <c r="GJ92" s="4"/>
      <c r="GK92" s="4"/>
      <c r="GL92" s="4"/>
      <c r="GM92" s="4"/>
      <c r="GN92" s="4"/>
      <c r="GO92" s="4"/>
      <c r="GP92" s="3"/>
      <c r="GQ92" s="3"/>
      <c r="GR92" s="3"/>
      <c r="GS92" s="3"/>
      <c r="GT92" s="3"/>
      <c r="GU92" s="3"/>
      <c r="GV92" s="3"/>
      <c r="GW92" s="3"/>
      <c r="GX92" s="3"/>
      <c r="GY92" s="11"/>
      <c r="HJ92">
        <f t="shared" si="422"/>
        <v>2095</v>
      </c>
      <c r="HK92" s="28">
        <f t="shared" si="424"/>
        <v>121260</v>
      </c>
      <c r="HL92" s="27">
        <f t="shared" si="425"/>
        <v>26500</v>
      </c>
      <c r="HM92" s="28">
        <f t="shared" si="426"/>
        <v>26289.132704441348</v>
      </c>
    </row>
    <row r="93" spans="1:221" x14ac:dyDescent="0.25">
      <c r="A93" t="s">
        <v>320</v>
      </c>
      <c r="B93">
        <f>Inputs_Summary!AJ74</f>
        <v>2075</v>
      </c>
      <c r="GY93" s="11"/>
      <c r="HJ93">
        <f t="shared" si="422"/>
        <v>2096</v>
      </c>
      <c r="HK93" s="28">
        <f t="shared" si="424"/>
        <v>123690</v>
      </c>
      <c r="HL93" s="27">
        <f t="shared" si="425"/>
        <v>27000</v>
      </c>
      <c r="HM93" s="28">
        <f t="shared" si="426"/>
        <v>26814.915358530176</v>
      </c>
    </row>
    <row r="94" spans="1:221" x14ac:dyDescent="0.25">
      <c r="A94" t="s">
        <v>333</v>
      </c>
      <c r="B94">
        <f>Inputs_Summary!AJ30</f>
        <v>1</v>
      </c>
      <c r="C94" t="s">
        <v>443</v>
      </c>
      <c r="GY94" s="11"/>
      <c r="HJ94">
        <f t="shared" si="422"/>
        <v>2097</v>
      </c>
      <c r="HK94" s="28">
        <f t="shared" si="424"/>
        <v>126160</v>
      </c>
      <c r="HL94" s="27">
        <f t="shared" si="425"/>
        <v>27500</v>
      </c>
      <c r="HM94" s="28">
        <f t="shared" si="426"/>
        <v>27351.21366570078</v>
      </c>
    </row>
    <row r="95" spans="1:221" x14ac:dyDescent="0.25">
      <c r="GY95" s="11"/>
      <c r="HJ95">
        <f t="shared" si="422"/>
        <v>2098</v>
      </c>
      <c r="HK95" s="28">
        <f t="shared" si="424"/>
        <v>128690</v>
      </c>
      <c r="HL95" s="27">
        <f t="shared" si="425"/>
        <v>28000</v>
      </c>
      <c r="HM95" s="28">
        <f t="shared" si="426"/>
        <v>27898.237939014794</v>
      </c>
    </row>
    <row r="96" spans="1:221" x14ac:dyDescent="0.25">
      <c r="A96" s="15" t="s">
        <v>284</v>
      </c>
      <c r="GY96" s="11"/>
      <c r="HJ96">
        <f t="shared" si="422"/>
        <v>2099</v>
      </c>
      <c r="HK96" s="28">
        <f t="shared" si="424"/>
        <v>131260</v>
      </c>
      <c r="HL96" s="27">
        <f t="shared" si="425"/>
        <v>28500</v>
      </c>
      <c r="HM96" s="28">
        <f t="shared" si="426"/>
        <v>28456.202697795092</v>
      </c>
    </row>
    <row r="97" spans="1:221" x14ac:dyDescent="0.25">
      <c r="B97" s="2" t="s">
        <v>336</v>
      </c>
      <c r="C97" s="2" t="s">
        <v>337</v>
      </c>
      <c r="GY97" s="11"/>
      <c r="HJ97">
        <f t="shared" si="422"/>
        <v>2100</v>
      </c>
      <c r="HK97" s="28">
        <f t="shared" si="424"/>
        <v>133890</v>
      </c>
      <c r="HL97" s="27">
        <f t="shared" si="425"/>
        <v>29000</v>
      </c>
      <c r="HM97" s="28">
        <f t="shared" si="426"/>
        <v>29025.326751750996</v>
      </c>
    </row>
    <row r="98" spans="1:221" x14ac:dyDescent="0.25">
      <c r="A98" s="22" t="s">
        <v>343</v>
      </c>
      <c r="B98" s="4" t="e">
        <f ca="1">OFFSET($CP$7,$E$3-1,0)/1000</f>
        <v>#NAME?</v>
      </c>
      <c r="C98" s="4" t="e">
        <f ca="1">B98/OFFSET($AX$7,$E$3-1,0)</f>
        <v>#NAME?</v>
      </c>
      <c r="GY98" s="11"/>
      <c r="HJ98">
        <f t="shared" si="422"/>
        <v>2101</v>
      </c>
      <c r="HK98" s="28">
        <f t="shared" si="424"/>
        <v>136560</v>
      </c>
      <c r="HL98" s="27">
        <f t="shared" si="425"/>
        <v>29500</v>
      </c>
      <c r="HM98" s="28">
        <f t="shared" si="426"/>
        <v>29605.833286786015</v>
      </c>
    </row>
    <row r="99" spans="1:221" x14ac:dyDescent="0.25">
      <c r="A99" s="22" t="s">
        <v>315</v>
      </c>
      <c r="B99" s="4" t="e">
        <f ca="1">IF($B$79=1,0,OFFSET($CJ$7,$E$3-1,0))/1000</f>
        <v>#NAME?</v>
      </c>
      <c r="C99" s="4" t="e">
        <f ca="1">B99/OFFSET($AX$7,$E$3-1,0)</f>
        <v>#NAME?</v>
      </c>
      <c r="GY99" s="11"/>
      <c r="HJ99">
        <f t="shared" si="422"/>
        <v>2102</v>
      </c>
      <c r="HK99" s="28">
        <f t="shared" si="424"/>
        <v>139290</v>
      </c>
      <c r="HL99" s="27">
        <f t="shared" si="425"/>
        <v>30000</v>
      </c>
      <c r="HM99" s="28">
        <f t="shared" si="426"/>
        <v>30197.949952521736</v>
      </c>
    </row>
    <row r="100" spans="1:221" x14ac:dyDescent="0.25">
      <c r="B100" s="2" t="e">
        <f ca="1">MATCH(1,CO7:CO86,0)</f>
        <v>#N/A</v>
      </c>
      <c r="GY100" s="11"/>
      <c r="HJ100">
        <f t="shared" si="422"/>
        <v>2103</v>
      </c>
      <c r="HK100" s="28">
        <f t="shared" si="424"/>
        <v>142080</v>
      </c>
      <c r="HL100" s="27">
        <f t="shared" si="425"/>
        <v>31000</v>
      </c>
      <c r="HM100" s="28">
        <f t="shared" si="426"/>
        <v>30801.908951572172</v>
      </c>
    </row>
    <row r="101" spans="1:221" x14ac:dyDescent="0.25">
      <c r="A101" t="s">
        <v>282</v>
      </c>
      <c r="B101" s="2" t="str">
        <f ca="1">IF(ISERROR(B100),"None",OFFSET(D7,B100-1,0))</f>
        <v>None</v>
      </c>
      <c r="GY101" s="11"/>
      <c r="HJ101">
        <f t="shared" si="422"/>
        <v>2104</v>
      </c>
      <c r="HK101" s="28">
        <f t="shared" si="424"/>
        <v>144920</v>
      </c>
      <c r="HL101" s="27">
        <f t="shared" si="425"/>
        <v>31500</v>
      </c>
      <c r="HM101" s="28">
        <f t="shared" si="426"/>
        <v>31417.947130603614</v>
      </c>
    </row>
    <row r="102" spans="1:221" x14ac:dyDescent="0.25">
      <c r="A102" s="69" t="s">
        <v>285</v>
      </c>
      <c r="B102" s="4">
        <f t="array" ref="B102">(SUM(F7:F86*AX7:AX86)-SUM(I7:I86*AX7:AX86))/1000</f>
        <v>0</v>
      </c>
      <c r="C102">
        <f t="array" ref="C102">(SUM(F7:F86)-SUM(I7:I86))/1000</f>
        <v>0</v>
      </c>
      <c r="GY102" s="11"/>
      <c r="HJ102">
        <f t="shared" si="422"/>
        <v>2105</v>
      </c>
      <c r="HK102" s="28">
        <f t="shared" si="424"/>
        <v>147820</v>
      </c>
      <c r="HL102" s="27">
        <f t="shared" si="425"/>
        <v>32000</v>
      </c>
      <c r="HM102" s="28">
        <f t="shared" si="426"/>
        <v>32046.306073215688</v>
      </c>
    </row>
    <row r="103" spans="1:221" x14ac:dyDescent="0.25">
      <c r="A103" t="s">
        <v>436</v>
      </c>
      <c r="B103" s="4" t="e">
        <f ca="1">AVERAGEIF(AZ7:AZ86,1,CJ7:CJ86)</f>
        <v>#NAME?</v>
      </c>
      <c r="C103" s="4" t="e">
        <f ca="1">AVERAGEIF(AZ7:AZ86,1,CK7:CK86)</f>
        <v>#NAME?</v>
      </c>
      <c r="GY103" s="11"/>
      <c r="HJ103">
        <f t="shared" si="422"/>
        <v>2106</v>
      </c>
      <c r="HK103" s="28">
        <f t="shared" si="424"/>
        <v>150780</v>
      </c>
      <c r="HL103" s="27">
        <f t="shared" si="425"/>
        <v>32500</v>
      </c>
      <c r="HM103" s="28">
        <f t="shared" si="426"/>
        <v>32687.232194680004</v>
      </c>
    </row>
    <row r="104" spans="1:221" x14ac:dyDescent="0.25">
      <c r="A104" t="s">
        <v>602</v>
      </c>
      <c r="B104" s="4" t="e">
        <f ca="1">(SUM(CH7:CH86)+SUM(CI7:CI86))/1000</f>
        <v>#NAME?</v>
      </c>
      <c r="C104" s="4" t="e">
        <f ca="1">(SUMPRODUCT(CH7:CH86,AY7:AY86)+SUMPRODUCT(CI7:CI86,AY7:AY86))/1000</f>
        <v>#NAME?</v>
      </c>
      <c r="GY104" s="11"/>
      <c r="HJ104">
        <f t="shared" si="422"/>
        <v>2107</v>
      </c>
      <c r="HK104" s="28">
        <f t="shared" si="424"/>
        <v>153790</v>
      </c>
      <c r="HL104" s="27">
        <f t="shared" si="425"/>
        <v>33500</v>
      </c>
      <c r="HM104" s="28">
        <f t="shared" si="426"/>
        <v>33340.976838573602</v>
      </c>
    </row>
    <row r="105" spans="1:221" x14ac:dyDescent="0.25">
      <c r="GY105" s="11"/>
      <c r="HJ105">
        <f t="shared" si="422"/>
        <v>2108</v>
      </c>
      <c r="HK105" s="28">
        <f t="shared" si="424"/>
        <v>156870</v>
      </c>
      <c r="HL105" s="27">
        <f t="shared" si="425"/>
        <v>34000</v>
      </c>
      <c r="HM105" s="28">
        <f t="shared" si="426"/>
        <v>34007.796375345075</v>
      </c>
    </row>
    <row r="106" spans="1:221" x14ac:dyDescent="0.25">
      <c r="GY106" s="11"/>
      <c r="HJ106">
        <f t="shared" si="422"/>
        <v>2109</v>
      </c>
      <c r="HK106" s="28">
        <f t="shared" si="424"/>
        <v>160010</v>
      </c>
      <c r="HL106" s="27">
        <f t="shared" si="425"/>
        <v>34500</v>
      </c>
      <c r="HM106" s="28">
        <f t="shared" si="426"/>
        <v>34687.952302851976</v>
      </c>
    </row>
    <row r="107" spans="1:221" x14ac:dyDescent="0.25">
      <c r="GY107" s="11"/>
      <c r="HJ107">
        <f t="shared" si="422"/>
        <v>2110</v>
      </c>
      <c r="HK107" s="28">
        <f t="shared" si="424"/>
        <v>163210</v>
      </c>
      <c r="HL107" s="27">
        <f t="shared" si="425"/>
        <v>35500</v>
      </c>
      <c r="HM107" s="28">
        <f t="shared" si="426"/>
        <v>35381.711348909019</v>
      </c>
    </row>
    <row r="108" spans="1:221" x14ac:dyDescent="0.25">
      <c r="GY108" s="11"/>
      <c r="HJ108">
        <f t="shared" si="422"/>
        <v>2111</v>
      </c>
      <c r="HK108" s="28">
        <f t="shared" si="424"/>
        <v>166470</v>
      </c>
      <c r="HL108" s="27">
        <f t="shared" si="425"/>
        <v>36000</v>
      </c>
      <c r="HM108" s="28">
        <f t="shared" si="426"/>
        <v>36089.345575887201</v>
      </c>
    </row>
    <row r="109" spans="1:221" x14ac:dyDescent="0.25">
      <c r="GY109" s="11"/>
      <c r="HJ109">
        <f t="shared" si="422"/>
        <v>2112</v>
      </c>
      <c r="HK109" s="28">
        <f t="shared" si="424"/>
        <v>169800</v>
      </c>
      <c r="HL109" s="27">
        <f t="shared" si="425"/>
        <v>37000</v>
      </c>
      <c r="HM109" s="28">
        <f t="shared" si="426"/>
        <v>36811.132487404946</v>
      </c>
    </row>
    <row r="110" spans="1:221" x14ac:dyDescent="0.25">
      <c r="GY110" s="11"/>
      <c r="HJ110">
        <f t="shared" si="422"/>
        <v>2113</v>
      </c>
      <c r="HK110" s="28">
        <f t="shared" si="424"/>
        <v>173200</v>
      </c>
      <c r="HL110" s="27">
        <f t="shared" si="425"/>
        <v>37500</v>
      </c>
      <c r="HM110" s="28">
        <f t="shared" si="426"/>
        <v>37547.355137153048</v>
      </c>
    </row>
    <row r="111" spans="1:221" x14ac:dyDescent="0.25">
      <c r="GY111" s="11"/>
      <c r="HJ111">
        <f t="shared" si="422"/>
        <v>2114</v>
      </c>
      <c r="HK111" s="28">
        <f t="shared" si="424"/>
        <v>176660</v>
      </c>
      <c r="HL111" s="27">
        <f t="shared" si="425"/>
        <v>38500</v>
      </c>
      <c r="HM111" s="28">
        <f t="shared" si="426"/>
        <v>38298.302239896111</v>
      </c>
    </row>
    <row r="112" spans="1:221" x14ac:dyDescent="0.25">
      <c r="HJ112">
        <f t="shared" si="422"/>
        <v>2115</v>
      </c>
      <c r="HK112" s="28">
        <f t="shared" si="424"/>
        <v>180190</v>
      </c>
      <c r="HL112" s="27">
        <f t="shared" si="425"/>
        <v>39000</v>
      </c>
      <c r="HM112" s="28">
        <f t="shared" si="426"/>
        <v>39064.268284694037</v>
      </c>
    </row>
    <row r="113" spans="218:221" x14ac:dyDescent="0.25">
      <c r="HJ113">
        <f t="shared" si="422"/>
        <v>2116</v>
      </c>
      <c r="HK113" s="28">
        <f t="shared" si="424"/>
        <v>183800</v>
      </c>
      <c r="HL113" s="27">
        <f t="shared" si="425"/>
        <v>40000</v>
      </c>
      <c r="HM113" s="28">
        <f t="shared" si="426"/>
        <v>39845.553650387919</v>
      </c>
    </row>
    <row r="114" spans="218:221" x14ac:dyDescent="0.25">
      <c r="HJ114">
        <f t="shared" si="422"/>
        <v>2117</v>
      </c>
      <c r="HK114" s="28">
        <f t="shared" si="424"/>
        <v>187470</v>
      </c>
      <c r="HL114" s="27">
        <f t="shared" si="425"/>
        <v>40500</v>
      </c>
      <c r="HM114" s="28">
        <f t="shared" si="426"/>
        <v>40642.464723395678</v>
      </c>
    </row>
    <row r="115" spans="218:221" x14ac:dyDescent="0.25">
      <c r="HJ115">
        <f t="shared" si="422"/>
        <v>2118</v>
      </c>
      <c r="HK115" s="28">
        <f t="shared" si="424"/>
        <v>191220</v>
      </c>
      <c r="HL115" s="27">
        <f t="shared" si="425"/>
        <v>41500</v>
      </c>
      <c r="HM115" s="28">
        <f t="shared" si="426"/>
        <v>41455.314017863595</v>
      </c>
    </row>
    <row r="116" spans="218:221" x14ac:dyDescent="0.25">
      <c r="HJ116">
        <f t="shared" si="422"/>
        <v>2119</v>
      </c>
      <c r="HK116" s="28">
        <f t="shared" si="424"/>
        <v>195050</v>
      </c>
      <c r="HL116" s="27">
        <f t="shared" si="425"/>
        <v>42500</v>
      </c>
      <c r="HM116" s="28">
        <f t="shared" si="426"/>
        <v>42284.420298220866</v>
      </c>
    </row>
    <row r="117" spans="218:221" x14ac:dyDescent="0.25">
      <c r="HJ117">
        <f t="shared" si="422"/>
        <v>2120</v>
      </c>
      <c r="HK117" s="28">
        <f t="shared" si="424"/>
        <v>198950</v>
      </c>
      <c r="HL117" s="27">
        <f t="shared" si="425"/>
        <v>43000</v>
      </c>
      <c r="HM117" s="28">
        <f t="shared" si="426"/>
        <v>43130.108704185288</v>
      </c>
    </row>
    <row r="118" spans="218:221" x14ac:dyDescent="0.25">
      <c r="HJ118">
        <f t="shared" si="422"/>
        <v>2121</v>
      </c>
      <c r="HK118" s="28">
        <f t="shared" si="424"/>
        <v>202930</v>
      </c>
      <c r="HL118" s="27">
        <f t="shared" si="425"/>
        <v>44000</v>
      </c>
      <c r="HM118" s="28">
        <f t="shared" si="426"/>
        <v>43992.710878268997</v>
      </c>
    </row>
    <row r="119" spans="218:221" x14ac:dyDescent="0.25">
      <c r="HJ119">
        <f t="shared" si="422"/>
        <v>2122</v>
      </c>
      <c r="HK119" s="28">
        <f t="shared" si="424"/>
        <v>206980</v>
      </c>
      <c r="HL119" s="27">
        <f t="shared" si="425"/>
        <v>45000</v>
      </c>
      <c r="HM119" s="28">
        <f t="shared" si="426"/>
        <v>44872.565095834376</v>
      </c>
    </row>
    <row r="120" spans="218:221" x14ac:dyDescent="0.25">
      <c r="HJ120">
        <f t="shared" si="422"/>
        <v>2123</v>
      </c>
      <c r="HK120" s="28">
        <f t="shared" si="424"/>
        <v>211120</v>
      </c>
      <c r="HL120" s="27">
        <f t="shared" si="425"/>
        <v>46000</v>
      </c>
      <c r="HM120" s="28">
        <f t="shared" si="426"/>
        <v>45770.016397751067</v>
      </c>
    </row>
    <row r="121" spans="218:221" x14ac:dyDescent="0.25">
      <c r="HJ121">
        <f t="shared" si="422"/>
        <v>2124</v>
      </c>
      <c r="HK121" s="28">
        <f t="shared" si="424"/>
        <v>215350</v>
      </c>
      <c r="HL121" s="27">
        <f t="shared" si="425"/>
        <v>46500</v>
      </c>
      <c r="HM121" s="28">
        <f t="shared" si="426"/>
        <v>46685.416725706091</v>
      </c>
    </row>
    <row r="122" spans="218:221" x14ac:dyDescent="0.25">
      <c r="HJ122">
        <f t="shared" si="422"/>
        <v>2125</v>
      </c>
      <c r="HK122" s="28">
        <f t="shared" si="424"/>
        <v>219650</v>
      </c>
      <c r="HL122" s="27">
        <f t="shared" si="425"/>
        <v>47500</v>
      </c>
      <c r="HM122" s="28">
        <f t="shared" si="426"/>
        <v>47619.125060220213</v>
      </c>
    </row>
    <row r="123" spans="218:221" x14ac:dyDescent="0.25">
      <c r="HJ123">
        <f t="shared" si="422"/>
        <v>2126</v>
      </c>
      <c r="HK123" s="28">
        <f t="shared" si="424"/>
        <v>224050</v>
      </c>
      <c r="HL123" s="27">
        <f t="shared" si="425"/>
        <v>48500</v>
      </c>
      <c r="HM123" s="28">
        <f t="shared" si="426"/>
        <v>48571.507561424616</v>
      </c>
    </row>
    <row r="124" spans="218:221" x14ac:dyDescent="0.25">
      <c r="HJ124">
        <f t="shared" si="422"/>
        <v>2127</v>
      </c>
      <c r="HK124" s="28">
        <f t="shared" si="424"/>
        <v>228530</v>
      </c>
      <c r="HL124" s="27">
        <f t="shared" si="425"/>
        <v>49500</v>
      </c>
      <c r="HM124" s="28">
        <f t="shared" si="426"/>
        <v>49542.937712653111</v>
      </c>
    </row>
    <row r="125" spans="218:221" x14ac:dyDescent="0.25">
      <c r="HJ125">
        <f t="shared" si="422"/>
        <v>2128</v>
      </c>
      <c r="HK125" s="28">
        <f t="shared" si="424"/>
        <v>233100</v>
      </c>
      <c r="HL125" s="27">
        <f t="shared" si="425"/>
        <v>50500</v>
      </c>
      <c r="HM125" s="28">
        <f t="shared" si="426"/>
        <v>50533.796466906177</v>
      </c>
    </row>
    <row r="126" spans="218:221" x14ac:dyDescent="0.25">
      <c r="HJ126">
        <f t="shared" si="422"/>
        <v>2129</v>
      </c>
      <c r="HK126" s="28">
        <f t="shared" si="424"/>
        <v>237760</v>
      </c>
      <c r="HL126" s="27">
        <f t="shared" si="425"/>
        <v>51500</v>
      </c>
      <c r="HM126" s="28">
        <f t="shared" si="426"/>
        <v>51544.472396244302</v>
      </c>
    </row>
    <row r="127" spans="218:221" x14ac:dyDescent="0.25">
      <c r="HJ127">
        <f t="shared" si="422"/>
        <v>2130</v>
      </c>
      <c r="HK127" s="28">
        <f t="shared" si="424"/>
        <v>242520</v>
      </c>
      <c r="HL127" s="27">
        <f t="shared" si="425"/>
        <v>52500</v>
      </c>
      <c r="HM127" s="28">
        <f t="shared" si="426"/>
        <v>52575.361844169187</v>
      </c>
    </row>
    <row r="128" spans="218:221" x14ac:dyDescent="0.25">
      <c r="HJ128">
        <f t="shared" si="422"/>
        <v>2131</v>
      </c>
      <c r="HK128" s="28">
        <f t="shared" si="424"/>
        <v>247370</v>
      </c>
      <c r="HL128" s="27">
        <f t="shared" si="425"/>
        <v>53500</v>
      </c>
      <c r="HM128" s="28">
        <f t="shared" si="426"/>
        <v>53626.869081052573</v>
      </c>
    </row>
    <row r="129" spans="218:221" x14ac:dyDescent="0.25">
      <c r="HJ129">
        <f t="shared" si="422"/>
        <v>2132</v>
      </c>
      <c r="HK129" s="28">
        <f t="shared" si="424"/>
        <v>252310</v>
      </c>
      <c r="HL129" s="27">
        <f t="shared" si="425"/>
        <v>54500</v>
      </c>
      <c r="HM129" s="28">
        <f t="shared" si="426"/>
        <v>54699.406462673629</v>
      </c>
    </row>
    <row r="130" spans="218:221" x14ac:dyDescent="0.25">
      <c r="HJ130">
        <f t="shared" si="422"/>
        <v>2133</v>
      </c>
      <c r="HK130" s="28">
        <f t="shared" si="424"/>
        <v>257360</v>
      </c>
      <c r="HL130" s="27">
        <f t="shared" si="425"/>
        <v>56000</v>
      </c>
      <c r="HM130" s="28">
        <f t="shared" si="426"/>
        <v>55793.394591927099</v>
      </c>
    </row>
    <row r="131" spans="218:221" x14ac:dyDescent="0.25">
      <c r="HJ131">
        <f t="shared" si="422"/>
        <v>2134</v>
      </c>
      <c r="HK131" s="28">
        <f t="shared" si="424"/>
        <v>262510</v>
      </c>
      <c r="HL131" s="27">
        <f t="shared" si="425"/>
        <v>57000</v>
      </c>
      <c r="HM131" s="28">
        <f t="shared" si="426"/>
        <v>56909.26248376564</v>
      </c>
    </row>
    <row r="132" spans="218:221" x14ac:dyDescent="0.25">
      <c r="HJ132">
        <f t="shared" si="422"/>
        <v>2135</v>
      </c>
      <c r="HK132" s="28">
        <f t="shared" si="424"/>
        <v>267760</v>
      </c>
      <c r="HL132" s="27">
        <f t="shared" si="425"/>
        <v>58000</v>
      </c>
      <c r="HM132" s="28">
        <f t="shared" si="426"/>
        <v>58047.447733440953</v>
      </c>
    </row>
    <row r="133" spans="218:221" x14ac:dyDescent="0.25">
      <c r="HJ133">
        <f t="shared" si="422"/>
        <v>2136</v>
      </c>
      <c r="HK133" s="28">
        <f t="shared" si="424"/>
        <v>273110</v>
      </c>
      <c r="HL133" s="27">
        <f t="shared" si="425"/>
        <v>59000</v>
      </c>
      <c r="HM133" s="28">
        <f t="shared" si="426"/>
        <v>59208.396688109773</v>
      </c>
    </row>
    <row r="134" spans="218:221" x14ac:dyDescent="0.25">
      <c r="HJ134">
        <f t="shared" si="422"/>
        <v>2137</v>
      </c>
      <c r="HK134" s="28">
        <f t="shared" si="424"/>
        <v>278570</v>
      </c>
      <c r="HL134" s="27">
        <f t="shared" si="425"/>
        <v>60500</v>
      </c>
      <c r="HM134" s="28">
        <f t="shared" si="426"/>
        <v>60392.56462187197</v>
      </c>
    </row>
    <row r="135" spans="218:221" x14ac:dyDescent="0.25">
      <c r="HJ135">
        <f t="shared" si="422"/>
        <v>2138</v>
      </c>
      <c r="HK135" s="28">
        <f t="shared" si="424"/>
        <v>284150</v>
      </c>
      <c r="HL135" s="27">
        <f t="shared" si="425"/>
        <v>61500</v>
      </c>
      <c r="HM135" s="28">
        <f t="shared" si="426"/>
        <v>61600.415914309408</v>
      </c>
    </row>
    <row r="136" spans="218:221" x14ac:dyDescent="0.25">
      <c r="HJ136">
        <f t="shared" si="422"/>
        <v>2139</v>
      </c>
      <c r="HK136" s="28">
        <f t="shared" si="424"/>
        <v>289830</v>
      </c>
      <c r="HL136" s="27">
        <f t="shared" si="425"/>
        <v>63000</v>
      </c>
      <c r="HM136" s="28">
        <f t="shared" si="426"/>
        <v>62832.4242325956</v>
      </c>
    </row>
    <row r="137" spans="218:221" x14ac:dyDescent="0.25">
      <c r="HJ137">
        <f t="shared" ref="HJ137:HJ147" si="427">HJ136+1</f>
        <v>2140</v>
      </c>
      <c r="HK137" s="28">
        <f t="shared" si="424"/>
        <v>295630</v>
      </c>
      <c r="HL137" s="27">
        <f t="shared" si="425"/>
        <v>64000</v>
      </c>
      <c r="HM137" s="28">
        <f t="shared" si="426"/>
        <v>64089.072717247516</v>
      </c>
    </row>
    <row r="138" spans="218:221" x14ac:dyDescent="0.25">
      <c r="HJ138">
        <f t="shared" si="427"/>
        <v>2141</v>
      </c>
      <c r="HK138" s="28">
        <f t="shared" si="424"/>
        <v>301540</v>
      </c>
      <c r="HL138" s="27">
        <f t="shared" si="425"/>
        <v>65500</v>
      </c>
      <c r="HM138" s="28">
        <f t="shared" si="426"/>
        <v>65370.854171592466</v>
      </c>
    </row>
    <row r="139" spans="218:221" x14ac:dyDescent="0.25">
      <c r="HJ139">
        <f t="shared" si="427"/>
        <v>2142</v>
      </c>
      <c r="HK139" s="28">
        <f t="shared" si="424"/>
        <v>307570</v>
      </c>
      <c r="HL139" s="27">
        <f t="shared" si="425"/>
        <v>66500</v>
      </c>
      <c r="HM139" s="28">
        <f t="shared" si="426"/>
        <v>66678.271255024316</v>
      </c>
    </row>
    <row r="140" spans="218:221" x14ac:dyDescent="0.25">
      <c r="HJ140">
        <f t="shared" si="427"/>
        <v>2143</v>
      </c>
      <c r="HK140" s="28">
        <f t="shared" si="424"/>
        <v>313720</v>
      </c>
      <c r="HL140" s="27">
        <f t="shared" si="425"/>
        <v>68000</v>
      </c>
      <c r="HM140" s="28">
        <f t="shared" si="426"/>
        <v>68011.836680124805</v>
      </c>
    </row>
    <row r="141" spans="218:221" x14ac:dyDescent="0.25">
      <c r="HJ141">
        <f t="shared" si="427"/>
        <v>2144</v>
      </c>
      <c r="HK141" s="28">
        <f t="shared" si="424"/>
        <v>319990</v>
      </c>
      <c r="HL141" s="27">
        <f t="shared" si="425"/>
        <v>69500</v>
      </c>
      <c r="HM141" s="28">
        <f t="shared" si="426"/>
        <v>69372.073413727296</v>
      </c>
    </row>
    <row r="142" spans="218:221" x14ac:dyDescent="0.25">
      <c r="HJ142">
        <f t="shared" si="427"/>
        <v>2145</v>
      </c>
      <c r="HK142" s="28">
        <f t="shared" si="424"/>
        <v>326390</v>
      </c>
      <c r="HL142" s="27">
        <f t="shared" si="425"/>
        <v>71000</v>
      </c>
      <c r="HM142" s="28">
        <f t="shared" si="426"/>
        <v>70759.514882001837</v>
      </c>
    </row>
    <row r="143" spans="218:221" x14ac:dyDescent="0.25">
      <c r="HJ143">
        <f t="shared" si="427"/>
        <v>2146</v>
      </c>
      <c r="HK143" s="28">
        <f>ROUND(HK$13*(1+$B$15)^(HJ143-HJ$13)/10,0)*10</f>
        <v>332920</v>
      </c>
      <c r="HL143" s="27">
        <f>ROUND(HM143/500,0)*500</f>
        <v>72000</v>
      </c>
      <c r="HM143" s="28">
        <f>HM142*(1+$B$15)</f>
        <v>72174.705179641882</v>
      </c>
    </row>
    <row r="144" spans="218:221" x14ac:dyDescent="0.25">
      <c r="HJ144">
        <f t="shared" si="427"/>
        <v>2147</v>
      </c>
      <c r="HK144" s="28">
        <f>ROUND(HK$13*(1+$B$15)^(HJ144-HJ$13)/10,0)*10</f>
        <v>339580</v>
      </c>
      <c r="HL144" s="27">
        <f>ROUND(HM144/500,0)*500</f>
        <v>73500</v>
      </c>
      <c r="HM144" s="28">
        <f>HM143*(1+$B$15)</f>
        <v>73618.199283234717</v>
      </c>
    </row>
    <row r="145" spans="218:221" x14ac:dyDescent="0.25">
      <c r="HJ145">
        <f t="shared" si="427"/>
        <v>2148</v>
      </c>
      <c r="HK145" s="28">
        <f>ROUND(HK$13*(1+$B$15)^(HJ145-HJ$13)/10,0)*10</f>
        <v>346370</v>
      </c>
      <c r="HL145" s="27">
        <f>ROUND(HM145/500,0)*500</f>
        <v>75000</v>
      </c>
      <c r="HM145" s="28">
        <f>HM144*(1+$B$15)</f>
        <v>75090.563268899408</v>
      </c>
    </row>
    <row r="146" spans="218:221" x14ac:dyDescent="0.25">
      <c r="HJ146">
        <f t="shared" si="427"/>
        <v>2149</v>
      </c>
      <c r="HK146" s="28">
        <f>ROUND(HK$13*(1+$B$15)^(HJ146-HJ$13)/10,0)*10</f>
        <v>353300</v>
      </c>
      <c r="HL146" s="27">
        <f>ROUND(HM146/500,0)*500</f>
        <v>76500</v>
      </c>
      <c r="HM146" s="28">
        <f>HM145*(1+$B$15)</f>
        <v>76592.374534277391</v>
      </c>
    </row>
    <row r="147" spans="218:221" x14ac:dyDescent="0.25">
      <c r="HJ147">
        <f t="shared" si="427"/>
        <v>2150</v>
      </c>
      <c r="HK147" s="28">
        <f>ROUND(HK$13*(1+$B$15)^(HJ147-HJ$13)/10,0)*10</f>
        <v>360370</v>
      </c>
      <c r="HL147" s="27">
        <f>ROUND(HM147/500,0)*500</f>
        <v>78000</v>
      </c>
      <c r="HM147" s="28">
        <f>HM146*(1+$B$15)</f>
        <v>78124.222024962946</v>
      </c>
    </row>
  </sheetData>
  <pageMargins left="0.5" right="0.5" top="0.5" bottom="0.5" header="0.5" footer="0.5"/>
  <pageSetup scale="10" orientation="landscape"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opyTaxRate1">
                <anchor moveWithCells="1" sizeWithCells="1">
                  <from>
                    <xdr:col>0</xdr:col>
                    <xdr:colOff>1424940</xdr:colOff>
                    <xdr:row>4</xdr:row>
                    <xdr:rowOff>30480</xdr:rowOff>
                  </from>
                  <to>
                    <xdr:col>1</xdr:col>
                    <xdr:colOff>647700</xdr:colOff>
                    <xdr:row>5</xdr:row>
                    <xdr:rowOff>137160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6</vt:i4>
      </vt:variant>
      <vt:variant>
        <vt:lpstr>Named Ranges</vt:lpstr>
      </vt:variant>
      <vt:variant>
        <vt:i4>12</vt:i4>
      </vt:variant>
    </vt:vector>
  </HeadingPairs>
  <TitlesOfParts>
    <vt:vector size="23" baseType="lpstr">
      <vt:lpstr>Instructions</vt:lpstr>
      <vt:lpstr>Inputs_Summary</vt:lpstr>
      <vt:lpstr>Both</vt:lpstr>
      <vt:lpstr>Person1</vt:lpstr>
      <vt:lpstr>Person2</vt:lpstr>
      <vt:lpstr>Both_Inc</vt:lpstr>
      <vt:lpstr>Both_Accts</vt:lpstr>
      <vt:lpstr>P1_Inc</vt:lpstr>
      <vt:lpstr>P1_Accts</vt:lpstr>
      <vt:lpstr>P2_Inc</vt:lpstr>
      <vt:lpstr>P2_Accts</vt:lpstr>
      <vt:lpstr>Flag1</vt:lpstr>
      <vt:lpstr>P1_ActRRSP</vt:lpstr>
      <vt:lpstr>P1_ActTR</vt:lpstr>
      <vt:lpstr>P1_EstRRSP</vt:lpstr>
      <vt:lpstr>P1_EstTR</vt:lpstr>
      <vt:lpstr>P2_ActRRSP</vt:lpstr>
      <vt:lpstr>P2_ActTR</vt:lpstr>
      <vt:lpstr>P2_EstRRSP</vt:lpstr>
      <vt:lpstr>P2_EstTR</vt:lpstr>
      <vt:lpstr>Inputs_Summary!Print_Area</vt:lpstr>
      <vt:lpstr>Relax1</vt:lpstr>
      <vt:lpstr>RelaxAuto1</vt:lpstr>
    </vt:vector>
  </TitlesOfParts>
  <Company>Home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Steven Brown</dc:creator>
  <cp:lastModifiedBy>Stephen Morton (Nokia)</cp:lastModifiedBy>
  <cp:lastPrinted>2013-12-12T05:57:26Z</cp:lastPrinted>
  <dcterms:created xsi:type="dcterms:W3CDTF">1999-01-30T03:09:53Z</dcterms:created>
  <dcterms:modified xsi:type="dcterms:W3CDTF">2025-01-17T03:40:59Z</dcterms:modified>
</cp:coreProperties>
</file>